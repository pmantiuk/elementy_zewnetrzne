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pmantiuk\Desktop\"/>
    </mc:Choice>
  </mc:AlternateContent>
  <xr:revisionPtr revIDLastSave="0" documentId="13_ncr:1_{6C9CF21E-59E8-4AEA-B5FA-9A3A7D241D85}" xr6:coauthVersionLast="47" xr6:coauthVersionMax="47" xr10:uidLastSave="{00000000-0000-0000-0000-000000000000}"/>
  <bookViews>
    <workbookView xWindow="-120" yWindow="-120" windowWidth="29040" windowHeight="15990" tabRatio="904" xr2:uid="{00000000-000D-0000-FFFF-FFFF00000000}"/>
  </bookViews>
  <sheets>
    <sheet name="query" sheetId="46" r:id="rId1"/>
  </sheets>
  <definedNames>
    <definedName name="DaneZewnętrzne_1" localSheetId="0" hidden="1">query!$Q$10:$V$45</definedName>
    <definedName name="listy_wyboru_Miejsce_wykonania">#REF!</definedName>
    <definedName name="listy_wyboru_Status">#REF!</definedName>
    <definedName name="query_1" localSheetId="0" hidden="1">query!$A$10:$E$24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1" i="46" l="1"/>
  <c r="G12" i="46"/>
  <c r="G13" i="46"/>
  <c r="H13" i="46" s="1" a="1"/>
  <c r="H13" i="46" s="1"/>
  <c r="J13" i="46" s="1"/>
  <c r="G14" i="46"/>
  <c r="H14" i="46" s="1" a="1"/>
  <c r="H14" i="46" s="1"/>
  <c r="J14" i="46" s="1"/>
  <c r="G15" i="46"/>
  <c r="G16" i="46"/>
  <c r="G17" i="46"/>
  <c r="H17" i="46" s="1" a="1"/>
  <c r="H17" i="46" s="1"/>
  <c r="J17" i="46" s="1"/>
  <c r="G18" i="46"/>
  <c r="H18" i="46" s="1" a="1"/>
  <c r="H18" i="46" s="1"/>
  <c r="J18" i="46" s="1"/>
  <c r="G19" i="46"/>
  <c r="G20" i="46"/>
  <c r="G21" i="46"/>
  <c r="H21" i="46" s="1" a="1"/>
  <c r="H21" i="46" s="1"/>
  <c r="J21" i="46" s="1"/>
  <c r="G22" i="46"/>
  <c r="H22" i="46" s="1" a="1"/>
  <c r="H22" i="46" s="1"/>
  <c r="J22" i="46" s="1"/>
  <c r="G23" i="46"/>
  <c r="G24" i="46"/>
  <c r="H11" i="46" a="1"/>
  <c r="H11" i="46" s="1"/>
  <c r="J11" i="46" s="1"/>
  <c r="H12" i="46" a="1"/>
  <c r="H12" i="46" s="1"/>
  <c r="J12" i="46" s="1"/>
  <c r="H15" i="46" a="1"/>
  <c r="H15" i="46" s="1"/>
  <c r="J15" i="46" s="1"/>
  <c r="H16" i="46" a="1"/>
  <c r="H16" i="46" s="1"/>
  <c r="J16" i="46" s="1"/>
  <c r="H19" i="46" a="1"/>
  <c r="H19" i="46" s="1"/>
  <c r="J19" i="46" s="1"/>
  <c r="H20" i="46" a="1"/>
  <c r="H20" i="46" s="1"/>
  <c r="J20" i="46" s="1"/>
  <c r="H23" i="46" a="1"/>
  <c r="H23" i="46" s="1"/>
  <c r="J23" i="46" s="1"/>
  <c r="H24" i="46" a="1"/>
  <c r="H24" i="46" s="1"/>
  <c r="J24" i="46" s="1"/>
  <c r="I11" i="46"/>
  <c r="I12" i="46"/>
  <c r="I13" i="46"/>
  <c r="I14" i="46"/>
  <c r="I15" i="46"/>
  <c r="I16" i="46"/>
  <c r="I17" i="46"/>
  <c r="I18" i="46"/>
  <c r="I19" i="46"/>
  <c r="I20" i="46"/>
  <c r="I21" i="46"/>
  <c r="I22" i="46"/>
  <c r="I23" i="46"/>
  <c r="I24" i="46"/>
  <c r="D3" i="4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936A95-B643-4AEA-BA89-6F24EF267D3F}" keepAlive="1" name="Połączenie" type="5" refreshedVersion="7" background="1" saveData="1">
    <dbPr connection="Provider=Microsoft.Mashup.OleDb.1;Data Source=$Workbook$;Location=Attyki- Lista elementów -budowa;Extended Properties=&quot;&quot;" command="SELECT * FROM [Attyki- Lista elementów -budowa]"/>
  </connection>
  <connection id="2" xr16:uid="{E55DA3FB-8744-4767-BB2C-857E932F50F7}" keepAlive="1" name="Połączenie1" type="5" refreshedVersion="7" background="1" saveData="1">
    <dbPr connection="Provider=Microsoft.Mashup.OleDb.1;Data Source=$Workbook$;Location=Attyki- Lista elementów -produkcja;Extended Properties=&quot;&quot;" command="SELECT * FROM [Attyki- Lista elementów -produkcja]"/>
  </connection>
  <connection id="3" xr16:uid="{13C05CB4-3EB3-4388-A048-795E62043FAA}" keepAlive="1" name="Połączenie10" type="5" refreshedVersion="7" background="1" saveData="1">
    <dbPr connection="Provider=Microsoft.Mashup.OleDb.1;Data Source=$Workbook$;Location=Trapy balkonów - lista klinów;Extended Properties=&quot;&quot;" command="SELECT * FROM [Trapy balkonów - lista klinów]"/>
  </connection>
  <connection id="4" xr16:uid="{182F829E-50BD-43D5-835C-7DB237E714D3}" keepAlive="1" name="Połączenie2" type="5" refreshedVersion="7" background="1" saveData="1">
    <dbPr connection="Provider=Microsoft.Mashup.OleDb.1;Data Source=$Workbook$;Location=Balkony - lista elementów;Extended Properties=&quot;&quot;" command="SELECT * FROM [Balkony - lista elementów]"/>
  </connection>
  <connection id="5" xr16:uid="{4FB61A76-DA3E-4688-8FCF-BBACDBE8670F}" keepAlive="1" name="Połączenie3" type="5" refreshedVersion="7" background="1" saveData="1">
    <dbPr connection="Provider=Microsoft.Mashup.OleDb.1;Data Source=$Workbook$;Location=Balkony - lista klinów;Extended Properties=&quot;&quot;" command="SELECT * FROM [Balkony - lista klinów]"/>
  </connection>
  <connection id="6" xr16:uid="{26B12010-E024-4F75-AC3C-AC36BB848164}" keepAlive="1" name="Połączenie4" type="5" refreshedVersion="7" background="1" saveData="1">
    <dbPr connection="Provider=Microsoft.Mashup.OleDb.1;Data Source=$Workbook$;Location=Dobitka przy kotłowni - Lista elementów;Extended Properties=&quot;&quot;" command="SELECT * FROM [Dobitka przy kotłowni - Lista elementów]"/>
  </connection>
  <connection id="7" xr16:uid="{FDDB626B-D890-4E68-9F4E-8898BEDB52BF}" keepAlive="1" name="Połączenie5" type="5" refreshedVersion="7" background="1" saveData="1">
    <dbPr connection="Provider=Microsoft.Mashup.OleDb.1;Data Source=$Workbook$;Location=Obudowy szachtów- Lista elementów -budowa cz;Extended Properties=&quot;&quot;" command="SELECT * FROM [Obudowy szachtów- Lista elementów -budowa cz]"/>
  </connection>
  <connection id="8" xr16:uid="{7EF720ED-F89C-4179-839A-9910F6DD16B7}" keepAlive="1" name="Połączenie6" type="5" refreshedVersion="7" background="1" saveData="1">
    <dbPr connection="Provider=Microsoft.Mashup.OleDb.1;Data Source=$Workbook$;Location=Obudowy szachtów- Lista elementów -budowa;Extended Properties=&quot;&quot;" command="SELECT * FROM [Obudowy szachtów- Lista elementów -budowa]"/>
  </connection>
  <connection id="9" xr16:uid="{9B934E1C-63CA-4ED0-931A-A8C53434A321}" keepAlive="1" name="Połączenie7" type="5" refreshedVersion="7" background="1" saveData="1">
    <dbPr connection="Provider=Microsoft.Mashup.OleDb.1;Data Source=$Workbook$;Location=Obudowy szachtów- Lista elementów -produkcja cz;Extended Properties=&quot;&quot;" command="SELECT * FROM [Obudowy szachtów- Lista elementów -produkcja cz]"/>
  </connection>
  <connection id="10" xr16:uid="{9ECEEFAE-E195-488B-8148-A0E0457719B2}" keepAlive="1" name="Połączenie8" type="5" refreshedVersion="7" background="1" saveData="1">
    <dbPr connection="Provider=Microsoft.Mashup.OleDb.1;Data Source=$Workbook$;Location=Obudowy szachtów- Lista elementów -produkcja;Extended Properties=&quot;&quot;" command="SELECT * FROM [Obudowy szachtów- Lista elementów -produkcja]"/>
  </connection>
  <connection id="11" xr16:uid="{F0D5E59C-5431-44C0-B4D5-ED0DCF92A8C5}" keepAlive="1" name="Połączenie9" type="5" refreshedVersion="7" background="1" saveData="1">
    <dbPr connection="Provider=Microsoft.Mashup.OleDb.1;Data Source=$Workbook$;Location=Trapy balkonów - lista elementów;Extended Properties=&quot;&quot;" command="SELECT * FROM [Trapy balkonów - lista elementów]"/>
  </connection>
  <connection id="12" xr16:uid="{00000000-0015-0000-FFFF-FFFF0B000000}" keepAlive="1" name="query" type="5" refreshedVersion="7" minRefreshableVersion="3" background="1" saveData="1">
    <dbPr connection="Provider=Microsoft.Office.List.OLEDB.2.0;Data Source=&quot;&quot;;ApplicationName=Excel;Version=12.0.0.0" command="&lt;LIST&gt;&lt;VIEWGUID&gt;363109BF-EC73-45C3-A519-1876B3CFBEC0&lt;/VIEWGUID&gt;&lt;LISTNAME&gt;{C6CA52F2-03F9-4E29-85DD-85768EF50F42}&lt;/LISTNAME&gt;&lt;LISTWEB&gt;https://unibep.sharepoint.com/sites/Unihouse_SA/_vti_bin&lt;/LISTWEB&gt;&lt;LISTSUBWEB&gt;&lt;/LISTSUBWEB&gt;&lt;ROOTFOLDER&gt;/sites/Unihouse%5fSA/Shared%20Documents/Projekty/03%2e%20POLSKA/267%5f2021%20Ma%c5%82kinia/%21%20Projekt/4%20LISTY/2%2e%20Elementy%20zewn%c4%99trzne%20i%20stolarnia&lt;/ROOTFOLDER&gt;&lt;/LIST&gt;" commandType="5"/>
  </connection>
  <connection id="13" xr16:uid="{00000000-0015-0000-FFFF-FFFF0E000000}" keepAlive="1" name="Zapytanie — Skróty_elementów" type="5" refreshedVersion="7" deleted="1" background="1" saveData="1">
    <dbPr connection="" command=""/>
  </connection>
  <connection id="14" xr16:uid="{7B35B0C4-FF6D-4B2F-89BA-29B94816CD09}" keepAlive="1" name="Zapytanie — Wszystkie elementy zewnętrzne" description="Połączenie z zapytaniem „Wszystkie elementy zewnętrzne” w skoroszycie." type="5" refreshedVersion="0" background="1">
    <dbPr connection="Provider=Microsoft.Mashup.OleDb.1;Data Source=$Workbook$;Location=&quot;Wszystkie elementy zewnętrzne&quot;;Extended Properties=&quot;&quot;" command="SELECT * FROM [Wszystkie elementy zewnętrzne]"/>
  </connection>
</connections>
</file>

<file path=xl/sharedStrings.xml><?xml version="1.0" encoding="utf-8"?>
<sst xmlns="http://schemas.openxmlformats.org/spreadsheetml/2006/main" count="238" uniqueCount="138">
  <si>
    <t>Element</t>
  </si>
  <si>
    <t>Ostatnia aktualizacja:</t>
  </si>
  <si>
    <t>Ilość plików podczas ostatniej aktualizacji:</t>
  </si>
  <si>
    <t>Różnice</t>
  </si>
  <si>
    <t>Ilość plików obecnie:</t>
  </si>
  <si>
    <t>Nazwa</t>
  </si>
  <si>
    <t>Zmodyfikowane</t>
  </si>
  <si>
    <t>Zmodyfikowane przez</t>
  </si>
  <si>
    <t>Typ elementu</t>
  </si>
  <si>
    <t>Ścieżka</t>
  </si>
  <si>
    <t>Nazwa2</t>
  </si>
  <si>
    <t>czy brać</t>
  </si>
  <si>
    <t>Rodzaj makra</t>
  </si>
  <si>
    <t xml:space="preserve">Sprawdzenie </t>
  </si>
  <si>
    <t>Czy dodane</t>
  </si>
  <si>
    <t>Data dodania</t>
  </si>
  <si>
    <t>Skrót</t>
  </si>
  <si>
    <t>Ciąg znaków wyszukiwany w nazwie</t>
  </si>
  <si>
    <t>Arkusz z którego pobiera dane</t>
  </si>
  <si>
    <t>Column6</t>
  </si>
  <si>
    <t>KL</t>
  </si>
  <si>
    <t>Kliny łazienkowe</t>
  </si>
  <si>
    <t>kliny</t>
  </si>
  <si>
    <t>klin</t>
  </si>
  <si>
    <t>materialy</t>
  </si>
  <si>
    <t>LM</t>
  </si>
  <si>
    <t>Lista materiałowa</t>
  </si>
  <si>
    <t>lista materiałowa</t>
  </si>
  <si>
    <t>Lista_materialowa</t>
  </si>
  <si>
    <t>panele</t>
  </si>
  <si>
    <t>BA</t>
  </si>
  <si>
    <t>Balkony</t>
  </si>
  <si>
    <t>balkony</t>
  </si>
  <si>
    <t>balkon</t>
  </si>
  <si>
    <t>SW</t>
  </si>
  <si>
    <t>Szyb widnowy</t>
  </si>
  <si>
    <t>szyb windowy</t>
  </si>
  <si>
    <t>wind</t>
  </si>
  <si>
    <t>NS</t>
  </si>
  <si>
    <t>Nadszybie</t>
  </si>
  <si>
    <t>nadszybie</t>
  </si>
  <si>
    <t>nadszyb</t>
  </si>
  <si>
    <t>DAB</t>
  </si>
  <si>
    <t>Daszki nad balkonami</t>
  </si>
  <si>
    <t>daszki</t>
  </si>
  <si>
    <t>daszk</t>
  </si>
  <si>
    <t>DAG</t>
  </si>
  <si>
    <t>Daszki nad galeriami</t>
  </si>
  <si>
    <t>GA</t>
  </si>
  <si>
    <t>Galerie</t>
  </si>
  <si>
    <t>galerie</t>
  </si>
  <si>
    <t>galer</t>
  </si>
  <si>
    <t>TAB</t>
  </si>
  <si>
    <t>Tarasy/balkony na gruncie</t>
  </si>
  <si>
    <t>tarasy</t>
  </si>
  <si>
    <t>TAG</t>
  </si>
  <si>
    <t>Tarasy/Galerie na gruncie</t>
  </si>
  <si>
    <t>TAM</t>
  </si>
  <si>
    <t>Tarasy na module</t>
  </si>
  <si>
    <t>taras</t>
  </si>
  <si>
    <t>TRTB</t>
  </si>
  <si>
    <t>Trap tarasu/balkonu na gruncie</t>
  </si>
  <si>
    <t>trapy</t>
  </si>
  <si>
    <t>trap</t>
  </si>
  <si>
    <t>TRTG</t>
  </si>
  <si>
    <t>Trap tarasu/galerii na gruncie</t>
  </si>
  <si>
    <t>TRB</t>
  </si>
  <si>
    <t>Trap balkonu</t>
  </si>
  <si>
    <t>TRG</t>
  </si>
  <si>
    <t>Trap galerii</t>
  </si>
  <si>
    <t>TRM</t>
  </si>
  <si>
    <t>Trap tarasu na module</t>
  </si>
  <si>
    <t>POB</t>
  </si>
  <si>
    <t>Panele podbitek</t>
  </si>
  <si>
    <t>podbitki</t>
  </si>
  <si>
    <t>podb</t>
  </si>
  <si>
    <t>AT</t>
  </si>
  <si>
    <t>Ściany attykowe produkcja</t>
  </si>
  <si>
    <t>attyki</t>
  </si>
  <si>
    <t>attyk</t>
  </si>
  <si>
    <t>sciany</t>
  </si>
  <si>
    <t>AT-BU</t>
  </si>
  <si>
    <t>Ściany attykowe budowa</t>
  </si>
  <si>
    <t>EL</t>
  </si>
  <si>
    <t>Ściana dobitkowa/szczytowa</t>
  </si>
  <si>
    <t>dobitki</t>
  </si>
  <si>
    <t>dobitk</t>
  </si>
  <si>
    <t>SSB</t>
  </si>
  <si>
    <t>Obudowy szachtów montowane na budowie</t>
  </si>
  <si>
    <t>obudowy szachtów</t>
  </si>
  <si>
    <t>szacht</t>
  </si>
  <si>
    <t>SSP</t>
  </si>
  <si>
    <t>Obudowy szachtów montowane na produkcji</t>
  </si>
  <si>
    <t>TJ</t>
  </si>
  <si>
    <t>Ścianki trejażowe</t>
  </si>
  <si>
    <t>trejaże</t>
  </si>
  <si>
    <t>trejaż</t>
  </si>
  <si>
    <t>UZ</t>
  </si>
  <si>
    <t>Uzupełnienia pod dobitkami/ ścianami szczytowymi</t>
  </si>
  <si>
    <t>uzupełnienia dobitek</t>
  </si>
  <si>
    <t>uzupełn</t>
  </si>
  <si>
    <t>Nie</t>
  </si>
  <si>
    <t>propozycja</t>
  </si>
  <si>
    <t>Nazwa wyszukiwana</t>
  </si>
  <si>
    <t>materiały</t>
  </si>
  <si>
    <t>KL-ŁA</t>
  </si>
  <si>
    <t>KL-BA</t>
  </si>
  <si>
    <t>Kliny balkonów</t>
  </si>
  <si>
    <t>KL-PR</t>
  </si>
  <si>
    <t>Kliny w pralni</t>
  </si>
  <si>
    <t>Attyki nadszybie</t>
  </si>
  <si>
    <t>attyki nadszybie</t>
  </si>
  <si>
    <t>Folder</t>
  </si>
  <si>
    <t>SDD</t>
  </si>
  <si>
    <t>Ścianki daszków</t>
  </si>
  <si>
    <t>ścianki daszków</t>
  </si>
  <si>
    <t>ścianki_daszków</t>
  </si>
  <si>
    <t>dobitka nadszybia</t>
  </si>
  <si>
    <t>dobitka nadszyb</t>
  </si>
  <si>
    <t>!Nieaktualne</t>
  </si>
  <si>
    <t>Barbara Lenicka</t>
  </si>
  <si>
    <t>sites/Unihouse_SA/Shared Documents/Projekty/03. POLSKA/267_2021 Małkinia/! Projekt/4 LISTY/2. Elementy zewnętrzne i stolarnia</t>
  </si>
  <si>
    <t>Aleksandra Godonczuk</t>
  </si>
  <si>
    <t>sites/Unihouse_SA/Shared Documents/Projekty/03. POLSKA/267_2021 Małkinia/! Projekt/4 LISTY/2. Elementy zewnętrzne i stolarnia/!Nieaktualne</t>
  </si>
  <si>
    <t>Attyki- Lista elementów -budowa.xlsx</t>
  </si>
  <si>
    <t>Attyki- Lista elementów -produkcja.xlsx</t>
  </si>
  <si>
    <t>Obudowy szachtów- Lista elementów -produkcja.xlsx</t>
  </si>
  <si>
    <t>Hanna Sehen</t>
  </si>
  <si>
    <t>Balkony - lista elementów.xlsx</t>
  </si>
  <si>
    <t>Balkony - lista klinów.xlsx</t>
  </si>
  <si>
    <t>Obudowy szachtów- Lista elementów -budowa.xlsx</t>
  </si>
  <si>
    <t>Trapy balkonów - lista elementów.xlsx</t>
  </si>
  <si>
    <t>Trapy balkonów - lista klinów.xlsx</t>
  </si>
  <si>
    <t>Izabela Grabowska</t>
  </si>
  <si>
    <t>Dobitka przy kotłowni - Lista elementów.xlsx</t>
  </si>
  <si>
    <t>Obudowy szachtów- Lista elementów -budowa cz.2.xlsx</t>
  </si>
  <si>
    <t>Obudowy szachtów- Lista elementów -produkcja cz.2.xlsx</t>
  </si>
  <si>
    <t xml:space="preserve">Nazwa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</si>
</sst>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6"/>
      <color rgb="FFFF0000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16"/>
      <color rgb="FF00B05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12" fillId="0" borderId="0"/>
    <xf numFmtId="0" fontId="6" fillId="0" borderId="0"/>
    <xf numFmtId="0" fontId="5" fillId="0" borderId="0"/>
    <xf numFmtId="0" fontId="5" fillId="0" borderId="0"/>
    <xf numFmtId="0" fontId="13" fillId="2" borderId="0" applyNumberFormat="0" applyBorder="0" applyAlignment="0" applyProtection="0"/>
    <xf numFmtId="0" fontId="4" fillId="0" borderId="0"/>
    <xf numFmtId="0" fontId="17" fillId="0" borderId="0" applyNumberFormat="0" applyFill="0" applyBorder="0" applyAlignment="0" applyProtection="0"/>
    <xf numFmtId="0" fontId="3" fillId="0" borderId="0"/>
    <xf numFmtId="0" fontId="18" fillId="0" borderId="0" applyNumberFormat="0" applyFill="0" applyBorder="0" applyAlignment="0" applyProtection="0"/>
  </cellStyleXfs>
  <cellXfs count="17">
    <xf numFmtId="0" fontId="0" fillId="0" borderId="0" xfId="0"/>
    <xf numFmtId="0" fontId="4" fillId="0" borderId="0" xfId="11"/>
    <xf numFmtId="0" fontId="14" fillId="0" borderId="0" xfId="11" applyFont="1" applyAlignment="1">
      <alignment horizontal="right" vertical="center"/>
    </xf>
    <xf numFmtId="14" fontId="14" fillId="0" borderId="0" xfId="11" applyNumberFormat="1" applyFont="1" applyAlignment="1">
      <alignment horizontal="left" vertical="center"/>
    </xf>
    <xf numFmtId="0" fontId="14" fillId="0" borderId="0" xfId="11" applyFont="1" applyAlignment="1">
      <alignment horizontal="left" vertical="center"/>
    </xf>
    <xf numFmtId="0" fontId="15" fillId="2" borderId="0" xfId="10" applyFont="1" applyAlignment="1">
      <alignment horizontal="center" vertical="center"/>
    </xf>
    <xf numFmtId="0" fontId="16" fillId="0" borderId="0" xfId="11" applyFont="1" applyAlignment="1">
      <alignment horizontal="left" vertical="center"/>
    </xf>
    <xf numFmtId="49" fontId="4" fillId="0" borderId="0" xfId="11" applyNumberFormat="1"/>
    <xf numFmtId="22" fontId="4" fillId="0" borderId="0" xfId="11" applyNumberFormat="1"/>
    <xf numFmtId="0" fontId="18" fillId="0" borderId="0" xfId="14"/>
    <xf numFmtId="0" fontId="2" fillId="0" borderId="0" xfId="11" applyFont="1"/>
    <xf numFmtId="0" fontId="4" fillId="0" borderId="0" xfId="11" applyFill="1"/>
    <xf numFmtId="22" fontId="4" fillId="0" borderId="0" xfId="11" applyNumberFormat="1" applyFill="1"/>
    <xf numFmtId="49" fontId="4" fillId="0" borderId="0" xfId="11" applyNumberFormat="1" applyFill="1"/>
    <xf numFmtId="0" fontId="4" fillId="0" borderId="0" xfId="11" applyNumberFormat="1" applyFill="1"/>
    <xf numFmtId="0" fontId="1" fillId="0" borderId="0" xfId="11" applyFont="1"/>
    <xf numFmtId="49" fontId="1" fillId="0" borderId="0" xfId="11" applyNumberFormat="1" applyFont="1"/>
  </cellXfs>
  <cellStyles count="15">
    <cellStyle name="Hiperłącze" xfId="14" builtinId="8"/>
    <cellStyle name="Hiperłącze 2" xfId="12" xr:uid="{00000000-0005-0000-0000-000001000000}"/>
    <cellStyle name="Normalny" xfId="0" builtinId="0"/>
    <cellStyle name="Normalny 2" xfId="1" xr:uid="{00000000-0005-0000-0000-000003000000}"/>
    <cellStyle name="Normalny 2 2" xfId="6" xr:uid="{00000000-0005-0000-0000-000004000000}"/>
    <cellStyle name="Normalny 3" xfId="2" xr:uid="{00000000-0005-0000-0000-000005000000}"/>
    <cellStyle name="Normalny 3 2" xfId="3" xr:uid="{00000000-0005-0000-0000-000006000000}"/>
    <cellStyle name="Normalny 3 2 2" xfId="4" xr:uid="{00000000-0005-0000-0000-000007000000}"/>
    <cellStyle name="Normalny 3 2 2 2" xfId="8" xr:uid="{00000000-0005-0000-0000-000008000000}"/>
    <cellStyle name="Normalny 3 2 3" xfId="9" xr:uid="{00000000-0005-0000-0000-000009000000}"/>
    <cellStyle name="Normalny 4" xfId="5" xr:uid="{00000000-0005-0000-0000-00000A000000}"/>
    <cellStyle name="Normalny 5" xfId="7" xr:uid="{00000000-0005-0000-0000-00000B000000}"/>
    <cellStyle name="Normalny 6" xfId="11" xr:uid="{00000000-0005-0000-0000-00000C000000}"/>
    <cellStyle name="Normalny 7" xfId="13" xr:uid="{00000000-0005-0000-0000-00000D000000}"/>
    <cellStyle name="Zły" xfId="10" builtinId="27"/>
  </cellStyles>
  <dxfs count="13"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27" formatCode="yyyy/mm/dd\ hh:mm"/>
      <fill>
        <patternFill patternType="none">
          <fgColor indexed="64"/>
          <bgColor indexed="65"/>
        </patternFill>
      </fill>
    </dxf>
    <dxf>
      <font>
        <sz val="11"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10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46F421CA-312F-682f-3DD2-61675219B42D}">
      <x14:dxfs count="8"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36970</xdr:colOff>
      <xdr:row>4</xdr:row>
      <xdr:rowOff>49296</xdr:rowOff>
    </xdr:from>
    <xdr:to>
      <xdr:col>0</xdr:col>
      <xdr:colOff>3071787</xdr:colOff>
      <xdr:row>7</xdr:row>
      <xdr:rowOff>110912</xdr:rowOff>
    </xdr:to>
    <xdr:sp macro="[0]!Tworzenie_zapytan.Tworzenie_zapytan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6970" y="1153477"/>
          <a:ext cx="817828" cy="6050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Uruchomienie makra Zapytania</a:t>
          </a:r>
        </a:p>
      </xdr:txBody>
    </xdr:sp>
    <xdr:clientData/>
  </xdr:twoCellAnchor>
  <xdr:twoCellAnchor>
    <xdr:from>
      <xdr:col>1</xdr:col>
      <xdr:colOff>617294</xdr:colOff>
      <xdr:row>4</xdr:row>
      <xdr:rowOff>157848</xdr:rowOff>
    </xdr:from>
    <xdr:to>
      <xdr:col>4</xdr:col>
      <xdr:colOff>520947</xdr:colOff>
      <xdr:row>6</xdr:row>
      <xdr:rowOff>150502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pSpPr/>
      </xdr:nvGrpSpPr>
      <xdr:grpSpPr>
        <a:xfrm>
          <a:off x="4162251" y="1276000"/>
          <a:ext cx="3672239" cy="373654"/>
          <a:chOff x="3772097" y="1156165"/>
          <a:chExt cx="3782178" cy="362239"/>
        </a:xfrm>
      </xdr:grpSpPr>
      <xdr:sp macro="[0]!odkryj_arkusze" textlink="">
        <xdr:nvSpPr>
          <xdr:cNvPr id="4" name="Prostokąt: zaokrąglone rogi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3772097" y="1158404"/>
            <a:ext cx="1650221" cy="360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pl-PL" sz="1800"/>
              <a:t>Odkryj arkusze</a:t>
            </a:r>
          </a:p>
        </xdr:txBody>
      </xdr:sp>
      <xdr:sp macro="[0]!ukryj_arkusze" textlink="">
        <xdr:nvSpPr>
          <xdr:cNvPr id="5" name="Prostokąt: zaokrąglone rogi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5632940" y="1156165"/>
            <a:ext cx="1921335" cy="360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r>
              <a:rPr lang="pl-PL" sz="1800"/>
              <a:t>Ukryj</a:t>
            </a:r>
            <a:r>
              <a:rPr lang="pl-PL" sz="1800" baseline="0"/>
              <a:t> </a:t>
            </a:r>
            <a:r>
              <a:rPr lang="pl-PL" sz="1800"/>
              <a:t>arkusze</a:t>
            </a:r>
          </a:p>
        </xdr:txBody>
      </xdr:sp>
    </xdr:grpSp>
    <xdr:clientData/>
  </xdr:twoCellAnchor>
  <xdr:twoCellAnchor>
    <xdr:from>
      <xdr:col>4</xdr:col>
      <xdr:colOff>725779</xdr:colOff>
      <xdr:row>4</xdr:row>
      <xdr:rowOff>148241</xdr:rowOff>
    </xdr:from>
    <xdr:to>
      <xdr:col>4</xdr:col>
      <xdr:colOff>2433810</xdr:colOff>
      <xdr:row>6</xdr:row>
      <xdr:rowOff>138907</xdr:rowOff>
    </xdr:to>
    <xdr:sp macro="[0]!Odżwież_query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7647208" y="1244303"/>
          <a:ext cx="1708031" cy="356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Odśwież</a:t>
          </a:r>
          <a:r>
            <a:rPr lang="pl-PL" sz="2000" baseline="0"/>
            <a:t> query</a:t>
          </a:r>
          <a:endParaRPr lang="pl-PL" sz="20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_1" connectionId="12" xr16:uid="{00000000-0016-0000-0E00-00000E000000}" autoFormatId="16" applyNumberFormats="0" applyBorderFormats="0" applyFontFormats="0" applyPatternFormats="0" applyAlignmentFormats="0" applyWidthHeightFormats="0">
  <queryTableRefresh nextId="17" unboundColumnsRight="7">
    <queryTableFields count="12">
      <queryTableField id="5" name="Nazwa" tableColumnId="1"/>
      <queryTableField id="1" name="Zmodyfikowane" tableColumnId="2"/>
      <queryTableField id="2" name="Zmodyfikowane przez" tableColumnId="3"/>
      <queryTableField id="4" name="Typ elementu" tableColumnId="4"/>
      <queryTableField id="3" name="Ścieżka" tableColumnId="5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7"/>
      <queryTableField id="15" dataBound="0" tableColumnId="6"/>
      <queryTableField id="16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3" xr16:uid="{00000000-0016-0000-0E00-00000F000000}" autoFormatId="16" applyNumberFormats="0" applyBorderFormats="0" applyFontFormats="0" applyPatternFormats="0" applyAlignmentFormats="0" applyWidthHeightFormats="0">
  <queryTableRefresh nextId="7">
    <queryTableFields count="6">
      <queryTableField id="1" name="Skrót" tableColumnId="1"/>
      <queryTableField id="2" name="Nazwa" tableColumnId="2"/>
      <queryTableField id="3" name="Element" tableColumnId="3"/>
      <queryTableField id="4" name="Ciąg znaków wyszukiwany w nazwie" tableColumnId="4"/>
      <queryTableField id="5" name="Arkusz z którego pobiera dane" tableColumnId="5"/>
      <queryTableField id="6" name="Column6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D000000}" name="Tabela_query" displayName="Tabela_query" ref="A10:L24" tableType="queryTable" totalsRowShown="0">
  <autoFilter ref="A10:L24" xr:uid="{00000000-0009-0000-0100-000003000000}"/>
  <tableColumns count="12">
    <tableColumn id="1" xr3:uid="{00000000-0010-0000-0D00-000001000000}" uniqueName="FileLeafRef" name="Nazwa" queryTableFieldId="5" dataCellStyle="Hiperłącze"/>
    <tableColumn id="2" xr3:uid="{00000000-0010-0000-0D00-000002000000}" uniqueName="Modified" name="Zmodyfikowane" queryTableFieldId="1" dataDxfId="10" dataCellStyle="Normalny 6"/>
    <tableColumn id="3" xr3:uid="{00000000-0010-0000-0D00-000003000000}" uniqueName="Editor" name="Zmodyfikowane przez" queryTableFieldId="2" dataDxfId="9" dataCellStyle="Normalny 6"/>
    <tableColumn id="4" xr3:uid="{00000000-0010-0000-0D00-000004000000}" uniqueName="FSObjType" name="Typ elementu" queryTableFieldId="4" dataDxfId="8" dataCellStyle="Normalny 6"/>
    <tableColumn id="5" xr3:uid="{00000000-0010-0000-0D00-000005000000}" uniqueName="FileDirRef" name="Ścieżka" queryTableFieldId="3" dataDxfId="7" dataCellStyle="Normalny 6"/>
    <tableColumn id="8" xr3:uid="{00000000-0010-0000-0D00-000008000000}" uniqueName="8" name="Nazwa2" queryTableFieldId="8" dataDxfId="6" dataCellStyle="Normalny 6"/>
    <tableColumn id="9" xr3:uid="{00000000-0010-0000-0D00-000009000000}" uniqueName="9" name="czy brać" queryTableFieldId="9" dataDxfId="5" dataCellStyle="Normalny 6">
      <calculatedColumnFormula>IF(OR(RIGHT(Tabela_query[[#This Row],[Nazwa]],4)&lt;&gt;"xlsx",ISNUMBER(FIND("Nieaktualne",E11,1))),"Nie","Tak")</calculatedColumnFormula>
    </tableColumn>
    <tableColumn id="10" xr3:uid="{00000000-0010-0000-0D00-00000A000000}" uniqueName="10" name="Rodzaj makra" queryTableFieldId="10" dataDxfId="4" dataCellStyle="Normalny 6">
      <calculatedColumnFormula array="1">IF(Tabela_query[[#This Row],[czy brać]]="TAK",INDEX(Skróty_elementów[Arkusz z którego pobiera dane],MATCH(1,COUNTIF(A11,"*"&amp;Skróty_elementów[Ciąg znaków wyszukiwany w nazwie]&amp;"*"),0),1),"Nie")</calculatedColumnFormula>
    </tableColumn>
    <tableColumn id="11" xr3:uid="{00000000-0010-0000-0D00-00000B000000}" uniqueName="11" name="Nazwa " queryTableFieldId="11" dataDxfId="3" dataCellStyle="Normalny 6">
      <calculatedColumnFormula>LEFT(A11,FIND(CHAR(46),A11)-1)</calculatedColumnFormula>
    </tableColumn>
    <tableColumn id="7" xr3:uid="{00000000-0010-0000-0D00-000007000000}" uniqueName="7" name="Sprawdzenie " queryTableFieldId="12" dataDxfId="2" dataCellStyle="Normalny 6">
      <calculatedColumnFormula>IF(OR(RIGHT(Tabela_query[[#This Row],[Nazwa]],4)&lt;&gt;"xlsx",ISNUMBER(FIND("Nieaktualne",H11,1))),"Nie","Tak")</calculatedColumnFormula>
    </tableColumn>
    <tableColumn id="6" xr3:uid="{00000000-0010-0000-0D00-000006000000}" uniqueName="6" name="Czy dodane" queryTableFieldId="15" dataDxfId="1" dataCellStyle="Normalny 6"/>
    <tableColumn id="12" xr3:uid="{00000000-0010-0000-0D00-00000C000000}" uniqueName="12" name="Data dodania" queryTableFieldId="16" dataDxfId="0" dataCellStyle="Normalny 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E000000}" name="Skróty_elementów" displayName="Skróty_elementów" ref="Q10:V45" tableType="queryTable" totalsRowShown="0" dataCellStyle="Normalny 6">
  <autoFilter ref="Q10:V45" xr:uid="{00000000-0009-0000-0100-00000B000000}"/>
  <tableColumns count="6">
    <tableColumn id="1" xr3:uid="{00000000-0010-0000-0E00-000001000000}" uniqueName="1" name="Skrót" queryTableFieldId="1" dataCellStyle="Normalny 6"/>
    <tableColumn id="2" xr3:uid="{00000000-0010-0000-0E00-000002000000}" uniqueName="2" name="Nazwa" queryTableFieldId="2" dataCellStyle="Normalny 6"/>
    <tableColumn id="3" xr3:uid="{00000000-0010-0000-0E00-000003000000}" uniqueName="3" name="Element" queryTableFieldId="3" dataCellStyle="Normalny 6"/>
    <tableColumn id="4" xr3:uid="{00000000-0010-0000-0E00-000004000000}" uniqueName="4" name="Ciąg znaków wyszukiwany w nazwie" queryTableFieldId="4" dataCellStyle="Normalny 6"/>
    <tableColumn id="5" xr3:uid="{00000000-0010-0000-0E00-000005000000}" uniqueName="5" name="Arkusz z którego pobiera dane" queryTableFieldId="5" dataCellStyle="Normalny 6"/>
    <tableColumn id="6" xr3:uid="{00000000-0010-0000-0E00-000006000000}" uniqueName="6" name="Column6" queryTableFieldId="6" dataCellStyle="Normalny 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budowa.xlsx" TargetMode="External"/><Relationship Id="rId13" Type="http://schemas.openxmlformats.org/officeDocument/2006/relationships/hyperlink" Target="https://unibep.sharepoint.com/sites/Unihouse_SA/Shared%20Documents/Projekty/03.%20POLSKA/267_2021%20Ma%C5%82kinia/!%20Projekt/4%20LISTY/2.%20Elementy%20zewn%C4%99trzne%20i%20stolarnia/!Nieaktualne/Attyki-%20Lista%20element%C3%B3w%20-budowa.xlsx" TargetMode="External"/><Relationship Id="rId18" Type="http://schemas.openxmlformats.org/officeDocument/2006/relationships/table" Target="../tables/table2.xml"/><Relationship Id="rId3" Type="http://schemas.openxmlformats.org/officeDocument/2006/relationships/hyperlink" Target="https://unibep.sharepoint.com/sites/Unihouse_SA/Shared%20Documents/Projekty/03.%20POLSKA/267_2021%20Ma%C5%82kinia/!%20Projekt/4%20LISTY/2.%20Elementy%20zewn%C4%99trzne%20i%20stolarnia/Attyki-%20Lista%20element%C3%B3w%20-produkcja.xlsx" TargetMode="External"/><Relationship Id="rId7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budowa%20cz.2.xlsx" TargetMode="External"/><Relationship Id="rId12" Type="http://schemas.openxmlformats.org/officeDocument/2006/relationships/hyperlink" Target="https://unibep.sharepoint.com/sites/Unihouse_SA/Shared%20Documents/Projekty/03.%20POLSKA/267_2021%20Ma%C5%82kinia/!%20Projekt/4%20LISTY/2.%20Elementy%20zewn%C4%99trzne%20i%20stolarnia/Trapy%20balkon%C3%B3w%20-%20lista%20klin%C3%B3w.xlsx" TargetMode="External"/><Relationship Id="rId17" Type="http://schemas.openxmlformats.org/officeDocument/2006/relationships/table" Target="../tables/table1.xml"/><Relationship Id="rId2" Type="http://schemas.openxmlformats.org/officeDocument/2006/relationships/hyperlink" Target="https://unibep.sharepoint.com/sites/Unihouse_SA/Shared%20Documents/Projekty/03.%20POLSKA/267_2021%20Ma%C5%82kinia/!%20Projekt/4%20LISTY/2.%20Elementy%20zewn%C4%99trzne%20i%20stolarnia/Attyki-%20Lista%20element%C3%B3w%20-budowa.xlsx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unibep.sharepoint.com/sites/Unihouse_SA/Shared%20Documents/Forms/AllItems.aspx?RootFolder=/sites%2FUnihouse%5FSA%2FShared%20Documents%2FProjekty%2F03%2E%20POLSKA%2F267%5F2021%20Ma%C5%82kinia%2F%21%20Projekt%2F4%20LISTY%2F2%2E%20Elementy%20zewn%C4%99" TargetMode="External"/><Relationship Id="rId6" Type="http://schemas.openxmlformats.org/officeDocument/2006/relationships/hyperlink" Target="https://unibep.sharepoint.com/sites/Unihouse_SA/Shared%20Documents/Projekty/03.%20POLSKA/267_2021%20Ma%C5%82kinia/!%20Projekt/4%20LISTY/2.%20Elementy%20zewn%C4%99trzne%20i%20stolarnia/Dobitka%20przy%20kot%C5%82owni%20-%20Lista%20element%C3%B3w.xlsx" TargetMode="External"/><Relationship Id="rId11" Type="http://schemas.openxmlformats.org/officeDocument/2006/relationships/hyperlink" Target="https://unibep.sharepoint.com/sites/Unihouse_SA/Shared%20Documents/Projekty/03.%20POLSKA/267_2021%20Ma%C5%82kinia/!%20Projekt/4%20LISTY/2.%20Elementy%20zewn%C4%99trzne%20i%20stolarnia/Trapy%20balkon%C3%B3w%20-%20lista%20element%C3%B3w.xlsx" TargetMode="External"/><Relationship Id="rId5" Type="http://schemas.openxmlformats.org/officeDocument/2006/relationships/hyperlink" Target="https://unibep.sharepoint.com/sites/Unihouse_SA/Shared%20Documents/Projekty/03.%20POLSKA/267_2021%20Ma%C5%82kinia/!%20Projekt/4%20LISTY/2.%20Elementy%20zewn%C4%99trzne%20i%20stolarnia/Balkony%20-%20lista%20klin%C3%B3w.xlsx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produkcja.xlsx" TargetMode="External"/><Relationship Id="rId4" Type="http://schemas.openxmlformats.org/officeDocument/2006/relationships/hyperlink" Target="https://unibep.sharepoint.com/sites/Unihouse_SA/Shared%20Documents/Projekty/03.%20POLSKA/267_2021%20Ma%C5%82kinia/!%20Projekt/4%20LISTY/2.%20Elementy%20zewn%C4%99trzne%20i%20stolarnia/Balkony%20-%20lista%20element%C3%B3w.xlsx" TargetMode="External"/><Relationship Id="rId9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produkcja%20cz.2.x" TargetMode="External"/><Relationship Id="rId14" Type="http://schemas.openxmlformats.org/officeDocument/2006/relationships/hyperlink" Target="https://unibep.sharepoint.com/sites/Unihouse_SA/Shared%20Documents/Projekty/03.%20POLSKA/267_2021%20Ma%C5%82kinia/!%20Projekt/4%20LISTY/2.%20Elementy%20zewn%C4%99trzne%20i%20stolarnia/!Nieaktualne/Obudowy%20szacht%C3%B3w-%20Lista%20element%C3%B3w%20-pro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"/>
  <dimension ref="A1:V45"/>
  <sheetViews>
    <sheetView showGridLines="0" tabSelected="1" zoomScale="115" zoomScaleNormal="115" workbookViewId="0">
      <selection activeCell="A28" sqref="A28"/>
    </sheetView>
  </sheetViews>
  <sheetFormatPr defaultColWidth="9" defaultRowHeight="15" x14ac:dyDescent="0.25"/>
  <cols>
    <col min="1" max="1" width="53.140625" style="1" bestFit="1" customWidth="1"/>
    <col min="2" max="2" width="17.7109375" style="1" bestFit="1" customWidth="1"/>
    <col min="3" max="3" width="23" style="1" bestFit="1" customWidth="1"/>
    <col min="4" max="4" width="15.7109375" style="1" bestFit="1" customWidth="1"/>
    <col min="5" max="5" width="81.140625" style="1" bestFit="1" customWidth="1"/>
    <col min="6" max="7" width="10.140625" style="1" bestFit="1" customWidth="1"/>
    <col min="8" max="8" width="15" style="1" bestFit="1" customWidth="1"/>
    <col min="9" max="9" width="47.42578125" style="1" bestFit="1" customWidth="1"/>
    <col min="10" max="10" width="15.140625" style="1" bestFit="1" customWidth="1"/>
    <col min="11" max="11" width="13.42578125" style="1" bestFit="1" customWidth="1"/>
    <col min="12" max="12" width="14.85546875" style="1" bestFit="1" customWidth="1"/>
    <col min="13" max="13" width="5.42578125" style="1" customWidth="1"/>
    <col min="14" max="14" width="10.7109375" style="1" bestFit="1" customWidth="1"/>
    <col min="15" max="15" width="12.85546875" style="1" customWidth="1"/>
    <col min="16" max="16" width="20.28515625" style="1" bestFit="1" customWidth="1"/>
    <col min="17" max="17" width="10.5703125" style="1" bestFit="1" customWidth="1"/>
    <col min="18" max="18" width="47.85546875" style="1" bestFit="1" customWidth="1"/>
    <col min="19" max="19" width="20.140625" style="1" bestFit="1" customWidth="1"/>
    <col min="20" max="20" width="35.7109375" style="1" bestFit="1" customWidth="1"/>
    <col min="21" max="21" width="30.42578125" style="1" bestFit="1" customWidth="1"/>
    <col min="22" max="22" width="11.140625" style="1" bestFit="1" customWidth="1"/>
    <col min="23" max="16384" width="9" style="1"/>
  </cols>
  <sheetData>
    <row r="1" spans="1:22" ht="21" x14ac:dyDescent="0.25">
      <c r="B1" s="2" t="s">
        <v>1</v>
      </c>
      <c r="C1" s="3">
        <v>44589</v>
      </c>
    </row>
    <row r="2" spans="1:22" ht="26.25" x14ac:dyDescent="0.25">
      <c r="B2" s="2" t="s">
        <v>2</v>
      </c>
      <c r="C2" s="4">
        <v>9</v>
      </c>
      <c r="D2" s="5" t="s">
        <v>3</v>
      </c>
    </row>
    <row r="3" spans="1:22" ht="26.25" x14ac:dyDescent="0.25">
      <c r="B3" s="2" t="s">
        <v>4</v>
      </c>
      <c r="C3" s="6">
        <v>9</v>
      </c>
      <c r="D3" s="5">
        <f>C2-C3</f>
        <v>0</v>
      </c>
    </row>
    <row r="10" spans="1:22" x14ac:dyDescent="0.25">
      <c r="A10" s="1" t="s">
        <v>5</v>
      </c>
      <c r="B10" s="1" t="s">
        <v>6</v>
      </c>
      <c r="C10" s="1" t="s">
        <v>7</v>
      </c>
      <c r="D10" s="1" t="s">
        <v>8</v>
      </c>
      <c r="E10" s="1" t="s">
        <v>9</v>
      </c>
      <c r="F10" s="7" t="s">
        <v>10</v>
      </c>
      <c r="G10" s="1" t="s">
        <v>11</v>
      </c>
      <c r="H10" s="1" t="s">
        <v>12</v>
      </c>
      <c r="I10" s="15" t="s">
        <v>137</v>
      </c>
      <c r="J10" s="1" t="s">
        <v>13</v>
      </c>
      <c r="K10" s="1" t="s">
        <v>14</v>
      </c>
      <c r="L10" s="1" t="s">
        <v>15</v>
      </c>
      <c r="Q10" t="s">
        <v>16</v>
      </c>
      <c r="R10" t="s">
        <v>5</v>
      </c>
      <c r="S10" t="s">
        <v>0</v>
      </c>
      <c r="T10" t="s">
        <v>17</v>
      </c>
      <c r="U10" t="s">
        <v>18</v>
      </c>
      <c r="V10" t="s">
        <v>19</v>
      </c>
    </row>
    <row r="11" spans="1:22" x14ac:dyDescent="0.25">
      <c r="A11" s="9" t="s">
        <v>119</v>
      </c>
      <c r="B11" s="8">
        <v>44516.54650462963</v>
      </c>
      <c r="C11" s="16" t="s">
        <v>120</v>
      </c>
      <c r="D11" s="7" t="s">
        <v>112</v>
      </c>
      <c r="E11" s="7" t="s">
        <v>121</v>
      </c>
      <c r="F11" s="7"/>
      <c r="G11" s="1" t="str">
        <f>IF(OR(RIGHT(Tabela_query[[#This Row],[Nazwa]],4)&lt;&gt;"xlsx",ISNUMBER(FIND("Nieaktualne",E11,1))),"Nie","Tak")</f>
        <v>Nie</v>
      </c>
      <c r="H11" s="1" t="str">
        <f t="array" ref="H11">IF(Tabela_query[[#This Row],[czy brać]]="TAK",INDEX(Skróty_elementów[Arkusz z którego pobiera dane],MATCH(1,COUNTIF(A11,"*"&amp;Skróty_elementów[Ciąg znaków wyszukiwany w nazwie]&amp;"*"),0),1),"Nie")</f>
        <v>Nie</v>
      </c>
      <c r="I11" s="1" t="e">
        <f t="shared" ref="I11:I24" si="0">LEFT(A11,FIND(CHAR(46),A11)-1)</f>
        <v>#VALUE!</v>
      </c>
      <c r="J11" s="13" t="str">
        <f>IF(OR(RIGHT(Tabela_query[[#This Row],[Nazwa]],4)&lt;&gt;"xlsx",ISNUMBER(FIND("Nieaktualne",H11,1))),"Nie","Tak")</f>
        <v>Nie</v>
      </c>
      <c r="K11" s="7"/>
      <c r="M11" s="7"/>
      <c r="Q11" t="s">
        <v>113</v>
      </c>
      <c r="R11" t="s">
        <v>114</v>
      </c>
      <c r="S11" t="s">
        <v>115</v>
      </c>
      <c r="T11" t="s">
        <v>116</v>
      </c>
      <c r="U11" t="s">
        <v>80</v>
      </c>
      <c r="V11"/>
    </row>
    <row r="12" spans="1:22" x14ac:dyDescent="0.25">
      <c r="A12" s="9" t="s">
        <v>124</v>
      </c>
      <c r="B12" s="12">
        <v>44581.472511574073</v>
      </c>
      <c r="C12" s="13" t="s">
        <v>122</v>
      </c>
      <c r="D12" s="13" t="s">
        <v>0</v>
      </c>
      <c r="E12" s="13" t="s">
        <v>121</v>
      </c>
      <c r="F12" s="13"/>
      <c r="G12" s="14" t="str">
        <f>IF(OR(RIGHT(Tabela_query[[#This Row],[Nazwa]],4)&lt;&gt;"xlsx",ISNUMBER(FIND("Nieaktualne",E12,1))),"Nie","Tak")</f>
        <v>Tak</v>
      </c>
      <c r="H12" s="14" t="str">
        <f t="array" ref="H12">IF(Tabela_query[[#This Row],[czy brać]]="TAK",INDEX(Skróty_elementów[Arkusz z którego pobiera dane],MATCH(1,COUNTIF(A12,"*"&amp;Skróty_elementów[Ciąg znaków wyszukiwany w nazwie]&amp;"*"),0),1),"Nie")</f>
        <v>sciany</v>
      </c>
      <c r="I12" s="11" t="str">
        <f t="shared" si="0"/>
        <v>Attyki- Lista elementów -budowa</v>
      </c>
      <c r="J12" s="11" t="str">
        <f>IF(OR(RIGHT(Tabela_query[[#This Row],[Nazwa]],4)&lt;&gt;"xlsx",ISNUMBER(FIND("Nieaktualne",H12,1))),"Nie","Tak")</f>
        <v>Tak</v>
      </c>
      <c r="K12" s="13"/>
      <c r="L12" s="11"/>
      <c r="M12" s="7"/>
      <c r="Q12" t="s">
        <v>113</v>
      </c>
      <c r="R12" t="s">
        <v>114</v>
      </c>
      <c r="S12" t="s">
        <v>115</v>
      </c>
      <c r="T12" t="s">
        <v>115</v>
      </c>
      <c r="U12" t="s">
        <v>80</v>
      </c>
      <c r="V12"/>
    </row>
    <row r="13" spans="1:22" x14ac:dyDescent="0.25">
      <c r="A13" s="9" t="s">
        <v>125</v>
      </c>
      <c r="B13" s="12">
        <v>44581.399537037039</v>
      </c>
      <c r="C13" s="13" t="s">
        <v>122</v>
      </c>
      <c r="D13" s="13" t="s">
        <v>0</v>
      </c>
      <c r="E13" s="13" t="s">
        <v>121</v>
      </c>
      <c r="F13" s="13"/>
      <c r="G13" s="14" t="str">
        <f>IF(OR(RIGHT(Tabela_query[[#This Row],[Nazwa]],4)&lt;&gt;"xlsx",ISNUMBER(FIND("Nieaktualne",E13,1))),"Nie","Tak")</f>
        <v>Tak</v>
      </c>
      <c r="H13" s="14" t="str">
        <f t="array" ref="H13">IF(Tabela_query[[#This Row],[czy brać]]="TAK",INDEX(Skróty_elementów[Arkusz z którego pobiera dane],MATCH(1,COUNTIF(A13,"*"&amp;Skróty_elementów[Ciąg znaków wyszukiwany w nazwie]&amp;"*"),0),1),"Nie")</f>
        <v>sciany</v>
      </c>
      <c r="I13" s="11" t="str">
        <f t="shared" si="0"/>
        <v>Attyki- Lista elementów -produkcja</v>
      </c>
      <c r="J13" s="14" t="str">
        <f>IF(OR(RIGHT(Tabela_query[[#This Row],[Nazwa]],4)&lt;&gt;"xlsx",ISNUMBER(FIND("Nieaktualne",H13,1))),"Nie","Tak")</f>
        <v>Tak</v>
      </c>
      <c r="K13" s="13"/>
      <c r="L13" s="11"/>
      <c r="M13" s="7"/>
      <c r="Q13"/>
      <c r="R13" t="s">
        <v>117</v>
      </c>
      <c r="S13" t="s">
        <v>117</v>
      </c>
      <c r="T13" t="s">
        <v>118</v>
      </c>
      <c r="U13" t="s">
        <v>80</v>
      </c>
      <c r="V13"/>
    </row>
    <row r="14" spans="1:22" x14ac:dyDescent="0.25">
      <c r="A14" s="9" t="s">
        <v>128</v>
      </c>
      <c r="B14" s="12">
        <v>44589.385277777779</v>
      </c>
      <c r="C14" s="13" t="s">
        <v>127</v>
      </c>
      <c r="D14" s="13" t="s">
        <v>0</v>
      </c>
      <c r="E14" s="13" t="s">
        <v>121</v>
      </c>
      <c r="F14" s="13"/>
      <c r="G14" s="14" t="str">
        <f>IF(OR(RIGHT(Tabela_query[[#This Row],[Nazwa]],4)&lt;&gt;"xlsx",ISNUMBER(FIND("Nieaktualne",E14,1))),"Nie","Tak")</f>
        <v>Tak</v>
      </c>
      <c r="H14" s="14" t="str">
        <f t="array" ref="H14">IF(Tabela_query[[#This Row],[czy brać]]="TAK",INDEX(Skróty_elementów[Arkusz z którego pobiera dane],MATCH(1,COUNTIF(A14,"*"&amp;Skróty_elementów[Ciąg znaków wyszukiwany w nazwie]&amp;"*"),0),1),"Nie")</f>
        <v>panele</v>
      </c>
      <c r="I14" s="11" t="str">
        <f t="shared" si="0"/>
        <v>Balkony - lista elementów</v>
      </c>
      <c r="J14" s="14" t="str">
        <f>IF(OR(RIGHT(Tabela_query[[#This Row],[Nazwa]],4)&lt;&gt;"xlsx",ISNUMBER(FIND("Nieaktualne",H14,1))),"Nie","Tak")</f>
        <v>Tak</v>
      </c>
      <c r="K14" s="13"/>
      <c r="L14" s="11"/>
      <c r="M14" s="7"/>
      <c r="Q14" t="s">
        <v>20</v>
      </c>
      <c r="R14" t="s">
        <v>21</v>
      </c>
      <c r="S14" t="s">
        <v>22</v>
      </c>
      <c r="T14" t="s">
        <v>23</v>
      </c>
      <c r="U14" t="s">
        <v>24</v>
      </c>
      <c r="V14"/>
    </row>
    <row r="15" spans="1:22" x14ac:dyDescent="0.25">
      <c r="A15" s="9" t="s">
        <v>129</v>
      </c>
      <c r="B15" s="12">
        <v>44589.386701388888</v>
      </c>
      <c r="C15" s="13" t="s">
        <v>127</v>
      </c>
      <c r="D15" s="13" t="s">
        <v>0</v>
      </c>
      <c r="E15" s="13" t="s">
        <v>121</v>
      </c>
      <c r="F15" s="13"/>
      <c r="G15" s="14" t="str">
        <f>IF(OR(RIGHT(Tabela_query[[#This Row],[Nazwa]],4)&lt;&gt;"xlsx",ISNUMBER(FIND("Nieaktualne",E15,1))),"Nie","Tak")</f>
        <v>Tak</v>
      </c>
      <c r="H15" s="14" t="str">
        <f t="array" ref="H15">IF(Tabela_query[[#This Row],[czy brać]]="TAK",INDEX(Skróty_elementów[Arkusz z którego pobiera dane],MATCH(1,COUNTIF(A15,"*"&amp;Skróty_elementów[Ciąg znaków wyszukiwany w nazwie]&amp;"*"),0),1),"Nie")</f>
        <v>materialy</v>
      </c>
      <c r="I15" s="11" t="str">
        <f t="shared" si="0"/>
        <v>Balkony - lista klinów</v>
      </c>
      <c r="J15" s="14" t="str">
        <f>IF(OR(RIGHT(Tabela_query[[#This Row],[Nazwa]],4)&lt;&gt;"xlsx",ISNUMBER(FIND("Nieaktualne",H15,1))),"Nie","Tak")</f>
        <v>Tak</v>
      </c>
      <c r="K15" s="13"/>
      <c r="L15" s="11"/>
      <c r="M15" s="7"/>
      <c r="Q15" t="s">
        <v>25</v>
      </c>
      <c r="R15" t="s">
        <v>26</v>
      </c>
      <c r="S15" t="s">
        <v>27</v>
      </c>
      <c r="T15" t="s">
        <v>28</v>
      </c>
      <c r="U15" t="s">
        <v>29</v>
      </c>
      <c r="V15"/>
    </row>
    <row r="16" spans="1:22" x14ac:dyDescent="0.25">
      <c r="A16" s="9" t="s">
        <v>134</v>
      </c>
      <c r="B16" s="12">
        <v>44607.570300925923</v>
      </c>
      <c r="C16" s="13" t="s">
        <v>133</v>
      </c>
      <c r="D16" s="13" t="s">
        <v>0</v>
      </c>
      <c r="E16" s="13" t="s">
        <v>121</v>
      </c>
      <c r="F16" s="13"/>
      <c r="G16" s="14" t="str">
        <f>IF(OR(RIGHT(Tabela_query[[#This Row],[Nazwa]],4)&lt;&gt;"xlsx",ISNUMBER(FIND("Nieaktualne",E16,1))),"Nie","Tak")</f>
        <v>Tak</v>
      </c>
      <c r="H16" s="14" t="str">
        <f t="array" ref="H16">IF(Tabela_query[[#This Row],[czy brać]]="TAK",INDEX(Skróty_elementów[Arkusz z którego pobiera dane],MATCH(1,COUNTIF(A16,"*"&amp;Skróty_elementów[Ciąg znaków wyszukiwany w nazwie]&amp;"*"),0),1),"Nie")</f>
        <v>sciany</v>
      </c>
      <c r="I16" s="11" t="str">
        <f t="shared" si="0"/>
        <v>Dobitka przy kotłowni - Lista elementów</v>
      </c>
      <c r="J16" s="14" t="str">
        <f>IF(OR(RIGHT(Tabela_query[[#This Row],[Nazwa]],4)&lt;&gt;"xlsx",ISNUMBER(FIND("Nieaktualne",H16,1))),"Nie","Tak")</f>
        <v>Tak</v>
      </c>
      <c r="K16" s="13"/>
      <c r="L16" s="11"/>
      <c r="M16" s="7"/>
      <c r="Q16" t="s">
        <v>76</v>
      </c>
      <c r="R16" t="s">
        <v>110</v>
      </c>
      <c r="S16" t="s">
        <v>111</v>
      </c>
      <c r="T16" t="s">
        <v>111</v>
      </c>
      <c r="U16" t="s">
        <v>80</v>
      </c>
      <c r="V16"/>
    </row>
    <row r="17" spans="1:22" x14ac:dyDescent="0.25">
      <c r="A17" s="9" t="s">
        <v>135</v>
      </c>
      <c r="B17" s="12">
        <v>44607.298217592594</v>
      </c>
      <c r="C17" s="13" t="s">
        <v>122</v>
      </c>
      <c r="D17" s="13" t="s">
        <v>0</v>
      </c>
      <c r="E17" s="13" t="s">
        <v>121</v>
      </c>
      <c r="F17" s="13"/>
      <c r="G17" s="14" t="str">
        <f>IF(OR(RIGHT(Tabela_query[[#This Row],[Nazwa]],4)&lt;&gt;"xlsx",ISNUMBER(FIND("Nieaktualne",E17,1))),"Nie","Tak")</f>
        <v>Tak</v>
      </c>
      <c r="H17" s="14" t="str">
        <f t="array" ref="H17">IF(Tabela_query[[#This Row],[czy brać]]="TAK",INDEX(Skróty_elementów[Arkusz z którego pobiera dane],MATCH(1,COUNTIF(A17,"*"&amp;Skróty_elementów[Ciąg znaków wyszukiwany w nazwie]&amp;"*"),0),1),"Nie")</f>
        <v>sciany</v>
      </c>
      <c r="I17" s="11" t="str">
        <f t="shared" si="0"/>
        <v>Obudowy szachtów- Lista elementów -budowa cz</v>
      </c>
      <c r="J17" s="14" t="str">
        <f>IF(OR(RIGHT(Tabela_query[[#This Row],[Nazwa]],4)&lt;&gt;"xlsx",ISNUMBER(FIND("Nieaktualne",H17,1))),"Nie","Tak")</f>
        <v>Tak</v>
      </c>
      <c r="K17" s="13"/>
      <c r="L17" s="11"/>
      <c r="M17" s="7"/>
      <c r="Q17" t="s">
        <v>30</v>
      </c>
      <c r="R17" t="s">
        <v>31</v>
      </c>
      <c r="S17" t="s">
        <v>32</v>
      </c>
      <c r="T17" t="s">
        <v>33</v>
      </c>
      <c r="U17" t="s">
        <v>29</v>
      </c>
      <c r="V17"/>
    </row>
    <row r="18" spans="1:22" x14ac:dyDescent="0.25">
      <c r="A18" s="9" t="s">
        <v>130</v>
      </c>
      <c r="B18" s="12">
        <v>44588.625405092593</v>
      </c>
      <c r="C18" s="13" t="s">
        <v>122</v>
      </c>
      <c r="D18" s="13" t="s">
        <v>0</v>
      </c>
      <c r="E18" s="13" t="s">
        <v>121</v>
      </c>
      <c r="F18" s="13"/>
      <c r="G18" s="14" t="str">
        <f>IF(OR(RIGHT(Tabela_query[[#This Row],[Nazwa]],4)&lt;&gt;"xlsx",ISNUMBER(FIND("Nieaktualne",E18,1))),"Nie","Tak")</f>
        <v>Tak</v>
      </c>
      <c r="H18" s="14" t="str">
        <f t="array" ref="H18">IF(Tabela_query[[#This Row],[czy brać]]="TAK",INDEX(Skróty_elementów[Arkusz z którego pobiera dane],MATCH(1,COUNTIF(A18,"*"&amp;Skróty_elementów[Ciąg znaków wyszukiwany w nazwie]&amp;"*"),0),1),"Nie")</f>
        <v>sciany</v>
      </c>
      <c r="I18" s="11" t="str">
        <f t="shared" si="0"/>
        <v>Obudowy szachtów- Lista elementów -budowa</v>
      </c>
      <c r="J18" s="14" t="str">
        <f>IF(OR(RIGHT(Tabela_query[[#This Row],[Nazwa]],4)&lt;&gt;"xlsx",ISNUMBER(FIND("Nieaktualne",H18,1))),"Nie","Tak")</f>
        <v>Tak</v>
      </c>
      <c r="K18" s="13"/>
      <c r="L18" s="11"/>
      <c r="M18" s="7"/>
      <c r="Q18" t="s">
        <v>34</v>
      </c>
      <c r="R18" t="s">
        <v>35</v>
      </c>
      <c r="S18" t="s">
        <v>36</v>
      </c>
      <c r="T18" t="s">
        <v>37</v>
      </c>
      <c r="U18" t="s">
        <v>29</v>
      </c>
      <c r="V18"/>
    </row>
    <row r="19" spans="1:22" x14ac:dyDescent="0.25">
      <c r="A19" s="9" t="s">
        <v>136</v>
      </c>
      <c r="B19" s="12">
        <v>44607.298263888886</v>
      </c>
      <c r="C19" s="13" t="s">
        <v>122</v>
      </c>
      <c r="D19" s="13" t="s">
        <v>0</v>
      </c>
      <c r="E19" s="13" t="s">
        <v>121</v>
      </c>
      <c r="F19" s="13"/>
      <c r="G19" s="14" t="str">
        <f>IF(OR(RIGHT(Tabela_query[[#This Row],[Nazwa]],4)&lt;&gt;"xlsx",ISNUMBER(FIND("Nieaktualne",E19,1))),"Nie","Tak")</f>
        <v>Tak</v>
      </c>
      <c r="H19" s="14" t="str">
        <f t="array" ref="H19">IF(Tabela_query[[#This Row],[czy brać]]="TAK",INDEX(Skróty_elementów[Arkusz z którego pobiera dane],MATCH(1,COUNTIF(A19,"*"&amp;Skróty_elementów[Ciąg znaków wyszukiwany w nazwie]&amp;"*"),0),1),"Nie")</f>
        <v>sciany</v>
      </c>
      <c r="I19" s="11" t="str">
        <f t="shared" si="0"/>
        <v>Obudowy szachtów- Lista elementów -produkcja cz</v>
      </c>
      <c r="J19" s="14" t="str">
        <f>IF(OR(RIGHT(Tabela_query[[#This Row],[Nazwa]],4)&lt;&gt;"xlsx",ISNUMBER(FIND("Nieaktualne",H19,1))),"Nie","Tak")</f>
        <v>Tak</v>
      </c>
      <c r="K19" s="13"/>
      <c r="L19" s="11"/>
      <c r="M19" s="7"/>
      <c r="Q19" t="s">
        <v>38</v>
      </c>
      <c r="R19" t="s">
        <v>39</v>
      </c>
      <c r="S19" t="s">
        <v>40</v>
      </c>
      <c r="T19" t="s">
        <v>41</v>
      </c>
      <c r="U19" t="s">
        <v>29</v>
      </c>
      <c r="V19"/>
    </row>
    <row r="20" spans="1:22" x14ac:dyDescent="0.25">
      <c r="A20" s="9" t="s">
        <v>126</v>
      </c>
      <c r="B20" s="12">
        <v>44588.334155092591</v>
      </c>
      <c r="C20" s="13" t="s">
        <v>122</v>
      </c>
      <c r="D20" s="13" t="s">
        <v>0</v>
      </c>
      <c r="E20" s="13" t="s">
        <v>121</v>
      </c>
      <c r="F20" s="13"/>
      <c r="G20" s="14" t="str">
        <f>IF(OR(RIGHT(Tabela_query[[#This Row],[Nazwa]],4)&lt;&gt;"xlsx",ISNUMBER(FIND("Nieaktualne",E20,1))),"Nie","Tak")</f>
        <v>Tak</v>
      </c>
      <c r="H20" s="14" t="str">
        <f t="array" ref="H20">IF(Tabela_query[[#This Row],[czy brać]]="TAK",INDEX(Skróty_elementów[Arkusz z którego pobiera dane],MATCH(1,COUNTIF(A20,"*"&amp;Skróty_elementów[Ciąg znaków wyszukiwany w nazwie]&amp;"*"),0),1),"Nie")</f>
        <v>sciany</v>
      </c>
      <c r="I20" s="11" t="str">
        <f t="shared" si="0"/>
        <v>Obudowy szachtów- Lista elementów -produkcja</v>
      </c>
      <c r="J20" s="14" t="str">
        <f>IF(OR(RIGHT(Tabela_query[[#This Row],[Nazwa]],4)&lt;&gt;"xlsx",ISNUMBER(FIND("Nieaktualne",H20,1))),"Nie","Tak")</f>
        <v>Tak</v>
      </c>
      <c r="K20" s="13"/>
      <c r="L20" s="11"/>
      <c r="M20" s="7"/>
      <c r="Q20" t="s">
        <v>42</v>
      </c>
      <c r="R20" t="s">
        <v>43</v>
      </c>
      <c r="S20" t="s">
        <v>44</v>
      </c>
      <c r="T20" t="s">
        <v>45</v>
      </c>
      <c r="U20" t="s">
        <v>29</v>
      </c>
      <c r="V20"/>
    </row>
    <row r="21" spans="1:22" x14ac:dyDescent="0.25">
      <c r="A21" s="9" t="s">
        <v>131</v>
      </c>
      <c r="B21" s="12">
        <v>44589.383969907409</v>
      </c>
      <c r="C21" s="13" t="s">
        <v>127</v>
      </c>
      <c r="D21" s="13" t="s">
        <v>0</v>
      </c>
      <c r="E21" s="13" t="s">
        <v>121</v>
      </c>
      <c r="F21" s="13"/>
      <c r="G21" s="14" t="str">
        <f>IF(OR(RIGHT(Tabela_query[[#This Row],[Nazwa]],4)&lt;&gt;"xlsx",ISNUMBER(FIND("Nieaktualne",E21,1))),"Nie","Tak")</f>
        <v>Tak</v>
      </c>
      <c r="H21" s="14" t="str">
        <f t="array" ref="H21">IF(Tabela_query[[#This Row],[czy brać]]="TAK",INDEX(Skróty_elementów[Arkusz z którego pobiera dane],MATCH(1,COUNTIF(A21,"*"&amp;Skróty_elementów[Ciąg znaków wyszukiwany w nazwie]&amp;"*"),0),1),"Nie")</f>
        <v>panele</v>
      </c>
      <c r="I21" s="11" t="str">
        <f t="shared" si="0"/>
        <v>Trapy balkonów - lista elementów</v>
      </c>
      <c r="J21" s="14" t="str">
        <f>IF(OR(RIGHT(Tabela_query[[#This Row],[Nazwa]],4)&lt;&gt;"xlsx",ISNUMBER(FIND("Nieaktualne",H21,1))),"Nie","Tak")</f>
        <v>Tak</v>
      </c>
      <c r="K21" s="13"/>
      <c r="L21" s="11"/>
      <c r="M21" s="7"/>
      <c r="Q21" t="s">
        <v>46</v>
      </c>
      <c r="R21" t="s">
        <v>47</v>
      </c>
      <c r="S21" t="s">
        <v>44</v>
      </c>
      <c r="T21" t="s">
        <v>45</v>
      </c>
      <c r="U21" t="s">
        <v>29</v>
      </c>
      <c r="V21"/>
    </row>
    <row r="22" spans="1:22" x14ac:dyDescent="0.25">
      <c r="A22" s="9" t="s">
        <v>132</v>
      </c>
      <c r="B22" s="12">
        <v>44589.379930555559</v>
      </c>
      <c r="C22" s="13" t="s">
        <v>127</v>
      </c>
      <c r="D22" s="13" t="s">
        <v>0</v>
      </c>
      <c r="E22" s="13" t="s">
        <v>121</v>
      </c>
      <c r="F22" s="13"/>
      <c r="G22" s="14" t="str">
        <f>IF(OR(RIGHT(Tabela_query[[#This Row],[Nazwa]],4)&lt;&gt;"xlsx",ISNUMBER(FIND("Nieaktualne",E22,1))),"Nie","Tak")</f>
        <v>Tak</v>
      </c>
      <c r="H22" s="14" t="str">
        <f t="array" ref="H22">IF(Tabela_query[[#This Row],[czy brać]]="TAK",INDEX(Skróty_elementów[Arkusz z którego pobiera dane],MATCH(1,COUNTIF(A22,"*"&amp;Skróty_elementów[Ciąg znaków wyszukiwany w nazwie]&amp;"*"),0),1),"Nie")</f>
        <v>materialy</v>
      </c>
      <c r="I22" s="11" t="str">
        <f t="shared" si="0"/>
        <v>Trapy balkonów - lista klinów</v>
      </c>
      <c r="J22" s="14" t="str">
        <f>IF(OR(RIGHT(Tabela_query[[#This Row],[Nazwa]],4)&lt;&gt;"xlsx",ISNUMBER(FIND("Nieaktualne",H22,1))),"Nie","Tak")</f>
        <v>Tak</v>
      </c>
      <c r="K22" s="13"/>
      <c r="L22" s="11"/>
      <c r="M22" s="7"/>
      <c r="Q22" t="s">
        <v>48</v>
      </c>
      <c r="R22" t="s">
        <v>49</v>
      </c>
      <c r="S22" t="s">
        <v>50</v>
      </c>
      <c r="T22" t="s">
        <v>51</v>
      </c>
      <c r="U22" t="s">
        <v>29</v>
      </c>
      <c r="V22"/>
    </row>
    <row r="23" spans="1:22" x14ac:dyDescent="0.25">
      <c r="A23" s="9" t="s">
        <v>124</v>
      </c>
      <c r="B23" s="12">
        <v>44581.39949074074</v>
      </c>
      <c r="C23" s="13" t="s">
        <v>122</v>
      </c>
      <c r="D23" s="13" t="s">
        <v>0</v>
      </c>
      <c r="E23" s="13" t="s">
        <v>123</v>
      </c>
      <c r="F23" s="13"/>
      <c r="G23" s="14" t="str">
        <f>IF(OR(RIGHT(Tabela_query[[#This Row],[Nazwa]],4)&lt;&gt;"xlsx",ISNUMBER(FIND("Nieaktualne",E23,1))),"Nie","Tak")</f>
        <v>Nie</v>
      </c>
      <c r="H23" s="14" t="str">
        <f t="array" ref="H23">IF(Tabela_query[[#This Row],[czy brać]]="TAK",INDEX(Skróty_elementów[Arkusz z którego pobiera dane],MATCH(1,COUNTIF(A23,"*"&amp;Skróty_elementów[Ciąg znaków wyszukiwany w nazwie]&amp;"*"),0),1),"Nie")</f>
        <v>Nie</v>
      </c>
      <c r="I23" s="11" t="str">
        <f t="shared" si="0"/>
        <v>Attyki- Lista elementów -budowa</v>
      </c>
      <c r="J23" s="14" t="str">
        <f>IF(OR(RIGHT(Tabela_query[[#This Row],[Nazwa]],4)&lt;&gt;"xlsx",ISNUMBER(FIND("Nieaktualne",H23,1))),"Nie","Tak")</f>
        <v>Tak</v>
      </c>
      <c r="K23" s="13"/>
      <c r="L23" s="11"/>
      <c r="M23" s="7"/>
      <c r="Q23" t="s">
        <v>52</v>
      </c>
      <c r="R23" t="s">
        <v>53</v>
      </c>
      <c r="S23" t="s">
        <v>54</v>
      </c>
      <c r="T23" t="s">
        <v>54</v>
      </c>
      <c r="U23" t="s">
        <v>29</v>
      </c>
      <c r="V23"/>
    </row>
    <row r="24" spans="1:22" x14ac:dyDescent="0.25">
      <c r="A24" s="9" t="s">
        <v>126</v>
      </c>
      <c r="B24" s="12">
        <v>44587.667060185187</v>
      </c>
      <c r="C24" s="13" t="s">
        <v>122</v>
      </c>
      <c r="D24" s="13" t="s">
        <v>0</v>
      </c>
      <c r="E24" s="13" t="s">
        <v>123</v>
      </c>
      <c r="F24" s="13"/>
      <c r="G24" s="14" t="str">
        <f>IF(OR(RIGHT(Tabela_query[[#This Row],[Nazwa]],4)&lt;&gt;"xlsx",ISNUMBER(FIND("Nieaktualne",E24,1))),"Nie","Tak")</f>
        <v>Nie</v>
      </c>
      <c r="H24" s="14" t="str">
        <f t="array" ref="H24">IF(Tabela_query[[#This Row],[czy brać]]="TAK",INDEX(Skróty_elementów[Arkusz z którego pobiera dane],MATCH(1,COUNTIF(A24,"*"&amp;Skróty_elementów[Ciąg znaków wyszukiwany w nazwie]&amp;"*"),0),1),"Nie")</f>
        <v>Nie</v>
      </c>
      <c r="I24" s="11" t="str">
        <f t="shared" si="0"/>
        <v>Obudowy szachtów- Lista elementów -produkcja</v>
      </c>
      <c r="J24" s="14" t="str">
        <f>IF(OR(RIGHT(Tabela_query[[#This Row],[Nazwa]],4)&lt;&gt;"xlsx",ISNUMBER(FIND("Nieaktualne",H24,1))),"Nie","Tak")</f>
        <v>Tak</v>
      </c>
      <c r="K24" s="13"/>
      <c r="L24" s="11"/>
      <c r="M24" s="7"/>
      <c r="Q24" t="s">
        <v>55</v>
      </c>
      <c r="R24" t="s">
        <v>56</v>
      </c>
      <c r="S24" t="s">
        <v>50</v>
      </c>
      <c r="T24" t="s">
        <v>51</v>
      </c>
      <c r="U24" t="s">
        <v>29</v>
      </c>
      <c r="V24"/>
    </row>
    <row r="25" spans="1:22" x14ac:dyDescent="0.25">
      <c r="M25" s="7"/>
      <c r="Q25" t="s">
        <v>57</v>
      </c>
      <c r="R25" t="s">
        <v>58</v>
      </c>
      <c r="S25" t="s">
        <v>54</v>
      </c>
      <c r="T25" t="s">
        <v>59</v>
      </c>
      <c r="U25" t="s">
        <v>29</v>
      </c>
      <c r="V25"/>
    </row>
    <row r="26" spans="1:22" x14ac:dyDescent="0.25">
      <c r="A26" s="10"/>
      <c r="M26" s="7"/>
      <c r="Q26" t="s">
        <v>60</v>
      </c>
      <c r="R26" t="s">
        <v>61</v>
      </c>
      <c r="S26" t="s">
        <v>62</v>
      </c>
      <c r="T26" t="s">
        <v>63</v>
      </c>
      <c r="U26" t="s">
        <v>29</v>
      </c>
      <c r="V26"/>
    </row>
    <row r="27" spans="1:22" x14ac:dyDescent="0.25">
      <c r="M27" s="7"/>
      <c r="Q27" t="s">
        <v>64</v>
      </c>
      <c r="R27" t="s">
        <v>65</v>
      </c>
      <c r="S27" t="s">
        <v>62</v>
      </c>
      <c r="T27" t="s">
        <v>63</v>
      </c>
      <c r="U27" t="s">
        <v>29</v>
      </c>
      <c r="V27"/>
    </row>
    <row r="28" spans="1:22" x14ac:dyDescent="0.25">
      <c r="M28" s="7"/>
      <c r="Q28" t="s">
        <v>66</v>
      </c>
      <c r="R28" t="s">
        <v>67</v>
      </c>
      <c r="S28" t="s">
        <v>62</v>
      </c>
      <c r="T28" t="s">
        <v>63</v>
      </c>
      <c r="U28" t="s">
        <v>29</v>
      </c>
      <c r="V28"/>
    </row>
    <row r="29" spans="1:22" x14ac:dyDescent="0.25">
      <c r="M29" s="7"/>
      <c r="Q29" t="s">
        <v>68</v>
      </c>
      <c r="R29" t="s">
        <v>69</v>
      </c>
      <c r="S29" t="s">
        <v>62</v>
      </c>
      <c r="T29" t="s">
        <v>63</v>
      </c>
      <c r="U29" t="s">
        <v>29</v>
      </c>
      <c r="V29"/>
    </row>
    <row r="30" spans="1:22" x14ac:dyDescent="0.25">
      <c r="M30" s="7"/>
      <c r="Q30" t="s">
        <v>70</v>
      </c>
      <c r="R30" t="s">
        <v>71</v>
      </c>
      <c r="S30" t="s">
        <v>62</v>
      </c>
      <c r="T30" t="s">
        <v>63</v>
      </c>
      <c r="U30" t="s">
        <v>29</v>
      </c>
      <c r="V30"/>
    </row>
    <row r="31" spans="1:22" x14ac:dyDescent="0.25">
      <c r="Q31" t="s">
        <v>72</v>
      </c>
      <c r="R31" t="s">
        <v>73</v>
      </c>
      <c r="S31" t="s">
        <v>74</v>
      </c>
      <c r="T31" t="s">
        <v>75</v>
      </c>
      <c r="U31" t="s">
        <v>29</v>
      </c>
      <c r="V31"/>
    </row>
    <row r="32" spans="1:22" x14ac:dyDescent="0.25">
      <c r="Q32" t="s">
        <v>76</v>
      </c>
      <c r="R32" t="s">
        <v>77</v>
      </c>
      <c r="S32" t="s">
        <v>78</v>
      </c>
      <c r="T32" t="s">
        <v>79</v>
      </c>
      <c r="U32" t="s">
        <v>80</v>
      </c>
      <c r="V32"/>
    </row>
    <row r="33" spans="17:22" x14ac:dyDescent="0.25">
      <c r="Q33" t="s">
        <v>81</v>
      </c>
      <c r="R33" t="s">
        <v>82</v>
      </c>
      <c r="S33" t="s">
        <v>78</v>
      </c>
      <c r="T33" t="s">
        <v>79</v>
      </c>
      <c r="U33" t="s">
        <v>80</v>
      </c>
      <c r="V33"/>
    </row>
    <row r="34" spans="17:22" x14ac:dyDescent="0.25">
      <c r="Q34" t="s">
        <v>83</v>
      </c>
      <c r="R34" t="s">
        <v>84</v>
      </c>
      <c r="S34" t="s">
        <v>85</v>
      </c>
      <c r="T34" t="s">
        <v>86</v>
      </c>
      <c r="U34" t="s">
        <v>80</v>
      </c>
      <c r="V34"/>
    </row>
    <row r="35" spans="17:22" x14ac:dyDescent="0.25">
      <c r="Q35" t="s">
        <v>87</v>
      </c>
      <c r="R35" t="s">
        <v>88</v>
      </c>
      <c r="S35" t="s">
        <v>89</v>
      </c>
      <c r="T35" t="s">
        <v>90</v>
      </c>
      <c r="U35" t="s">
        <v>80</v>
      </c>
      <c r="V35"/>
    </row>
    <row r="36" spans="17:22" x14ac:dyDescent="0.25">
      <c r="Q36" t="s">
        <v>91</v>
      </c>
      <c r="R36" t="s">
        <v>92</v>
      </c>
      <c r="S36" t="s">
        <v>89</v>
      </c>
      <c r="T36" t="s">
        <v>90</v>
      </c>
      <c r="U36" t="s">
        <v>80</v>
      </c>
      <c r="V36"/>
    </row>
    <row r="37" spans="17:22" x14ac:dyDescent="0.25">
      <c r="Q37" t="s">
        <v>93</v>
      </c>
      <c r="R37" t="s">
        <v>94</v>
      </c>
      <c r="S37" t="s">
        <v>95</v>
      </c>
      <c r="T37" t="s">
        <v>96</v>
      </c>
      <c r="U37" t="s">
        <v>80</v>
      </c>
      <c r="V37"/>
    </row>
    <row r="38" spans="17:22" x14ac:dyDescent="0.25">
      <c r="Q38" t="s">
        <v>97</v>
      </c>
      <c r="R38" t="s">
        <v>98</v>
      </c>
      <c r="S38" t="s">
        <v>99</v>
      </c>
      <c r="T38" t="s">
        <v>100</v>
      </c>
      <c r="U38" t="s">
        <v>80</v>
      </c>
      <c r="V38"/>
    </row>
    <row r="39" spans="17:22" x14ac:dyDescent="0.25">
      <c r="Q39"/>
      <c r="R39"/>
      <c r="S39"/>
      <c r="T39"/>
      <c r="U39" t="s">
        <v>101</v>
      </c>
      <c r="V39"/>
    </row>
    <row r="40" spans="17:22" x14ac:dyDescent="0.25">
      <c r="Q40"/>
      <c r="R40"/>
      <c r="S40"/>
      <c r="T40"/>
      <c r="U40"/>
      <c r="V40"/>
    </row>
    <row r="41" spans="17:22" x14ac:dyDescent="0.25">
      <c r="Q41"/>
      <c r="R41"/>
      <c r="S41"/>
      <c r="T41"/>
      <c r="U41"/>
      <c r="V41"/>
    </row>
    <row r="42" spans="17:22" x14ac:dyDescent="0.25">
      <c r="Q42" t="s">
        <v>102</v>
      </c>
      <c r="R42" t="s">
        <v>5</v>
      </c>
      <c r="S42" t="s">
        <v>0</v>
      </c>
      <c r="T42" t="s">
        <v>103</v>
      </c>
      <c r="U42" t="s">
        <v>104</v>
      </c>
      <c r="V42"/>
    </row>
    <row r="43" spans="17:22" x14ac:dyDescent="0.25">
      <c r="Q43" t="s">
        <v>105</v>
      </c>
      <c r="R43" t="s">
        <v>21</v>
      </c>
      <c r="S43" t="s">
        <v>22</v>
      </c>
      <c r="T43" t="s">
        <v>23</v>
      </c>
      <c r="U43" t="s">
        <v>104</v>
      </c>
      <c r="V43"/>
    </row>
    <row r="44" spans="17:22" x14ac:dyDescent="0.25">
      <c r="Q44" t="s">
        <v>106</v>
      </c>
      <c r="R44" t="s">
        <v>107</v>
      </c>
      <c r="S44" t="s">
        <v>22</v>
      </c>
      <c r="T44" t="s">
        <v>23</v>
      </c>
      <c r="U44" t="s">
        <v>104</v>
      </c>
      <c r="V44"/>
    </row>
    <row r="45" spans="17:22" x14ac:dyDescent="0.25">
      <c r="Q45" t="s">
        <v>108</v>
      </c>
      <c r="R45" t="s">
        <v>109</v>
      </c>
      <c r="S45" t="s">
        <v>22</v>
      </c>
      <c r="T45" t="s">
        <v>23</v>
      </c>
      <c r="U45" t="s">
        <v>104</v>
      </c>
      <c r="V45"/>
    </row>
  </sheetData>
  <hyperlinks>
    <hyperlink ref="A11" r:id="rId1" xr:uid="{A4E99A57-D156-44A9-A149-0930FB3DCEDB}"/>
    <hyperlink ref="A12" r:id="rId2" xr:uid="{84E546BB-C0CC-4014-9961-40D77FA1D074}"/>
    <hyperlink ref="A13" r:id="rId3" xr:uid="{CD62C1D6-5562-496A-B44E-8BCA899A85E3}"/>
    <hyperlink ref="A14" r:id="rId4" xr:uid="{2AA788ED-2233-4781-9CA8-8918D149B70E}"/>
    <hyperlink ref="A15" r:id="rId5" xr:uid="{4DF5A6D8-64FE-4031-A1DE-5DBFEB931CB0}"/>
    <hyperlink ref="A16" r:id="rId6" xr:uid="{D3C61DB2-7908-4FEB-8EBF-F78D1375C751}"/>
    <hyperlink ref="A17" r:id="rId7" xr:uid="{D9E34673-5389-4205-BA89-FC8546548DD4}"/>
    <hyperlink ref="A18" r:id="rId8" xr:uid="{71245EE1-D165-4F8E-8135-D27C3636E3BA}"/>
    <hyperlink ref="A19" r:id="rId9" xr:uid="{0A8BFA94-72E1-4352-AAA3-9A25B7832B0B}"/>
    <hyperlink ref="A20" r:id="rId10" xr:uid="{FA403123-18F0-4E2E-90C0-C00ADC9FFE15}"/>
    <hyperlink ref="A21" r:id="rId11" xr:uid="{6FBAAB3C-3215-4994-ADE1-5CA8CB64AD69}"/>
    <hyperlink ref="A22" r:id="rId12" xr:uid="{8492A35C-E4F6-4C88-A108-D919C45EF187}"/>
    <hyperlink ref="A23" r:id="rId13" xr:uid="{FA91CCC4-9D02-4754-B87B-3C62CAD956FC}"/>
    <hyperlink ref="A24" r:id="rId14" xr:uid="{5A14A418-DBE1-4D75-AB66-1F13AC4EB4B0}"/>
  </hyperlinks>
  <pageMargins left="0.7" right="0.7" top="0.75" bottom="0.75" header="0.3" footer="0.3"/>
  <pageSetup paperSize="9" orientation="portrait" r:id="rId15"/>
  <drawing r:id="rId16"/>
  <tableParts count="2">
    <tablePart r:id="rId17"/>
    <tablePart r:id="rId1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8B231A-6428-4E09-9933-288343BF4A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Bruj</dc:creator>
  <cp:lastModifiedBy>Paweł Mańtiuk</cp:lastModifiedBy>
  <cp:lastPrinted>2021-07-26T08:50:08Z</cp:lastPrinted>
  <dcterms:created xsi:type="dcterms:W3CDTF">2015-06-05T18:19:34Z</dcterms:created>
  <dcterms:modified xsi:type="dcterms:W3CDTF">2022-02-21T12:35:42Z</dcterms:modified>
</cp:coreProperties>
</file>