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3.xml" ContentType="application/vnd.openxmlformats-officedocument.spreadsheetml.table+xml"/>
  <Override PartName="/xl/queryTables/queryTable4.xml" ContentType="application/vnd.openxmlformats-officedocument.spreadsheetml.queryTable+xml"/>
  <Override PartName="/xl/tables/table4.xml" ContentType="application/vnd.openxmlformats-officedocument.spreadsheetml.table+xml"/>
  <Override PartName="/xl/queryTables/queryTable5.xml" ContentType="application/vnd.openxmlformats-officedocument.spreadsheetml.queryTable+xml"/>
  <Override PartName="/xl/tables/table5.xml" ContentType="application/vnd.openxmlformats-officedocument.spreadsheetml.table+xml"/>
  <Override PartName="/xl/queryTables/queryTable6.xml" ContentType="application/vnd.openxmlformats-officedocument.spreadsheetml.queryTable+xml"/>
  <Override PartName="/xl/tables/table6.xml" ContentType="application/vnd.openxmlformats-officedocument.spreadsheetml.table+xml"/>
  <Override PartName="/xl/queryTables/queryTable7.xml" ContentType="application/vnd.openxmlformats-officedocument.spreadsheetml.queryTable+xml"/>
  <Override PartName="/xl/tables/table7.xml" ContentType="application/vnd.openxmlformats-officedocument.spreadsheetml.table+xml"/>
  <Override PartName="/xl/queryTables/queryTable8.xml" ContentType="application/vnd.openxmlformats-officedocument.spreadsheetml.queryTable+xml"/>
  <Override PartName="/xl/tables/table8.xml" ContentType="application/vnd.openxmlformats-officedocument.spreadsheetml.table+xml"/>
  <Override PartName="/xl/queryTables/queryTable9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tables/table10.xml" ContentType="application/vnd.openxmlformats-officedocument.spreadsheetml.table+xml"/>
  <Override PartName="/xl/queryTables/queryTable11.xml" ContentType="application/vnd.openxmlformats-officedocument.spreadsheetml.queryTable+xml"/>
  <Override PartName="/xl/tables/table11.xml" ContentType="application/vnd.openxmlformats-officedocument.spreadsheetml.table+xml"/>
  <Override PartName="/xl/queryTables/queryTable12.xml" ContentType="application/vnd.openxmlformats-officedocument.spreadsheetml.queryTable+xml"/>
  <Override PartName="/xl/tables/table12.xml" ContentType="application/vnd.openxmlformats-officedocument.spreadsheetml.table+xml"/>
  <Override PartName="/xl/queryTables/queryTable13.xml" ContentType="application/vnd.openxmlformats-officedocument.spreadsheetml.queryTable+xml"/>
  <Override PartName="/xl/tables/table13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.xml" ContentType="application/vnd.openxmlformats-officedocument.drawing+xml"/>
  <Override PartName="/xl/tables/table14.xml" ContentType="application/vnd.openxmlformats-officedocument.spreadsheetml.table+xml"/>
  <Override PartName="/xl/queryTables/queryTable15.xml" ContentType="application/vnd.openxmlformats-officedocument.spreadsheetml.queryTable+xml"/>
  <Override PartName="/xl/tables/table15.xml" ContentType="application/vnd.openxmlformats-officedocument.spreadsheetml.table+xml"/>
  <Override PartName="/xl/queryTables/queryTable1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tables/table21.xml" ContentType="application/vnd.openxmlformats-officedocument.spreadsheetml.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tables/table26.xml" ContentType="application/vnd.openxmlformats-officedocument.spreadsheetml.table+xml"/>
  <Override PartName="/xl/queryTables/queryTable25.xml" ContentType="application/vnd.openxmlformats-officedocument.spreadsheetml.queryTable+xml"/>
  <Override PartName="/xl/tables/table27.xml" ContentType="application/vnd.openxmlformats-officedocument.spreadsheetml.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en_skoroszyt" hidePivotFieldList="1"/>
  <mc:AlternateContent xmlns:mc="http://schemas.openxmlformats.org/markup-compatibility/2006">
    <mc:Choice Requires="x15">
      <x15ac:absPath xmlns:x15ac="http://schemas.microsoft.com/office/spreadsheetml/2010/11/ac" url="H:\Produkcja\3. HARMONOGRAMY\Elementy zewnętrzne\Harmonogramy od IV 2021\"/>
    </mc:Choice>
  </mc:AlternateContent>
  <xr:revisionPtr revIDLastSave="0" documentId="13_ncr:1_{AA9408FC-CD24-408F-846F-A9E46B41721E}" xr6:coauthVersionLast="47" xr6:coauthVersionMax="47" xr10:uidLastSave="{00000000-0000-0000-0000-000000000000}"/>
  <bookViews>
    <workbookView xWindow="-120" yWindow="-120" windowWidth="29040" windowHeight="15840" tabRatio="904" firstSheet="14" activeTab="19" xr2:uid="{00000000-000D-0000-FFFF-FFFF00000000}"/>
  </bookViews>
  <sheets>
    <sheet name="BAZA_Raport" sheetId="849" r:id="rId1"/>
    <sheet name="Wszystkie elementy" sheetId="801" r:id="rId2"/>
    <sheet name="Wykaz elementów" sheetId="851" r:id="rId3"/>
    <sheet name="Arkusz2" sheetId="866" state="hidden" r:id="rId4"/>
    <sheet name="Arkusz3" sheetId="867" state="hidden" r:id="rId5"/>
    <sheet name="Arkusz4" sheetId="868" state="hidden" r:id="rId6"/>
    <sheet name="Arkusz5" sheetId="869" state="hidden" r:id="rId7"/>
    <sheet name="Arkusz6" sheetId="870" state="hidden" r:id="rId8"/>
    <sheet name="Arkusz7" sheetId="871" state="hidden" r:id="rId9"/>
    <sheet name="Arkusz8" sheetId="872" state="hidden" r:id="rId10"/>
    <sheet name="Arkusz9" sheetId="873" state="hidden" r:id="rId11"/>
    <sheet name="Arkusz10" sheetId="874" state="hidden" r:id="rId12"/>
    <sheet name="Arkusz11" sheetId="875" state="hidden" r:id="rId13"/>
    <sheet name="Arkusz12" sheetId="876" state="hidden" r:id="rId14"/>
    <sheet name="query" sheetId="46" r:id="rId15"/>
    <sheet name="Raporty" sheetId="60" r:id="rId16"/>
    <sheet name="Harm. produkcji" sheetId="45" r:id="rId17"/>
    <sheet name="listy wyboru" sheetId="55" state="hidden" r:id="rId18"/>
    <sheet name="Harm. ściany" sheetId="43" r:id="rId19"/>
    <sheet name="Harm. el. zewn." sheetId="19" r:id="rId20"/>
    <sheet name="Wszystkie elementy zewnętrzne" sheetId="802" state="hidden" r:id="rId21"/>
    <sheet name="Harm. prod. stolarnia" sheetId="44" r:id="rId22"/>
    <sheet name="Wszystkie elementy stolarni" sheetId="804" state="hidden" r:id="rId23"/>
    <sheet name="Harm. podwyk." sheetId="58" r:id="rId24"/>
    <sheet name="Wszystkie ściany" sheetId="803" state="hidden" r:id="rId25"/>
    <sheet name="Wszystkie elementy podwykonawcy" sheetId="850" state="hidden" r:id="rId26"/>
    <sheet name="Harm. prod. stolarnia - kliny" sheetId="53" r:id="rId27"/>
    <sheet name="Wszystkie kliny" sheetId="805" state="hidden" r:id="rId28"/>
  </sheets>
  <definedNames>
    <definedName name="_xlnm._FilterDatabase" localSheetId="19" hidden="1">'Harm. el. zewn.'!$A$1:$P$205</definedName>
    <definedName name="_xlnm._FilterDatabase" localSheetId="23" hidden="1">'Harm. podwyk.'!$A$1:$R$6</definedName>
    <definedName name="_xlnm._FilterDatabase" localSheetId="21" hidden="1">'Harm. prod. stolarnia'!$A$1:$Q$31</definedName>
    <definedName name="_xlnm._FilterDatabase" localSheetId="26" hidden="1">'Harm. prod. stolarnia - kliny'!$B$1:$V$181</definedName>
    <definedName name="_xlnm._FilterDatabase" localSheetId="16" hidden="1">'Harm. produkcji'!$A$7:$L$14</definedName>
    <definedName name="_xlnm._FilterDatabase" localSheetId="18" hidden="1">'Harm. ściany'!$A$5:$AA$10</definedName>
    <definedName name="DaneZewnętrzne_1" localSheetId="11" hidden="1">Arkusz10!$A$1:$L$5</definedName>
    <definedName name="DaneZewnętrzne_1" localSheetId="12" hidden="1">Arkusz11!$A$1:$L$4</definedName>
    <definedName name="DaneZewnętrzne_1" localSheetId="13" hidden="1">Arkusz12!$A$1:$L$3</definedName>
    <definedName name="DaneZewnętrzne_1" localSheetId="3" hidden="1">Arkusz2!$A$1:$L$30</definedName>
    <definedName name="DaneZewnętrzne_1" localSheetId="4" hidden="1">Arkusz3!$A$1:$L$8</definedName>
    <definedName name="DaneZewnętrzne_1" localSheetId="5" hidden="1">Arkusz4!$A$1:$L$81</definedName>
    <definedName name="DaneZewnętrzne_1" localSheetId="6" hidden="1">Arkusz5!$A$1:$L$57</definedName>
    <definedName name="DaneZewnętrzne_1" localSheetId="7" hidden="1">Arkusz6!$A$1:$M$91</definedName>
    <definedName name="DaneZewnętrzne_1" localSheetId="8" hidden="1">Arkusz7!$A$1:$J$31</definedName>
    <definedName name="DaneZewnętrzne_1" localSheetId="9" hidden="1">Arkusz8!$A$1:$J$31</definedName>
    <definedName name="DaneZewnętrzne_1" localSheetId="10" hidden="1">Arkusz9!$A$1:$M$91</definedName>
    <definedName name="DaneZewnętrzne_1" localSheetId="14" hidden="1">query!$Q$10:$V$45</definedName>
    <definedName name="DaneZewnętrzne_1" localSheetId="1" hidden="1">'Wszystkie elementy'!$B$1:$AD$1205</definedName>
    <definedName name="DaneZewnętrzne_1" localSheetId="25" hidden="1">'Wszystkie elementy podwykonawcy'!$W$1:$AQ$79</definedName>
    <definedName name="DaneZewnętrzne_1" localSheetId="20" hidden="1">'Wszystkie elementy zewnętrzne'!$N$1:$Y$81</definedName>
    <definedName name="DaneZewnętrzne_2" localSheetId="0" hidden="1">BAZA_Raport!$A$1:$O$1424</definedName>
    <definedName name="DaneZewnętrzne_2" localSheetId="17" hidden="1">'listy wyboru'!$A$1:$F$9</definedName>
    <definedName name="DaneZewnętrzne_2" localSheetId="1">'Wszystkie elementy'!$A$1</definedName>
    <definedName name="DaneZewnętrzne_2" localSheetId="25" hidden="1">'Wszystkie elementy podwykonawcy'!$B$1:$V$100</definedName>
    <definedName name="DaneZewnętrzne_2" localSheetId="24" hidden="1">'Wszystkie ściany'!$B$1:$P$110</definedName>
    <definedName name="DaneZewnętrzne_3" localSheetId="25">'Wszystkie elementy podwykonawcy'!$A$1</definedName>
    <definedName name="DaneZewnętrzne_3" localSheetId="20">'Wszystkie elementy zewnętrzne'!$A$1</definedName>
    <definedName name="DaneZewnętrzne_3" localSheetId="24">'Wszystkie ściany'!$A$1</definedName>
    <definedName name="DaneZewnętrzne_4" localSheetId="22">'Wszystkie elementy stolarni'!$A$1</definedName>
    <definedName name="DaneZewnętrzne_4" localSheetId="20" hidden="1">'Wszystkie elementy zewnętrzne'!$B$1:$M$205</definedName>
    <definedName name="DaneZewnętrzne_5" localSheetId="22" hidden="1">'Wszystkie elementy stolarni'!$B$1:$K$31</definedName>
    <definedName name="DaneZewnętrzne_5" localSheetId="27">'Wszystkie kliny'!$A$1</definedName>
    <definedName name="DaneZewnętrzne_6" localSheetId="27" hidden="1">'Wszystkie kliny'!$B$1:$P$181</definedName>
    <definedName name="Fragmentator_Budynek1">#N/A</definedName>
    <definedName name="Fragmentator_Firma">#N/A</definedName>
    <definedName name="Fragmentator_Gniazdo___Ściany1">#N/A</definedName>
    <definedName name="Fragmentator_Harmonogram">#N/A</definedName>
    <definedName name="Fragmentator_MC">#N/A</definedName>
    <definedName name="Fragmentator_Nazwa_elementu">#N/A</definedName>
    <definedName name="Fragmentator_Rok">#N/A</definedName>
    <definedName name="Fragmentator_Typ_firmy">#N/A</definedName>
    <definedName name="Fragmentator_Wykonanie1">#N/A</definedName>
    <definedName name="_xlnm.Criteria" localSheetId="18">'Harm. ściany'!$F$3</definedName>
    <definedName name="listy_wyboru_Miejsce_wykonania">'listy wyboru'!$J$2:$J8</definedName>
    <definedName name="listy_wyboru_Status">'listy wyboru'!$L$2:$L8</definedName>
    <definedName name="_xlnm.Print_Area" localSheetId="16">'Harm. produkcji'!$A$7:$L$21</definedName>
    <definedName name="query_1" localSheetId="14" hidden="1">query!$A$10:$E$24</definedName>
    <definedName name="_xlnm.Extract" localSheetId="18">'Harm. ściany'!#REF!</definedName>
  </definedNames>
  <calcPr calcId="191029"/>
  <pivotCaches>
    <pivotCache cacheId="0" r:id="rId29"/>
  </pivotCaches>
  <extLst>
    <ext xmlns:x14="http://schemas.microsoft.com/office/spreadsheetml/2009/9/main" uri="{BBE1A952-AA13-448e-AADC-164F8A28A991}">
      <x14:slicerCaches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204" i="19" l="1"/>
  <c r="O205" i="19"/>
  <c r="G11" i="46"/>
  <c r="H11" i="46" s="1" a="1"/>
  <c r="H11" i="46" s="1"/>
  <c r="J11" i="46" s="1"/>
  <c r="G14" i="46"/>
  <c r="H14" i="46" s="1" a="1"/>
  <c r="H14" i="46" s="1"/>
  <c r="J14" i="46" s="1"/>
  <c r="G13" i="46"/>
  <c r="G20" i="46"/>
  <c r="H20" i="46" s="1" a="1"/>
  <c r="H20" i="46" s="1"/>
  <c r="J20" i="46" s="1"/>
  <c r="G21" i="46"/>
  <c r="H21" i="46" s="1" a="1"/>
  <c r="H21" i="46" s="1"/>
  <c r="J21" i="46" s="1"/>
  <c r="G24" i="46"/>
  <c r="H24" i="46" s="1" a="1"/>
  <c r="H24" i="46" s="1"/>
  <c r="J24" i="46" s="1"/>
  <c r="G22" i="46"/>
  <c r="G17" i="46"/>
  <c r="H17" i="46" s="1" a="1"/>
  <c r="H17" i="46" s="1"/>
  <c r="J17" i="46" s="1"/>
  <c r="G23" i="46"/>
  <c r="G16" i="46"/>
  <c r="H16" i="46" s="1" a="1"/>
  <c r="H16" i="46" s="1"/>
  <c r="J16" i="46" s="1"/>
  <c r="G19" i="46"/>
  <c r="G18" i="46"/>
  <c r="H18" i="46" s="1" a="1"/>
  <c r="H18" i="46" s="1"/>
  <c r="J18" i="46" s="1"/>
  <c r="G12" i="46"/>
  <c r="G15" i="46"/>
  <c r="H13" i="46" a="1"/>
  <c r="H13" i="46" s="1"/>
  <c r="J13" i="46" s="1"/>
  <c r="H22" i="46" a="1"/>
  <c r="H22" i="46" s="1"/>
  <c r="J22" i="46" s="1"/>
  <c r="H23" i="46" a="1"/>
  <c r="H23" i="46" s="1"/>
  <c r="J23" i="46" s="1"/>
  <c r="H19" i="46" a="1"/>
  <c r="H19" i="46" s="1"/>
  <c r="J19" i="46" s="1"/>
  <c r="H12" i="46" a="1"/>
  <c r="H12" i="46" s="1"/>
  <c r="J12" i="46" s="1"/>
  <c r="H15" i="46" a="1"/>
  <c r="H15" i="46" s="1"/>
  <c r="J15" i="46" s="1"/>
  <c r="I11" i="46"/>
  <c r="I14" i="46"/>
  <c r="I13" i="46"/>
  <c r="I20" i="46"/>
  <c r="I21" i="46"/>
  <c r="I24" i="46"/>
  <c r="I22" i="46"/>
  <c r="I17" i="46"/>
  <c r="I23" i="46"/>
  <c r="I16" i="46"/>
  <c r="I19" i="46"/>
  <c r="I18" i="46"/>
  <c r="I12" i="46"/>
  <c r="I15" i="46"/>
  <c r="P6" i="44"/>
  <c r="P7" i="44"/>
  <c r="P8" i="44"/>
  <c r="P9" i="44"/>
  <c r="P10" i="44"/>
  <c r="P11" i="44"/>
  <c r="P12" i="44"/>
  <c r="P13" i="44"/>
  <c r="P14" i="44"/>
  <c r="P15" i="44"/>
  <c r="P16" i="44"/>
  <c r="P17" i="44"/>
  <c r="P18" i="44"/>
  <c r="P19" i="44"/>
  <c r="P20" i="44"/>
  <c r="P21" i="44"/>
  <c r="P22" i="44"/>
  <c r="P23" i="44"/>
  <c r="P24" i="44"/>
  <c r="P25" i="44"/>
  <c r="P26" i="44"/>
  <c r="P27" i="44"/>
  <c r="P28" i="44"/>
  <c r="P29" i="44"/>
  <c r="P30" i="44"/>
  <c r="P31" i="44"/>
  <c r="U5" i="53" l="1"/>
  <c r="U6" i="53"/>
  <c r="U7" i="53"/>
  <c r="U8" i="53"/>
  <c r="U9" i="53"/>
  <c r="U10" i="53"/>
  <c r="U11" i="53"/>
  <c r="U12" i="53"/>
  <c r="U13" i="53"/>
  <c r="U14" i="53"/>
  <c r="U15" i="53"/>
  <c r="U16" i="53"/>
  <c r="U17" i="53"/>
  <c r="U18" i="53"/>
  <c r="U19" i="53"/>
  <c r="U20" i="53"/>
  <c r="U21" i="53"/>
  <c r="U22" i="53"/>
  <c r="U23" i="53"/>
  <c r="U24" i="53"/>
  <c r="U25" i="53"/>
  <c r="U26" i="53"/>
  <c r="U27" i="53"/>
  <c r="U28" i="53"/>
  <c r="U29" i="53"/>
  <c r="U30" i="53"/>
  <c r="U31" i="53"/>
  <c r="U32" i="53"/>
  <c r="U33" i="53"/>
  <c r="U34" i="53"/>
  <c r="U35" i="53"/>
  <c r="U36" i="53"/>
  <c r="U37" i="53"/>
  <c r="U38" i="53"/>
  <c r="U39" i="53"/>
  <c r="U40" i="53"/>
  <c r="U41" i="53"/>
  <c r="U42" i="53"/>
  <c r="U43" i="53"/>
  <c r="U44" i="53"/>
  <c r="U45" i="53"/>
  <c r="U46" i="53"/>
  <c r="U47" i="53"/>
  <c r="U48" i="53"/>
  <c r="U49" i="53"/>
  <c r="U50" i="53"/>
  <c r="U51" i="53"/>
  <c r="U52" i="53"/>
  <c r="U53" i="53"/>
  <c r="U54" i="53"/>
  <c r="U55" i="53"/>
  <c r="U56" i="53"/>
  <c r="U57" i="53"/>
  <c r="U58" i="53"/>
  <c r="U59" i="53"/>
  <c r="U60" i="53"/>
  <c r="U61" i="53"/>
  <c r="U62" i="53"/>
  <c r="U63" i="53"/>
  <c r="U64" i="53"/>
  <c r="U65" i="53"/>
  <c r="U66" i="53"/>
  <c r="U67" i="53"/>
  <c r="U68" i="53"/>
  <c r="U69" i="53"/>
  <c r="U70" i="53"/>
  <c r="U71" i="53"/>
  <c r="U72" i="53"/>
  <c r="U73" i="53"/>
  <c r="U74" i="53"/>
  <c r="U75" i="53"/>
  <c r="U76" i="53"/>
  <c r="U77" i="53"/>
  <c r="U78" i="53"/>
  <c r="U79" i="53"/>
  <c r="U80" i="53"/>
  <c r="U81" i="53"/>
  <c r="U82" i="53"/>
  <c r="U83" i="53"/>
  <c r="U84" i="53"/>
  <c r="U85" i="53"/>
  <c r="U86" i="53"/>
  <c r="U87" i="53"/>
  <c r="U88" i="53"/>
  <c r="U89" i="53"/>
  <c r="U90" i="53"/>
  <c r="U91" i="53"/>
  <c r="U92" i="53"/>
  <c r="U93" i="53"/>
  <c r="U94" i="53"/>
  <c r="U95" i="53"/>
  <c r="U96" i="53"/>
  <c r="U97" i="53"/>
  <c r="U98" i="53"/>
  <c r="U99" i="53"/>
  <c r="U100" i="53"/>
  <c r="U101" i="53"/>
  <c r="U102" i="53"/>
  <c r="U103" i="53"/>
  <c r="U104" i="53"/>
  <c r="U105" i="53"/>
  <c r="U106" i="53"/>
  <c r="U107" i="53"/>
  <c r="U108" i="53"/>
  <c r="U109" i="53"/>
  <c r="U110" i="53"/>
  <c r="U111" i="53"/>
  <c r="U112" i="53"/>
  <c r="U113" i="53"/>
  <c r="U114" i="53"/>
  <c r="U115" i="53"/>
  <c r="U116" i="53"/>
  <c r="U117" i="53"/>
  <c r="U118" i="53"/>
  <c r="U119" i="53"/>
  <c r="U120" i="53"/>
  <c r="U121" i="53"/>
  <c r="U122" i="53"/>
  <c r="U123" i="53"/>
  <c r="U124" i="53"/>
  <c r="U125" i="53"/>
  <c r="U126" i="53"/>
  <c r="U127" i="53"/>
  <c r="U128" i="53"/>
  <c r="U129" i="53"/>
  <c r="U130" i="53"/>
  <c r="U131" i="53"/>
  <c r="U132" i="53"/>
  <c r="U133" i="53"/>
  <c r="U134" i="53"/>
  <c r="U135" i="53"/>
  <c r="U136" i="53"/>
  <c r="U137" i="53"/>
  <c r="U138" i="53"/>
  <c r="U139" i="53"/>
  <c r="U140" i="53"/>
  <c r="U141" i="53"/>
  <c r="U142" i="53"/>
  <c r="U143" i="53"/>
  <c r="U144" i="53"/>
  <c r="U145" i="53"/>
  <c r="U146" i="53"/>
  <c r="U147" i="53"/>
  <c r="U148" i="53"/>
  <c r="U149" i="53"/>
  <c r="U150" i="53"/>
  <c r="U151" i="53"/>
  <c r="U152" i="53"/>
  <c r="U153" i="53"/>
  <c r="U154" i="53"/>
  <c r="U155" i="53"/>
  <c r="U156" i="53"/>
  <c r="U157" i="53"/>
  <c r="U158" i="53"/>
  <c r="U159" i="53"/>
  <c r="U160" i="53"/>
  <c r="U161" i="53"/>
  <c r="U162" i="53"/>
  <c r="U163" i="53"/>
  <c r="U164" i="53"/>
  <c r="U165" i="53"/>
  <c r="U166" i="53"/>
  <c r="U167" i="53"/>
  <c r="U168" i="53"/>
  <c r="U169" i="53"/>
  <c r="U170" i="53"/>
  <c r="U171" i="53"/>
  <c r="U172" i="53"/>
  <c r="U173" i="53"/>
  <c r="U174" i="53"/>
  <c r="U175" i="53"/>
  <c r="U176" i="53"/>
  <c r="U177" i="53"/>
  <c r="U178" i="53"/>
  <c r="U179" i="53"/>
  <c r="U180" i="53"/>
  <c r="U181" i="53"/>
  <c r="O118" i="19"/>
  <c r="O119" i="19"/>
  <c r="O120" i="19"/>
  <c r="O121" i="19"/>
  <c r="O122" i="19"/>
  <c r="O123" i="19"/>
  <c r="O124" i="19"/>
  <c r="O125" i="19"/>
  <c r="O126" i="19"/>
  <c r="O127" i="19"/>
  <c r="O128" i="19"/>
  <c r="O129" i="19"/>
  <c r="O130" i="19"/>
  <c r="O131" i="19"/>
  <c r="O132" i="19"/>
  <c r="O133" i="19"/>
  <c r="O134" i="19"/>
  <c r="O135" i="19"/>
  <c r="O136" i="19"/>
  <c r="O137" i="19"/>
  <c r="O138" i="19"/>
  <c r="O139" i="19"/>
  <c r="O140" i="19"/>
  <c r="O141" i="19"/>
  <c r="O142" i="19"/>
  <c r="O143" i="19"/>
  <c r="O144" i="19"/>
  <c r="O145" i="19"/>
  <c r="O146" i="19"/>
  <c r="O147" i="19"/>
  <c r="O148" i="19"/>
  <c r="O149" i="19"/>
  <c r="O150" i="19"/>
  <c r="O151" i="19"/>
  <c r="O152" i="19"/>
  <c r="O153" i="19"/>
  <c r="O154" i="19"/>
  <c r="O155" i="19"/>
  <c r="O156" i="19"/>
  <c r="O157" i="19"/>
  <c r="O158" i="19"/>
  <c r="O159" i="19"/>
  <c r="O160" i="19"/>
  <c r="O161" i="19"/>
  <c r="O162" i="19"/>
  <c r="O163" i="19"/>
  <c r="O164" i="19"/>
  <c r="O165" i="19"/>
  <c r="O166" i="19"/>
  <c r="O167" i="19"/>
  <c r="O168" i="19"/>
  <c r="O169" i="19"/>
  <c r="O170" i="19"/>
  <c r="O171" i="19"/>
  <c r="O172" i="19"/>
  <c r="O173" i="19"/>
  <c r="O174" i="19"/>
  <c r="O175" i="19"/>
  <c r="O176" i="19"/>
  <c r="O177" i="19"/>
  <c r="O178" i="19"/>
  <c r="O179" i="19"/>
  <c r="O180" i="19"/>
  <c r="O181" i="19"/>
  <c r="O182" i="19"/>
  <c r="O183" i="19"/>
  <c r="O184" i="19"/>
  <c r="O185" i="19"/>
  <c r="O186" i="19"/>
  <c r="O187" i="19"/>
  <c r="O188" i="19"/>
  <c r="O189" i="19"/>
  <c r="O190" i="19"/>
  <c r="O191" i="19"/>
  <c r="O192" i="19"/>
  <c r="O193" i="19"/>
  <c r="O194" i="19"/>
  <c r="O195" i="19"/>
  <c r="O196" i="19"/>
  <c r="O197" i="19"/>
  <c r="O198" i="19"/>
  <c r="O199" i="19"/>
  <c r="O200" i="19"/>
  <c r="O201" i="19"/>
  <c r="O202" i="19"/>
  <c r="O203" i="19"/>
  <c r="O38" i="19" l="1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93" i="19"/>
  <c r="O94" i="19"/>
  <c r="O95" i="19"/>
  <c r="O96" i="19"/>
  <c r="O97" i="19"/>
  <c r="O98" i="19"/>
  <c r="O99" i="19"/>
  <c r="O100" i="19"/>
  <c r="O101" i="19"/>
  <c r="O102" i="19"/>
  <c r="O103" i="19"/>
  <c r="O104" i="19"/>
  <c r="O105" i="19"/>
  <c r="O106" i="19"/>
  <c r="O107" i="19"/>
  <c r="O108" i="19"/>
  <c r="O109" i="19"/>
  <c r="O110" i="19"/>
  <c r="O111" i="19"/>
  <c r="O112" i="19"/>
  <c r="O113" i="19"/>
  <c r="O114" i="19"/>
  <c r="O115" i="19"/>
  <c r="O116" i="19"/>
  <c r="O117" i="19"/>
  <c r="O6" i="19"/>
  <c r="O7" i="19"/>
  <c r="O8" i="19"/>
  <c r="O9" i="19"/>
  <c r="O10" i="19"/>
  <c r="O11" i="19"/>
  <c r="O12" i="19"/>
  <c r="O13" i="19"/>
  <c r="O14" i="19"/>
  <c r="O15" i="19"/>
  <c r="O16" i="19"/>
  <c r="O17" i="19"/>
  <c r="O18" i="19"/>
  <c r="O19" i="19"/>
  <c r="O20" i="19"/>
  <c r="O21" i="19"/>
  <c r="O22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D3" i="46"/>
  <c r="M8" i="45" l="1"/>
  <c r="P2" i="58" l="1"/>
  <c r="P3" i="58"/>
  <c r="P4" i="58"/>
  <c r="P5" i="58"/>
  <c r="P6" i="58"/>
  <c r="M8" i="43"/>
  <c r="M9" i="43"/>
  <c r="M10" i="43"/>
  <c r="O2" i="55" l="1" a="1"/>
  <c r="O2" i="55" s="1"/>
  <c r="N2" i="55" a="1"/>
  <c r="N2" i="55" s="1"/>
  <c r="M2" i="55" a="1"/>
  <c r="M2" i="55" s="1"/>
  <c r="J2" i="55" a="1"/>
  <c r="J2" i="55" s="1"/>
  <c r="L2" i="55" a="1"/>
  <c r="L2" i="55" s="1"/>
  <c r="K2" i="55" a="1"/>
  <c r="K2" i="55" s="1"/>
  <c r="R8" i="45" l="1"/>
  <c r="R9" i="45"/>
  <c r="R10" i="45"/>
  <c r="R13" i="45"/>
  <c r="R11" i="45"/>
  <c r="R12" i="45"/>
  <c r="R14" i="45"/>
  <c r="M6" i="43"/>
  <c r="M7" i="43"/>
  <c r="D10" i="43"/>
  <c r="E10" i="43"/>
  <c r="I10" i="43"/>
  <c r="O8" i="45" l="1"/>
  <c r="Q8" i="45" s="1"/>
  <c r="M9" i="45"/>
  <c r="O9" i="45" s="1"/>
  <c r="Q9" i="45" s="1"/>
  <c r="M10" i="45"/>
  <c r="N10" i="45" s="1"/>
  <c r="M13" i="45"/>
  <c r="N13" i="45" s="1"/>
  <c r="M11" i="45"/>
  <c r="O11" i="45" s="1"/>
  <c r="Q11" i="45" s="1"/>
  <c r="M12" i="45"/>
  <c r="O12" i="45" s="1"/>
  <c r="Q12" i="45" s="1"/>
  <c r="M14" i="45"/>
  <c r="N14" i="45" s="1"/>
  <c r="O10" i="45" l="1"/>
  <c r="Q10" i="45" s="1"/>
  <c r="O13" i="45"/>
  <c r="Q13" i="45" s="1"/>
  <c r="N9" i="45"/>
  <c r="N12" i="45"/>
  <c r="N11" i="45"/>
  <c r="N8" i="45"/>
  <c r="O14" i="45"/>
  <c r="Q14" i="45" s="1"/>
  <c r="Z11" i="43" l="1"/>
  <c r="AA11" i="43"/>
  <c r="D6" i="43"/>
  <c r="E6" i="43"/>
  <c r="I6" i="43"/>
  <c r="D7" i="43"/>
  <c r="E7" i="43"/>
  <c r="I7" i="43"/>
  <c r="D8" i="43"/>
  <c r="E8" i="43"/>
  <c r="I8" i="43"/>
  <c r="D9" i="43"/>
  <c r="E9" i="43"/>
  <c r="I9" i="43"/>
  <c r="P2" i="44" l="1"/>
  <c r="P3" i="44"/>
  <c r="P4" i="44"/>
  <c r="P5" i="44"/>
  <c r="U4" i="53" l="1"/>
  <c r="U3" i="53"/>
  <c r="U2" i="53"/>
  <c r="AA3" i="43" l="1"/>
  <c r="U3" i="43"/>
  <c r="O3" i="43"/>
  <c r="O4" i="19" l="1"/>
  <c r="O5" i="19"/>
  <c r="O2" i="19" l="1"/>
  <c r="O3" i="19"/>
  <c r="O4" i="55"/>
  <c r="O3" i="55"/>
  <c r="N5" i="55"/>
  <c r="N4" i="55"/>
  <c r="N3" i="55"/>
  <c r="M8" i="55"/>
  <c r="M7" i="55"/>
  <c r="M6" i="55"/>
  <c r="M5" i="55"/>
  <c r="M4" i="55"/>
  <c r="M3" i="55"/>
  <c r="L6" i="55"/>
  <c r="L5" i="55"/>
  <c r="L4" i="55"/>
  <c r="L3" i="55"/>
  <c r="K9" i="55"/>
  <c r="K8" i="55"/>
  <c r="K7" i="55"/>
  <c r="K6" i="55"/>
  <c r="K5" i="55"/>
  <c r="K4" i="55"/>
  <c r="K3" i="55"/>
  <c r="J9" i="55"/>
  <c r="J8" i="55"/>
  <c r="J7" i="55"/>
  <c r="J6" i="55"/>
  <c r="J5" i="55"/>
  <c r="J4" i="55"/>
  <c r="J3" i="5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Połączenie" type="5" refreshedVersion="7" background="1" saveData="1">
    <dbPr connection="provider=Microsoft.Mashup.OleDb.1;data source=$EmbeddedMashup(70008309-ed7e-4e44-a722-fc3e030c002f)$;location=&quot;Attyki- Lista elementów -produkcja&quot;;extended properties=" command="SELECT * FROM [Attyki- Lista elementów -produkcja]"/>
  </connection>
  <connection id="2" xr16:uid="{00000000-0015-0000-FFFF-FFFF01000000}" keepAlive="1" name="Połączenie1" type="5" refreshedVersion="7" background="1" saveData="1">
    <dbPr connection="provider=Microsoft.Mashup.OleDb.1;data source=$EmbeddedMashup(70008309-ed7e-4e44-a722-fc3e030c002f)$;location=&quot;Attyki- Lista elementów -budowa&quot;;extended properties=" command="SELECT * FROM [Attyki- Lista elementów -budowa]"/>
  </connection>
  <connection id="3" xr16:uid="{00000000-0015-0000-FFFF-FFFF02000000}" keepAlive="1" name="Połączenie10" type="5" refreshedVersion="7" background="1" saveData="1">
    <dbPr connection="provider=Microsoft.Mashup.OleDb.1;data source=$EmbeddedMashup(70008309-ed7e-4e44-a722-fc3e030c002f)$;location=&quot;Dobitka przy kotłowni - Lista elementów&quot;;extended properties=" command="SELECT * FROM [Dobitka przy kotłowni - Lista elementów]"/>
  </connection>
  <connection id="4" xr16:uid="{00000000-0015-0000-FFFF-FFFF03000000}" keepAlive="1" name="Połączenie2" type="5" refreshedVersion="7" background="1" saveData="1">
    <dbPr connection="provider=Microsoft.Mashup.OleDb.1;data source=$EmbeddedMashup(70008309-ed7e-4e44-a722-fc3e030c002f)$;location=&quot;Obudowy szachtów- Lista elementów -produkcja&quot;;extended properties=" command="SELECT * FROM [Obudowy szachtów- Lista elementów -produkcja]"/>
  </connection>
  <connection id="5" xr16:uid="{00000000-0015-0000-FFFF-FFFF04000000}" keepAlive="1" name="Połączenie3" type="5" refreshedVersion="7" background="1" saveData="1">
    <dbPr connection="provider=Microsoft.Mashup.OleDb.1;data source=$EmbeddedMashup(70008309-ed7e-4e44-a722-fc3e030c002f)$;location=&quot;Obudowy szachtów- Lista elementów -budowa&quot;;extended properties=" command="SELECT * FROM [Obudowy szachtów- Lista elementów -budowa]"/>
  </connection>
  <connection id="6" xr16:uid="{00000000-0015-0000-FFFF-FFFF05000000}" keepAlive="1" name="Połączenie4" type="5" refreshedVersion="7" background="1" saveData="1">
    <dbPr connection="provider=Microsoft.Mashup.OleDb.1;data source=$EmbeddedMashup(70008309-ed7e-4e44-a722-fc3e030c002f)$;location=&quot;Trapy balkonów - lista klinów&quot;;extended properties=" command="SELECT * FROM [Trapy balkonów - lista klinów]"/>
  </connection>
  <connection id="7" xr16:uid="{00000000-0015-0000-FFFF-FFFF06000000}" keepAlive="1" name="Połączenie5" type="5" refreshedVersion="7" background="1" saveData="1">
    <dbPr connection="provider=Microsoft.Mashup.OleDb.1;data source=$EmbeddedMashup(70008309-ed7e-4e44-a722-fc3e030c002f)$;location=&quot;Trapy balkonów - lista elementów&quot;;extended properties=" command="SELECT * FROM [Trapy balkonów - lista elementów]"/>
  </connection>
  <connection id="8" xr16:uid="{00000000-0015-0000-FFFF-FFFF07000000}" keepAlive="1" name="Połączenie6" type="5" refreshedVersion="7" background="1" saveData="1">
    <dbPr connection="provider=Microsoft.Mashup.OleDb.1;data source=$EmbeddedMashup(70008309-ed7e-4e44-a722-fc3e030c002f)$;location=&quot;Balkony - lista elementów&quot;;extended properties=" command="SELECT * FROM [Balkony - lista elementów]"/>
  </connection>
  <connection id="9" xr16:uid="{00000000-0015-0000-FFFF-FFFF08000000}" keepAlive="1" name="Połączenie7" type="5" refreshedVersion="7" background="1" saveData="1">
    <dbPr connection="provider=Microsoft.Mashup.OleDb.1;data source=$EmbeddedMashup(70008309-ed7e-4e44-a722-fc3e030c002f)$;location=&quot;Balkony - lista klinów&quot;;extended properties=" command="SELECT * FROM [Balkony - lista klinów]"/>
  </connection>
  <connection id="10" xr16:uid="{00000000-0015-0000-FFFF-FFFF09000000}" keepAlive="1" name="Połączenie8" type="5" refreshedVersion="7" background="1" saveData="1">
    <dbPr connection="provider=Microsoft.Mashup.OleDb.1;data source=$EmbeddedMashup(70008309-ed7e-4e44-a722-fc3e030c002f)$;location=&quot;Obudowy szachtów- Lista elementów -budowa cz&quot;;extended properties=" command="SELECT * FROM [Obudowy szachtów- Lista elementów -budowa cz]"/>
  </connection>
  <connection id="11" xr16:uid="{00000000-0015-0000-FFFF-FFFF0A000000}" keepAlive="1" name="Połączenie9" type="5" refreshedVersion="7" background="1" saveData="1">
    <dbPr connection="provider=Microsoft.Mashup.OleDb.1;data source=$EmbeddedMashup(70008309-ed7e-4e44-a722-fc3e030c002f)$;location=&quot;Obudowy szachtów- Lista elementów -produkcja cz&quot;;extended properties=" command="SELECT * FROM [Obudowy szachtów- Lista elementów -produkcja cz]"/>
  </connection>
  <connection id="12" xr16:uid="{00000000-0015-0000-FFFF-FFFF0B000000}" keepAlive="1" name="query" type="5" refreshedVersion="7" minRefreshableVersion="3" background="1" saveData="1">
    <dbPr connection="Provider=Microsoft.Office.List.OLEDB.2.0;Data Source=&quot;&quot;;ApplicationName=Excel;Version=12.0.0.0" command="&lt;LIST&gt;&lt;VIEWGUID&gt;363109BF-EC73-45C3-A519-1876B3CFBEC0&lt;/VIEWGUID&gt;&lt;LISTNAME&gt;{C6CA52F2-03F9-4E29-85DD-85768EF50F42}&lt;/LISTNAME&gt;&lt;LISTWEB&gt;https://unibep.sharepoint.com/sites/Unihouse_SA/_vti_bin&lt;/LISTWEB&gt;&lt;LISTSUBWEB&gt;&lt;/LISTSUBWEB&gt;&lt;ROOTFOLDER&gt;/sites/Unihouse%5fSA/Shared%20Documents/Projekty/03%2e%20POLSKA/267%5f2021%20Ma%c5%82kinia/%21%20Projekt/4%20LISTY/2%2e%20Elementy%20zewn%c4%99trzne%20i%20stolarnia&lt;/ROOTFOLDER&gt;&lt;/LIST&gt;" commandType="5"/>
  </connection>
  <connection id="13" xr16:uid="{00000000-0015-0000-FFFF-FFFF0C000000}" keepAlive="1" name="Zapytanie — BAZA_Raport" type="5" refreshedVersion="7" deleted="1" background="1" saveData="1">
    <dbPr connection="" command=""/>
  </connection>
  <connection id="14" xr16:uid="{00000000-0015-0000-FFFF-FFFF0D000000}" keepAlive="1" name="Zapytanie — listy wyboru" type="5" refreshedVersion="7" deleted="1" background="1" saveData="1">
    <dbPr connection="" command=""/>
  </connection>
  <connection id="15" xr16:uid="{00000000-0015-0000-FFFF-FFFF0E000000}" keepAlive="1" name="Zapytanie — Skróty_elementów" type="5" refreshedVersion="7" deleted="1" background="1" saveData="1">
    <dbPr connection="" command=""/>
  </connection>
  <connection id="16" xr16:uid="{00000000-0015-0000-FFFF-FFFF0F000000}" keepAlive="1" name="Zapytanie — Wszystkie elementy" type="5" refreshedVersion="0" deleted="1" background="1" saveData="1">
    <dbPr connection="" command=""/>
  </connection>
  <connection id="17" xr16:uid="{00000000-0015-0000-FFFF-FFFF10000000}" keepAlive="1" name="Zapytanie — Wszystkie elementy podwykonawcy" type="5" refreshedVersion="0" deleted="1" background="1" saveData="1">
    <dbPr connection="" command=""/>
  </connection>
  <connection id="18" xr16:uid="{00000000-0015-0000-FFFF-FFFF11000000}" keepAlive="1" name="Zapytanie — Wszystkie elementy stolarni" type="5" refreshedVersion="0" deleted="1" background="1" saveData="1">
    <dbPr connection="" command=""/>
  </connection>
  <connection id="19" xr16:uid="{00000000-0015-0000-FFFF-FFFF12000000}" keepAlive="1" name="Zapytanie — Wszystkie elementy stolarni1" type="5" refreshedVersion="7" deleted="1" background="1" saveData="1">
    <dbPr connection="" command=""/>
  </connection>
  <connection id="20" xr16:uid="{00000000-0015-0000-FFFF-FFFF13000000}" keepAlive="1" name="Zapytanie — Wszystkie elementy zewnętrzne" description="Połączenie z zapytaniem „Wszystkie elementy zewnętrzne” w skoroszycie." type="5" refreshedVersion="0" background="1" saveData="1">
    <dbPr connection="Provider=Microsoft.Mashup.OleDb.1;Data Source=$Workbook$;Location=&quot;Wszystkie elementy zewnętrzne&quot;;Extended Properties=&quot;&quot;" command="SELECT * FROM [Wszystkie elementy zewnętrzne]"/>
  </connection>
  <connection id="21" xr16:uid="{00000000-0015-0000-FFFF-FFFF14000000}" keepAlive="1" name="Zapytanie — Wszystkie elementy zewnętrzne1" description="Połączenie z zapytaniem „Wszystkie elementy zewnętrzne” w skoroszycie." type="5" refreshedVersion="7" background="1" saveData="1">
    <dbPr connection="provider=Microsoft.Mashup.OleDb.1;data source=$EmbeddedMashup(70008309-ed7e-4e44-a722-fc3e030c002f)$;location=&quot;Wszystkie elementy zewnętrzne&quot;;extended properties=" command="SELECT * FROM [Wszystkie elementy zewnętrzne]"/>
  </connection>
  <connection id="22" xr16:uid="{00000000-0015-0000-FFFF-FFFF15000000}" keepAlive="1" name="Zapytanie — Wszystkie kliny" type="5" refreshedVersion="0" deleted="1" background="1" saveData="1">
    <dbPr connection="" command=""/>
  </connection>
  <connection id="23" xr16:uid="{00000000-0015-0000-FFFF-FFFF16000000}" keepAlive="1" name="Zapytanie — Wszystkie kliny1" type="5" refreshedVersion="7" deleted="1" background="1" saveData="1">
    <dbPr connection="" command=""/>
  </connection>
  <connection id="24" xr16:uid="{00000000-0015-0000-FFFF-FFFF17000000}" keepAlive="1" name="Zapytanie — Wszystkie ściany" type="5" refreshedVersion="0" deleted="1" background="1" saveData="1">
    <dbPr connection="" command="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<sst xmlns="http://schemas.openxmlformats.org/spreadsheetml/2006/main" count="30687" uniqueCount="2346">
  <si>
    <t>Moduł</t>
  </si>
  <si>
    <t>L całk</t>
  </si>
  <si>
    <t>H całk</t>
  </si>
  <si>
    <t>budowa</t>
  </si>
  <si>
    <t>produkcja</t>
  </si>
  <si>
    <t>Element</t>
  </si>
  <si>
    <t>Miejsce montażu</t>
  </si>
  <si>
    <t>LP</t>
  </si>
  <si>
    <t>Uwagi</t>
  </si>
  <si>
    <t>ELEMENTY ZEWNĘTRZNE</t>
  </si>
  <si>
    <t>planowana data wysyłki:</t>
  </si>
  <si>
    <t>Wypełnia dział projektowy</t>
  </si>
  <si>
    <t>Wypełnia KP</t>
  </si>
  <si>
    <t>Kontrakt</t>
  </si>
  <si>
    <t>Budynek</t>
  </si>
  <si>
    <t>Planowana data przekazania dokumentacji</t>
  </si>
  <si>
    <t>Miejsce wykonania</t>
  </si>
  <si>
    <t>Sposób pakowania</t>
  </si>
  <si>
    <t>produkcja / stolarnia</t>
  </si>
  <si>
    <t>Indeks</t>
  </si>
  <si>
    <t>Powierzchnia brutto</t>
  </si>
  <si>
    <t>grubość</t>
  </si>
  <si>
    <t>Planowana data montażu</t>
  </si>
  <si>
    <t>Nr skrzyni</t>
  </si>
  <si>
    <t>Data wykonania</t>
  </si>
  <si>
    <t>Data dokumentacji [plan]</t>
  </si>
  <si>
    <t>Data dokumentacji [rzeczywista]</t>
  </si>
  <si>
    <t>produkcja / stropy</t>
  </si>
  <si>
    <t>podwykonawca</t>
  </si>
  <si>
    <t>produkcja / el. zewn.</t>
  </si>
  <si>
    <t>Data dodania do harmonogramu produkcji</t>
  </si>
  <si>
    <t>Date modified - data importu listy</t>
  </si>
  <si>
    <t>Kod elementu</t>
  </si>
  <si>
    <t>Majster</t>
  </si>
  <si>
    <t>Lp.</t>
  </si>
  <si>
    <t>-</t>
  </si>
  <si>
    <t>Bilewski</t>
  </si>
  <si>
    <t>Ziniewicz</t>
  </si>
  <si>
    <t>Kierownik Projektu</t>
  </si>
  <si>
    <t>Sacharczuk</t>
  </si>
  <si>
    <t>Wykonanie</t>
  </si>
  <si>
    <t>Status</t>
  </si>
  <si>
    <t>nierozpoczęte</t>
  </si>
  <si>
    <t>rozpoczęte</t>
  </si>
  <si>
    <t>zakończone</t>
  </si>
  <si>
    <t>produkcja / moduły</t>
  </si>
  <si>
    <t>Numer</t>
  </si>
  <si>
    <t>SUMA:</t>
  </si>
  <si>
    <t>Łacznie</t>
  </si>
  <si>
    <t>Łącznie</t>
  </si>
  <si>
    <t>Budynek / Pion</t>
  </si>
  <si>
    <r>
      <t>A-*</t>
    </r>
    <r>
      <rPr>
        <sz val="22"/>
        <color rgb="FFFF0000"/>
        <rFont val="Calibri"/>
        <family val="2"/>
        <charset val="238"/>
        <scheme val="minor"/>
      </rPr>
      <t>02</t>
    </r>
    <r>
      <rPr>
        <sz val="22"/>
        <color theme="1"/>
        <rFont val="Calibri"/>
        <family val="2"/>
        <charset val="238"/>
        <scheme val="minor"/>
      </rPr>
      <t>*-EL-0*</t>
    </r>
  </si>
  <si>
    <t>Produkujemy i pakujemy paczki pionami w kolejności</t>
  </si>
  <si>
    <t>Przedmiar:</t>
  </si>
  <si>
    <t>Obmiar:</t>
  </si>
  <si>
    <t>Aby zastąpić literę lub cyfrę wstaw gwiazdkę</t>
  </si>
  <si>
    <t>zakładana wydajnośc ok 200m2 na zmianę</t>
  </si>
  <si>
    <t>Z wykazu elementów:</t>
  </si>
  <si>
    <t>Dzień tyg.</t>
  </si>
  <si>
    <t>Miesiąc</t>
  </si>
  <si>
    <t>Realizacja data pakowania</t>
  </si>
  <si>
    <t>Nazwa elementu</t>
  </si>
  <si>
    <t>Pion</t>
  </si>
  <si>
    <t>Okna</t>
  </si>
  <si>
    <t>Dostępność okien</t>
  </si>
  <si>
    <t>Szalówka rysunki i materiał</t>
  </si>
  <si>
    <t>Zakres elewacji</t>
  </si>
  <si>
    <t>Gotowość montażu</t>
  </si>
  <si>
    <t>Słupek</t>
  </si>
  <si>
    <t>L ramy</t>
  </si>
  <si>
    <t>H ramy</t>
  </si>
  <si>
    <t>pow. netto</t>
  </si>
  <si>
    <t>Dobitki budowa</t>
  </si>
  <si>
    <t>Ilość</t>
  </si>
  <si>
    <t>Uwagi DP</t>
  </si>
  <si>
    <t>Uwagi Prod</t>
  </si>
  <si>
    <t>Wypełnia planowanie</t>
  </si>
  <si>
    <t>Wypełnia produkcja</t>
  </si>
  <si>
    <t>Uwagi KP</t>
  </si>
  <si>
    <t>Data wymagalności</t>
  </si>
  <si>
    <t>A</t>
  </si>
  <si>
    <t>B</t>
  </si>
  <si>
    <t>C</t>
  </si>
  <si>
    <t>MK Format</t>
  </si>
  <si>
    <t>Przedmiar</t>
  </si>
  <si>
    <t>Ostatnia aktualizacja:</t>
  </si>
  <si>
    <t>Ilość plików podczas ostatniej aktualizacji:</t>
  </si>
  <si>
    <t>Różnice</t>
  </si>
  <si>
    <t>Ilość plików obecnie:</t>
  </si>
  <si>
    <t>Nazwa</t>
  </si>
  <si>
    <t>Zmodyfikowane</t>
  </si>
  <si>
    <t>Zmodyfikowane przez</t>
  </si>
  <si>
    <t>Typ elementu</t>
  </si>
  <si>
    <t>Ścieżka</t>
  </si>
  <si>
    <t>Nazwa2</t>
  </si>
  <si>
    <t>czy brać</t>
  </si>
  <si>
    <t>Rodzaj makra</t>
  </si>
  <si>
    <t>Nazwaa</t>
  </si>
  <si>
    <t xml:space="preserve">Sprawdzenie </t>
  </si>
  <si>
    <t>Czy dodane</t>
  </si>
  <si>
    <t>Data dodania</t>
  </si>
  <si>
    <t>Skrót</t>
  </si>
  <si>
    <t>Ciąg znaków wyszukiwany w nazwie</t>
  </si>
  <si>
    <t>Arkusz z którego pobiera dane</t>
  </si>
  <si>
    <t>Column6</t>
  </si>
  <si>
    <t>KL</t>
  </si>
  <si>
    <t>Kliny łazienkowe</t>
  </si>
  <si>
    <t>kliny</t>
  </si>
  <si>
    <t>klin</t>
  </si>
  <si>
    <t>materialy</t>
  </si>
  <si>
    <t>LM</t>
  </si>
  <si>
    <t>Lista materiałowa</t>
  </si>
  <si>
    <t>lista materiałowa</t>
  </si>
  <si>
    <t>Lista_materialowa</t>
  </si>
  <si>
    <t>panele</t>
  </si>
  <si>
    <t>BA</t>
  </si>
  <si>
    <t>Balkony</t>
  </si>
  <si>
    <t>balkony</t>
  </si>
  <si>
    <t>balkon</t>
  </si>
  <si>
    <t>SW</t>
  </si>
  <si>
    <t>Szyb widnowy</t>
  </si>
  <si>
    <t>szyb windowy</t>
  </si>
  <si>
    <t>wind</t>
  </si>
  <si>
    <t>NS</t>
  </si>
  <si>
    <t>Nadszybie</t>
  </si>
  <si>
    <t>nadszybie</t>
  </si>
  <si>
    <t>nadszyb</t>
  </si>
  <si>
    <t>DAB</t>
  </si>
  <si>
    <t>Daszki nad balkonami</t>
  </si>
  <si>
    <t>daszki</t>
  </si>
  <si>
    <t>daszk</t>
  </si>
  <si>
    <t>DAG</t>
  </si>
  <si>
    <t>Daszki nad galeriami</t>
  </si>
  <si>
    <t>GA</t>
  </si>
  <si>
    <t>Galerie</t>
  </si>
  <si>
    <t>galerie</t>
  </si>
  <si>
    <t>galer</t>
  </si>
  <si>
    <t>TAB</t>
  </si>
  <si>
    <t>Tarasy/balkony na gruncie</t>
  </si>
  <si>
    <t>tarasy</t>
  </si>
  <si>
    <t>TAG</t>
  </si>
  <si>
    <t>Tarasy/Galerie na gruncie</t>
  </si>
  <si>
    <t>TAM</t>
  </si>
  <si>
    <t>Tarasy na module</t>
  </si>
  <si>
    <t>taras</t>
  </si>
  <si>
    <t>TRTB</t>
  </si>
  <si>
    <t>Trap tarasu/balkonu na gruncie</t>
  </si>
  <si>
    <t>trapy</t>
  </si>
  <si>
    <t>trap</t>
  </si>
  <si>
    <t>TRTG</t>
  </si>
  <si>
    <t>Trap tarasu/galerii na gruncie</t>
  </si>
  <si>
    <t>TRB</t>
  </si>
  <si>
    <t>Trap balkonu</t>
  </si>
  <si>
    <t>TRG</t>
  </si>
  <si>
    <t>Trap galerii</t>
  </si>
  <si>
    <t>TRM</t>
  </si>
  <si>
    <t>Trap tarasu na module</t>
  </si>
  <si>
    <t>POB</t>
  </si>
  <si>
    <t>Panele podbitek</t>
  </si>
  <si>
    <t>podbitki</t>
  </si>
  <si>
    <t>podb</t>
  </si>
  <si>
    <t>AT</t>
  </si>
  <si>
    <t>Ściany attykowe produkcja</t>
  </si>
  <si>
    <t>attyki</t>
  </si>
  <si>
    <t>attyk</t>
  </si>
  <si>
    <t>sciany</t>
  </si>
  <si>
    <t>AT-BU</t>
  </si>
  <si>
    <t>Ściany attykowe budowa</t>
  </si>
  <si>
    <t>EL</t>
  </si>
  <si>
    <t>Ściana dobitkowa/szczytowa</t>
  </si>
  <si>
    <t>dobitki</t>
  </si>
  <si>
    <t>dobitk</t>
  </si>
  <si>
    <t>SSB</t>
  </si>
  <si>
    <t>Obudowy szachtów montowane na budowie</t>
  </si>
  <si>
    <t>obudowy szachtów</t>
  </si>
  <si>
    <t>szacht</t>
  </si>
  <si>
    <t>SSP</t>
  </si>
  <si>
    <t>Obudowy szachtów montowane na produkcji</t>
  </si>
  <si>
    <t>TJ</t>
  </si>
  <si>
    <t>Ścianki trejażowe</t>
  </si>
  <si>
    <t>trejaże</t>
  </si>
  <si>
    <t>trejaż</t>
  </si>
  <si>
    <t>UZ</t>
  </si>
  <si>
    <t>Uzupełnienia pod dobitkami/ ścianami szczytowymi</t>
  </si>
  <si>
    <t>uzupełnienia dobitek</t>
  </si>
  <si>
    <t>uzupełn</t>
  </si>
  <si>
    <t>Nie</t>
  </si>
  <si>
    <t>propozycja</t>
  </si>
  <si>
    <t>Nazwa wyszukiwana</t>
  </si>
  <si>
    <t>materiały</t>
  </si>
  <si>
    <t>KL-ŁA</t>
  </si>
  <si>
    <t>KL-BA</t>
  </si>
  <si>
    <t>Kliny balkonów</t>
  </si>
  <si>
    <t>KL-PR</t>
  </si>
  <si>
    <t>Kliny w pralni</t>
  </si>
  <si>
    <t>szt.</t>
  </si>
  <si>
    <t>Materiał</t>
  </si>
  <si>
    <t>szer.</t>
  </si>
  <si>
    <t>H1</t>
  </si>
  <si>
    <t>H2</t>
  </si>
  <si>
    <t>długość</t>
  </si>
  <si>
    <t>V1</t>
  </si>
  <si>
    <t>pow.</t>
  </si>
  <si>
    <t>klasa (grade)</t>
  </si>
  <si>
    <t>kod (indeks)</t>
  </si>
  <si>
    <t>Stolarnia</t>
  </si>
  <si>
    <t>(puste)</t>
  </si>
  <si>
    <t>NIEWYKONANE</t>
  </si>
  <si>
    <t>Etykiety wierszy</t>
  </si>
  <si>
    <t>Suma końcowa</t>
  </si>
  <si>
    <t>Podwykonawca</t>
  </si>
  <si>
    <t>planowana data produkcji pierwszego modułu:</t>
  </si>
  <si>
    <t>Ilość dni od spływu dokumentacji do wymagalności</t>
  </si>
  <si>
    <t>ilość dni roboczych pozostałych do wymagalności</t>
  </si>
  <si>
    <t>Czy jest zagrożenie wysyłki</t>
  </si>
  <si>
    <t>Gniazdo - Ściany</t>
  </si>
  <si>
    <t>Dąb - Gaj</t>
  </si>
  <si>
    <t>Weinmann</t>
  </si>
  <si>
    <t>przekazane do realizacji</t>
  </si>
  <si>
    <t>Tom-Bud, Fom-Bud</t>
  </si>
  <si>
    <t>Mobi One</t>
  </si>
  <si>
    <t>Tom-Bud</t>
  </si>
  <si>
    <t>Fom-Bud</t>
  </si>
  <si>
    <t>zamawia budowa</t>
  </si>
  <si>
    <t>Kierownik Kontraktu</t>
  </si>
  <si>
    <t>Attyki nadszybie</t>
  </si>
  <si>
    <t>attyki nadszybie</t>
  </si>
  <si>
    <t>Harmonogram produkcji Ściany</t>
  </si>
  <si>
    <t>Firma</t>
  </si>
  <si>
    <t>Harmonogram</t>
  </si>
  <si>
    <t>Powierzchnia</t>
  </si>
  <si>
    <t>Typ firmy</t>
  </si>
  <si>
    <t>MC</t>
  </si>
  <si>
    <t>Rok</t>
  </si>
  <si>
    <t>Unihouse</t>
  </si>
  <si>
    <t xml:space="preserve">. </t>
  </si>
  <si>
    <t>Fragmentatory</t>
  </si>
  <si>
    <t>m2 powierzchni</t>
  </si>
  <si>
    <t>ilości elementów</t>
  </si>
  <si>
    <t xml:space="preserve">Ilość </t>
  </si>
  <si>
    <t xml:space="preserve">Powierzchnia </t>
  </si>
  <si>
    <t>Suma z Powierzchnia</t>
  </si>
  <si>
    <t>Suma z Ilość</t>
  </si>
  <si>
    <t>A-2-TRB-07</t>
  </si>
  <si>
    <t>drewno</t>
  </si>
  <si>
    <t>C24</t>
  </si>
  <si>
    <t>Drewno_Do_Dociecia</t>
  </si>
  <si>
    <t>A-2-TRB-05</t>
  </si>
  <si>
    <t>A-2-TRB-04</t>
  </si>
  <si>
    <t>A-2-TRB-02</t>
  </si>
  <si>
    <t>A-2-TRB-01</t>
  </si>
  <si>
    <t>A-3-TRB-07</t>
  </si>
  <si>
    <t>A-3-TRB-04</t>
  </si>
  <si>
    <t>A-3-TRB-05</t>
  </si>
  <si>
    <t>A-3-TRB-02</t>
  </si>
  <si>
    <t>A-3-TRB-01</t>
  </si>
  <si>
    <t>A-4-TRB-01</t>
  </si>
  <si>
    <t>A-4-TRB-03</t>
  </si>
  <si>
    <t>A-4-TRB-06</t>
  </si>
  <si>
    <t>A-4-TRB-09</t>
  </si>
  <si>
    <t>A-4-TRB-05</t>
  </si>
  <si>
    <t>A-3-TRB-03</t>
  </si>
  <si>
    <t>A-2-TRB-03</t>
  </si>
  <si>
    <t>A-2-TRB-06</t>
  </si>
  <si>
    <t>A-3-TRB-06</t>
  </si>
  <si>
    <t>A-4-TRB-08</t>
  </si>
  <si>
    <t>A-4-TRB-07</t>
  </si>
  <si>
    <t>A-4-TRB-04</t>
  </si>
  <si>
    <t>A-4-TRB-02</t>
  </si>
  <si>
    <t>W ramy</t>
  </si>
  <si>
    <t>gr całk</t>
  </si>
  <si>
    <t>W całk</t>
  </si>
  <si>
    <t>ciężar</t>
  </si>
  <si>
    <t>opis</t>
  </si>
  <si>
    <t>A-2-BA-01</t>
  </si>
  <si>
    <t>A-3-BA-01</t>
  </si>
  <si>
    <t>A-4-BA-01</t>
  </si>
  <si>
    <t>strugane</t>
  </si>
  <si>
    <t>B-2-BA-01</t>
  </si>
  <si>
    <t>B-2-BA-02</t>
  </si>
  <si>
    <t>B-2-BA-03</t>
  </si>
  <si>
    <t>B-2-BA-04</t>
  </si>
  <si>
    <t>B-3-BA-01</t>
  </si>
  <si>
    <t>B-3-BA-02</t>
  </si>
  <si>
    <t>B-3-BA-03</t>
  </si>
  <si>
    <t>B-3-BA-04</t>
  </si>
  <si>
    <t>B-4-BA-01</t>
  </si>
  <si>
    <t>B-4-BA-02</t>
  </si>
  <si>
    <t>B-4-BA-03</t>
  </si>
  <si>
    <t>B-4-BA-04</t>
  </si>
  <si>
    <t>B-2-TRB-01</t>
  </si>
  <si>
    <t>B-2-TRB-02</t>
  </si>
  <si>
    <t>B-2-TRB-03</t>
  </si>
  <si>
    <t>B-2-TRB-04</t>
  </si>
  <si>
    <t>B-2-TRB-05</t>
  </si>
  <si>
    <t>B-2-TRB-06</t>
  </si>
  <si>
    <t>B-2-TRB-07</t>
  </si>
  <si>
    <t>B-2-TRB-08</t>
  </si>
  <si>
    <t>B-3-TRB-01</t>
  </si>
  <si>
    <t>B-3-TRB-02</t>
  </si>
  <si>
    <t>B-3-TRB-03</t>
  </si>
  <si>
    <t>B-3-TRB-04</t>
  </si>
  <si>
    <t>B-3-TRB-05</t>
  </si>
  <si>
    <t>B-3-TRB-06</t>
  </si>
  <si>
    <t>B-3-TRB-07</t>
  </si>
  <si>
    <t>B-3-TRB-08</t>
  </si>
  <si>
    <t>B-4-TRB-01</t>
  </si>
  <si>
    <t>B-4-TRB-02</t>
  </si>
  <si>
    <t>B-4-TRB-03</t>
  </si>
  <si>
    <t>B-4-TRB-04</t>
  </si>
  <si>
    <t>B-4-TRB-05</t>
  </si>
  <si>
    <t>B-4-TRB-06</t>
  </si>
  <si>
    <t>B-4-TRB-07</t>
  </si>
  <si>
    <t>B-4-TRB-08</t>
  </si>
  <si>
    <t>A-2</t>
  </si>
  <si>
    <t>94</t>
  </si>
  <si>
    <t>95</t>
  </si>
  <si>
    <t>97</t>
  </si>
  <si>
    <t>A-3</t>
  </si>
  <si>
    <t>42</t>
  </si>
  <si>
    <t>45</t>
  </si>
  <si>
    <t>55</t>
  </si>
  <si>
    <t>A-4</t>
  </si>
  <si>
    <t>87</t>
  </si>
  <si>
    <t>82</t>
  </si>
  <si>
    <t>79</t>
  </si>
  <si>
    <t>78</t>
  </si>
  <si>
    <t>83</t>
  </si>
  <si>
    <t>16</t>
  </si>
  <si>
    <t>27</t>
  </si>
  <si>
    <t>40</t>
  </si>
  <si>
    <t>89</t>
  </si>
  <si>
    <t>91</t>
  </si>
  <si>
    <t>92</t>
  </si>
  <si>
    <t>22</t>
  </si>
  <si>
    <t>46</t>
  </si>
  <si>
    <t>3</t>
  </si>
  <si>
    <t>1</t>
  </si>
  <si>
    <t>12</t>
  </si>
  <si>
    <t>23</t>
  </si>
  <si>
    <t>34</t>
  </si>
  <si>
    <t>84</t>
  </si>
  <si>
    <t>5</t>
  </si>
  <si>
    <t>30</t>
  </si>
  <si>
    <t>31</t>
  </si>
  <si>
    <t>19</t>
  </si>
  <si>
    <t>99</t>
  </si>
  <si>
    <t>7</t>
  </si>
  <si>
    <t>20</t>
  </si>
  <si>
    <t>21</t>
  </si>
  <si>
    <t>98</t>
  </si>
  <si>
    <t>104</t>
  </si>
  <si>
    <t>14</t>
  </si>
  <si>
    <t>15</t>
  </si>
  <si>
    <t>57</t>
  </si>
  <si>
    <t>4</t>
  </si>
  <si>
    <t>13</t>
  </si>
  <si>
    <t>56</t>
  </si>
  <si>
    <t>72</t>
  </si>
  <si>
    <t>70</t>
  </si>
  <si>
    <t>69</t>
  </si>
  <si>
    <t>2</t>
  </si>
  <si>
    <t>9</t>
  </si>
  <si>
    <t>11</t>
  </si>
  <si>
    <t>47</t>
  </si>
  <si>
    <t>6</t>
  </si>
  <si>
    <t>8</t>
  </si>
  <si>
    <t>18</t>
  </si>
  <si>
    <t>96</t>
  </si>
  <si>
    <t>102</t>
  </si>
  <si>
    <t>103</t>
  </si>
  <si>
    <t>28</t>
  </si>
  <si>
    <t>25</t>
  </si>
  <si>
    <t>26</t>
  </si>
  <si>
    <t>10</t>
  </si>
  <si>
    <t>17</t>
  </si>
  <si>
    <t>66</t>
  </si>
  <si>
    <t>67</t>
  </si>
  <si>
    <t>100</t>
  </si>
  <si>
    <t>101</t>
  </si>
  <si>
    <t>29</t>
  </si>
  <si>
    <t>39</t>
  </si>
  <si>
    <t>24</t>
  </si>
  <si>
    <t>35</t>
  </si>
  <si>
    <t>41</t>
  </si>
  <si>
    <t>334</t>
  </si>
  <si>
    <t>50</t>
  </si>
  <si>
    <t>44</t>
  </si>
  <si>
    <t>300</t>
  </si>
  <si>
    <t>299</t>
  </si>
  <si>
    <t>301</t>
  </si>
  <si>
    <t>298</t>
  </si>
  <si>
    <t>49</t>
  </si>
  <si>
    <t>48</t>
  </si>
  <si>
    <t>291</t>
  </si>
  <si>
    <t>335</t>
  </si>
  <si>
    <t>297</t>
  </si>
  <si>
    <t>38</t>
  </si>
  <si>
    <t>37</t>
  </si>
  <si>
    <t>286</t>
  </si>
  <si>
    <t>285</t>
  </si>
  <si>
    <t>344</t>
  </si>
  <si>
    <t>283</t>
  </si>
  <si>
    <t>277</t>
  </si>
  <si>
    <t>341</t>
  </si>
  <si>
    <t>342</t>
  </si>
  <si>
    <t>343</t>
  </si>
  <si>
    <t>325</t>
  </si>
  <si>
    <t>322</t>
  </si>
  <si>
    <t>323</t>
  </si>
  <si>
    <t>324</t>
  </si>
  <si>
    <t>284</t>
  </si>
  <si>
    <t>274</t>
  </si>
  <si>
    <t>275</t>
  </si>
  <si>
    <t>276</t>
  </si>
  <si>
    <t>B-2</t>
  </si>
  <si>
    <t>B-3</t>
  </si>
  <si>
    <t>B-4</t>
  </si>
  <si>
    <t>152</t>
  </si>
  <si>
    <t>148</t>
  </si>
  <si>
    <t>187</t>
  </si>
  <si>
    <t>170</t>
  </si>
  <si>
    <t>195</t>
  </si>
  <si>
    <t>241</t>
  </si>
  <si>
    <t>131</t>
  </si>
  <si>
    <t>107</t>
  </si>
  <si>
    <t>194</t>
  </si>
  <si>
    <t>36</t>
  </si>
  <si>
    <t>243</t>
  </si>
  <si>
    <t>242</t>
  </si>
  <si>
    <t>215</t>
  </si>
  <si>
    <t>214</t>
  </si>
  <si>
    <t>213</t>
  </si>
  <si>
    <t>172</t>
  </si>
  <si>
    <t>132</t>
  </si>
  <si>
    <t>108</t>
  </si>
  <si>
    <t>109</t>
  </si>
  <si>
    <t>33</t>
  </si>
  <si>
    <t>32</t>
  </si>
  <si>
    <t>173</t>
  </si>
  <si>
    <t>171</t>
  </si>
  <si>
    <t>245</t>
  </si>
  <si>
    <t>272</t>
  </si>
  <si>
    <t>240</t>
  </si>
  <si>
    <t>263</t>
  </si>
  <si>
    <t>239</t>
  </si>
  <si>
    <t>227</t>
  </si>
  <si>
    <t>149</t>
  </si>
  <si>
    <t>130</t>
  </si>
  <si>
    <t>105</t>
  </si>
  <si>
    <t>106</t>
  </si>
  <si>
    <t>193</t>
  </si>
  <si>
    <t>168</t>
  </si>
  <si>
    <t>273</t>
  </si>
  <si>
    <t>271</t>
  </si>
  <si>
    <t>244</t>
  </si>
  <si>
    <t>217</t>
  </si>
  <si>
    <t>216</t>
  </si>
  <si>
    <t>202</t>
  </si>
  <si>
    <t>169</t>
  </si>
  <si>
    <t>151</t>
  </si>
  <si>
    <t>150</t>
  </si>
  <si>
    <t>262</t>
  </si>
  <si>
    <t>261</t>
  </si>
  <si>
    <t>260</t>
  </si>
  <si>
    <t>256</t>
  </si>
  <si>
    <t>255</t>
  </si>
  <si>
    <t>254</t>
  </si>
  <si>
    <t>226</t>
  </si>
  <si>
    <t>212</t>
  </si>
  <si>
    <t>225</t>
  </si>
  <si>
    <t>206</t>
  </si>
  <si>
    <t>200</t>
  </si>
  <si>
    <t>205</t>
  </si>
  <si>
    <t>204</t>
  </si>
  <si>
    <t>203</t>
  </si>
  <si>
    <t>201</t>
  </si>
  <si>
    <t>199</t>
  </si>
  <si>
    <t>198</t>
  </si>
  <si>
    <t>197</t>
  </si>
  <si>
    <t>186</t>
  </si>
  <si>
    <t>185</t>
  </si>
  <si>
    <t>184</t>
  </si>
  <si>
    <t>143</t>
  </si>
  <si>
    <t>142</t>
  </si>
  <si>
    <t>141</t>
  </si>
  <si>
    <t>140</t>
  </si>
  <si>
    <t>80</t>
  </si>
  <si>
    <t>122</t>
  </si>
  <si>
    <t>125</t>
  </si>
  <si>
    <t>124</t>
  </si>
  <si>
    <t>81</t>
  </si>
  <si>
    <t>77</t>
  </si>
  <si>
    <t>75</t>
  </si>
  <si>
    <t>76</t>
  </si>
  <si>
    <t>74</t>
  </si>
  <si>
    <t>59</t>
  </si>
  <si>
    <t>60</t>
  </si>
  <si>
    <t>61</t>
  </si>
  <si>
    <t>73</t>
  </si>
  <si>
    <t>71</t>
  </si>
  <si>
    <t>68</t>
  </si>
  <si>
    <t>65</t>
  </si>
  <si>
    <t>64</t>
  </si>
  <si>
    <t>62</t>
  </si>
  <si>
    <t>63</t>
  </si>
  <si>
    <t>A-2-TRB-07 Klin 94</t>
  </si>
  <si>
    <t>Klin Trap balkonu</t>
  </si>
  <si>
    <t>A-2-TRB-05 Klin 95</t>
  </si>
  <si>
    <t>A-2-TRB-04 Klin 95</t>
  </si>
  <si>
    <t>A-2-TRB-02 Klin 97</t>
  </si>
  <si>
    <t>A-2-TRB-01 Klin 97</t>
  </si>
  <si>
    <t>A-3-TRB-07 Klin 42</t>
  </si>
  <si>
    <t>A-3-TRB-04 Klin 45</t>
  </si>
  <si>
    <t>A-3-TRB-05 Klin 45</t>
  </si>
  <si>
    <t>A-3-TRB-02 Klin 55</t>
  </si>
  <si>
    <t>A-3-TRB-01 Klin 55</t>
  </si>
  <si>
    <t>A-4-TRB-01 Klin 87</t>
  </si>
  <si>
    <t>A-4-TRB-03 Klin 87</t>
  </si>
  <si>
    <t>A-4-TRB-06 Klin 82</t>
  </si>
  <si>
    <t>A-4-TRB-09 Klin 79</t>
  </si>
  <si>
    <t>A-4-TRB-09 Klin 78</t>
  </si>
  <si>
    <t>A-4-TRB-05 Klin 83</t>
  </si>
  <si>
    <t>A-3-TRB-03 Klin 16</t>
  </si>
  <si>
    <t>A-2-TRB-03 Klin 16</t>
  </si>
  <si>
    <t>A-4-TRB-09 Klin 27</t>
  </si>
  <si>
    <t>A-4-TRB-09 Klin 40</t>
  </si>
  <si>
    <t>A-4-TRB-09 Klin 89</t>
  </si>
  <si>
    <t>A-4-TRB-09 Klin 91</t>
  </si>
  <si>
    <t>A-4-TRB-09 Klin 92</t>
  </si>
  <si>
    <t>A-2-TRB-06 Klin 22</t>
  </si>
  <si>
    <t>A-3-TRB-06 Klin 46</t>
  </si>
  <si>
    <t>A-2-TRB-06 Klin 46</t>
  </si>
  <si>
    <t>A-3-TRB-03 Klin 3</t>
  </si>
  <si>
    <t>A-2-TRB-03 Klin 3</t>
  </si>
  <si>
    <t>A-3-TRB-06 Klin 1</t>
  </si>
  <si>
    <t>A-2-TRB-06 Klin 1</t>
  </si>
  <si>
    <t>A-3-TRB-06 Klin 12</t>
  </si>
  <si>
    <t>A-4-TRB-05 Klin 23</t>
  </si>
  <si>
    <t>A-4-TRB-05 Klin 34</t>
  </si>
  <si>
    <t>A-4-TRB-05 Klin 84</t>
  </si>
  <si>
    <t>A-3-TRB-01 Klin 5</t>
  </si>
  <si>
    <t>A-2-TRB-01 Klin 5</t>
  </si>
  <si>
    <t>A-4-TRB-06 Klin 30</t>
  </si>
  <si>
    <t>A-4-TRB-06 Klin 31</t>
  </si>
  <si>
    <t>A-2-TRB-02 Klin 19</t>
  </si>
  <si>
    <t>A-2-TRB-02 Klin 99</t>
  </si>
  <si>
    <t>A-2-TRB-02 Klin 7</t>
  </si>
  <si>
    <t>A-2-TRB-01 Klin 20</t>
  </si>
  <si>
    <t>A-2-TRB-01 Klin 21</t>
  </si>
  <si>
    <t>A-2-TRB-01 Klin 99</t>
  </si>
  <si>
    <t>A-2-TRB-01 Klin 98</t>
  </si>
  <si>
    <t>A-2-TRB-01 Klin 104</t>
  </si>
  <si>
    <t>A-3-TRB-01 Klin 14</t>
  </si>
  <si>
    <t>A-3-TRB-01 Klin 15</t>
  </si>
  <si>
    <t>A-3-TRB-01 Klin 57</t>
  </si>
  <si>
    <t>A-3-TRB-02 Klin 4</t>
  </si>
  <si>
    <t>A-3-TRB-02 Klin 13</t>
  </si>
  <si>
    <t>A-3-TRB-01 Klin 56</t>
  </si>
  <si>
    <t>A-3-TRB-02 Klin 57</t>
  </si>
  <si>
    <t>A-3-TRB-01 Klin 72</t>
  </si>
  <si>
    <t>A-3-TRB-05 Klin 70</t>
  </si>
  <si>
    <t>A-3-TRB-05 Klin 69</t>
  </si>
  <si>
    <t>A-3-TRB-04 Klin 69</t>
  </si>
  <si>
    <t>A-3-TRB-05 Klin 2</t>
  </si>
  <si>
    <t>A-3-TRB-04 Klin 9</t>
  </si>
  <si>
    <t>A-3-TRB-05 Klin 11</t>
  </si>
  <si>
    <t>A-3-TRB-04 Klin 47</t>
  </si>
  <si>
    <t>A-2-TRB-05 Klin 6</t>
  </si>
  <si>
    <t>A-2-TRB-04 Klin 8</t>
  </si>
  <si>
    <t>A-2-TRB-05 Klin 18</t>
  </si>
  <si>
    <t>A-2-TRB-04 Klin 96</t>
  </si>
  <si>
    <t>A-2-TRB-05 Klin 102</t>
  </si>
  <si>
    <t>A-2-TRB-04 Klin 102</t>
  </si>
  <si>
    <t>A-2-TRB-05 Klin 103</t>
  </si>
  <si>
    <t>A-4-TRB-08 Klin 28</t>
  </si>
  <si>
    <t>A-4-TRB-03 Klin 25</t>
  </si>
  <si>
    <t>A-4-TRB-03 Klin 26</t>
  </si>
  <si>
    <t>A-4-TRB-01 Klin 26</t>
  </si>
  <si>
    <t>A-4-TRB-01 Klin 25</t>
  </si>
  <si>
    <t>A-3-TRB-07 Klin 10</t>
  </si>
  <si>
    <t>A-2-TRB-07 Klin 17</t>
  </si>
  <si>
    <t>A-3-TRB-07 Klin 66</t>
  </si>
  <si>
    <t>A-3-TRB-07 Klin 67</t>
  </si>
  <si>
    <t>A-2-TRB-07 Klin 100</t>
  </si>
  <si>
    <t>A-2-TRB-07 Klin 101</t>
  </si>
  <si>
    <t>A-4-TRB-07 Klin 29</t>
  </si>
  <si>
    <t>A-4-TRB-07 Klin 39</t>
  </si>
  <si>
    <t>A-4-TRB-04 Klin 24</t>
  </si>
  <si>
    <t>A-4-TRB-02 Klin 24</t>
  </si>
  <si>
    <t>A-4-TRB-03 Klin 35</t>
  </si>
  <si>
    <t>A-4-TRB-01 Klin 35</t>
  </si>
  <si>
    <t>A-4-TRB-06 Klin 41</t>
  </si>
  <si>
    <t>A-2-TRB-02 Klin 286</t>
  </si>
  <si>
    <t>A-2-TRB-02 Klin 285</t>
  </si>
  <si>
    <t>A-2-TRB-01 Klin 344</t>
  </si>
  <si>
    <t>A-2-TRB-02 Klin 283</t>
  </si>
  <si>
    <t>A-2-TRB-01 Klin 277</t>
  </si>
  <si>
    <t>A-2-TRB-01 Klin 341</t>
  </si>
  <si>
    <t>A-2-TRB-01 Klin 342</t>
  </si>
  <si>
    <t>A-2-TRB-01 Klin 343</t>
  </si>
  <si>
    <t>A-3-TRB-02 Klin 286</t>
  </si>
  <si>
    <t>A-3-TRB-02 Klin 285</t>
  </si>
  <si>
    <t>A-3-TRB-01 Klin 325</t>
  </si>
  <si>
    <t>A-3-TRB-02 Klin 283</t>
  </si>
  <si>
    <t>A-3-TRB-01 Klin 277</t>
  </si>
  <si>
    <t>A-3-TRB-01 Klin 322</t>
  </si>
  <si>
    <t>A-3-TRB-01 Klin 323</t>
  </si>
  <si>
    <t>A-3-TRB-01 Klin 324</t>
  </si>
  <si>
    <t>A-4-TRB-02 Klin 286</t>
  </si>
  <si>
    <t>A-4-TRB-02 Klin 285</t>
  </si>
  <si>
    <t>A-4-TRB-01 Klin 284</t>
  </si>
  <si>
    <t>A-4-TRB-02 Klin 283</t>
  </si>
  <si>
    <t>A-4-TRB-01 Klin 277</t>
  </si>
  <si>
    <t>A-4-TRB-01 Klin 274</t>
  </si>
  <si>
    <t>A-4-TRB-01 Klin 275</t>
  </si>
  <si>
    <t>A-4-TRB-01 Klin 276</t>
  </si>
  <si>
    <t>A-2-BA-01 Klin 334</t>
  </si>
  <si>
    <t>Klin Balkony</t>
  </si>
  <si>
    <t>A-3-BA-01 Klin 334</t>
  </si>
  <si>
    <t>A-2-BA-01 Klin 50</t>
  </si>
  <si>
    <t>A-3-BA-01 Klin 50</t>
  </si>
  <si>
    <t>A-4-BA-01 Klin 47</t>
  </si>
  <si>
    <t>A-4-BA-01 Klin 44</t>
  </si>
  <si>
    <t>A-2-BA-01 Klin 40</t>
  </si>
  <si>
    <t>A-3-BA-01 Klin 40</t>
  </si>
  <si>
    <t>A-4-BA-01 Klin 39</t>
  </si>
  <si>
    <t>A-2-BA-01 Klin 300</t>
  </si>
  <si>
    <t>A-3-BA-01 Klin 300</t>
  </si>
  <si>
    <t>A-4-BA-01 Klin 300</t>
  </si>
  <si>
    <t>A-2-BA-01 Klin 299</t>
  </si>
  <si>
    <t>A-3-BA-01 Klin 299</t>
  </si>
  <si>
    <t>A-4-BA-01 Klin 299</t>
  </si>
  <si>
    <t>A-2-BA-01 Klin 301</t>
  </si>
  <si>
    <t>A-3-BA-01 Klin 301</t>
  </si>
  <si>
    <t>A-4-BA-01 Klin 301</t>
  </si>
  <si>
    <t>A-2-BA-01 Klin 298</t>
  </si>
  <si>
    <t>A-2-BA-01 Klin 49</t>
  </si>
  <si>
    <t>A-2-BA-01 Klin 48</t>
  </si>
  <si>
    <t>A-2-BA-01 Klin 291</t>
  </si>
  <si>
    <t>A-2-BA-01 Klin 335</t>
  </si>
  <si>
    <t>A-3-BA-01 Klin 298</t>
  </si>
  <si>
    <t>A-3-BA-01 Klin 49</t>
  </si>
  <si>
    <t>A-3-BA-01 Klin 48</t>
  </si>
  <si>
    <t>A-3-BA-01 Klin 291</t>
  </si>
  <si>
    <t>A-3-BA-01 Klin 335</t>
  </si>
  <si>
    <t>A-4-BA-01 Klin 298</t>
  </si>
  <si>
    <t>A-4-BA-01 Klin 46</t>
  </si>
  <si>
    <t>A-4-BA-01 Klin 45</t>
  </si>
  <si>
    <t>A-4-BA-01 Klin 291</t>
  </si>
  <si>
    <t>A-4-BA-01 Klin 297</t>
  </si>
  <si>
    <t>A-2-BA-01 Klin 38</t>
  </si>
  <si>
    <t>A-3-BA-01 Klin 38</t>
  </si>
  <si>
    <t>A-4-BA-01 Klin 37</t>
  </si>
  <si>
    <t>B-2-TRB-06 Klin 262</t>
  </si>
  <si>
    <t>B-2-TRB-06 Klin 261</t>
  </si>
  <si>
    <t>B-2-TRB-06 Klin 260</t>
  </si>
  <si>
    <t>B-3-TRB-06 Klin 256</t>
  </si>
  <si>
    <t>B-3-TRB-06 Klin 255</t>
  </si>
  <si>
    <t>B-3-TRB-06 Klin 254</t>
  </si>
  <si>
    <t>B-4-TRB-06 Klin 226</t>
  </si>
  <si>
    <t>B-4-TRB-06 Klin 212</t>
  </si>
  <si>
    <t>B-4-TRB-06 Klin 225</t>
  </si>
  <si>
    <t>B-2-TRB-01 Klin 206</t>
  </si>
  <si>
    <t>B-2-TRB-01 Klin 200</t>
  </si>
  <si>
    <t>B-2-TRB-01 Klin 205</t>
  </si>
  <si>
    <t>B-3-TRB-01 Klin 204</t>
  </si>
  <si>
    <t>B-3-TRB-01 Klin 200</t>
  </si>
  <si>
    <t>B-3-TRB-01 Klin 203</t>
  </si>
  <si>
    <t>B-4-TRB-01 Klin 201</t>
  </si>
  <si>
    <t>B-4-TRB-01 Klin 200</t>
  </si>
  <si>
    <t>B-4-TRB-01 Klin 199</t>
  </si>
  <si>
    <t>B-2-TRB-03 Klin 198</t>
  </si>
  <si>
    <t>B-2-TRB-03 Klin 197</t>
  </si>
  <si>
    <t>B-3-TRB-03 Klin 186</t>
  </si>
  <si>
    <t>B-3-TRB-03 Klin 185</t>
  </si>
  <si>
    <t>B-3-TRB-03 Klin 184</t>
  </si>
  <si>
    <t>B-4-TRB-03 Klin 143</t>
  </si>
  <si>
    <t>B-4-TRB-03 Klin 142</t>
  </si>
  <si>
    <t>B-4-TRB-03 Klin 141</t>
  </si>
  <si>
    <t>B-2-TRB-08 Klin 140</t>
  </si>
  <si>
    <t>B-2-TRB-08 Klin 87</t>
  </si>
  <si>
    <t>B-2-TRB-08 Klin 80</t>
  </si>
  <si>
    <t>B-3-TRB-08 Klin 122</t>
  </si>
  <si>
    <t>B-3-TRB-08 Klin 125</t>
  </si>
  <si>
    <t>B-3-TRB-08 Klin 124</t>
  </si>
  <si>
    <t>B-4-TRB-08 Klin 81</t>
  </si>
  <si>
    <t>B-4-TRB-08 Klin 87</t>
  </si>
  <si>
    <t>B-4-TRB-08 Klin 80</t>
  </si>
  <si>
    <t>B-2-TRB-02 Klin 78</t>
  </si>
  <si>
    <t>B-2-TRB-02 Klin 79</t>
  </si>
  <si>
    <t>B-2-TRB-04 Klin 77</t>
  </si>
  <si>
    <t>B-2-TRB-05 Klin 75</t>
  </si>
  <si>
    <t>B-2-TRB-05 Klin 76</t>
  </si>
  <si>
    <t>B-2-TRB-05 Klin 74</t>
  </si>
  <si>
    <t>B-2-TRB-07 Klin 59</t>
  </si>
  <si>
    <t>B-2-TRB-07 Klin 60</t>
  </si>
  <si>
    <t>B-2-TRB-07 Klin 61</t>
  </si>
  <si>
    <t>B-3-TRB-02 Klin 73</t>
  </si>
  <si>
    <t>B-3-TRB-02 Klin 72</t>
  </si>
  <si>
    <t>B-3-TRB-04 Klin 71</t>
  </si>
  <si>
    <t>B-3-TRB-04 Klin 72</t>
  </si>
  <si>
    <t>B-3-TRB-05 Klin 69</t>
  </si>
  <si>
    <t>B-3-TRB-05 Klin 70</t>
  </si>
  <si>
    <t>B-3-TRB-05 Klin 68</t>
  </si>
  <si>
    <t>B-3-TRB-07 Klin 65</t>
  </si>
  <si>
    <t>B-3-TRB-07 Klin 67</t>
  </si>
  <si>
    <t>B-3-TRB-07 Klin 66</t>
  </si>
  <si>
    <t>B-4-TRB-05 Klin 60</t>
  </si>
  <si>
    <t>B-4-TRB-05 Klin 64</t>
  </si>
  <si>
    <t>B-4-TRB-05 Klin 59</t>
  </si>
  <si>
    <t>B-4-TRB-02 Klin 62</t>
  </si>
  <si>
    <t>B-4-TRB-02 Klin 63</t>
  </si>
  <si>
    <t>B-4-TRB-04 Klin 62</t>
  </si>
  <si>
    <t>B-4-TRB-04 Klin 63</t>
  </si>
  <si>
    <t>B-4-TRB-07 Klin 61</t>
  </si>
  <si>
    <t>B-4-TRB-07 Klin 59</t>
  </si>
  <si>
    <t>B-4-TRB-07 Klin 60</t>
  </si>
  <si>
    <t>B-2-TRB-01 Klin 7</t>
  </si>
  <si>
    <t>B-2-TRB-03 Klin 8</t>
  </si>
  <si>
    <t>B-2-TRB-05 Klin 3</t>
  </si>
  <si>
    <t>B-2-TRB-07 Klin 3</t>
  </si>
  <si>
    <t>B-3-TRB-01 Klin 7</t>
  </si>
  <si>
    <t>B-3-TRB-03 Klin 6</t>
  </si>
  <si>
    <t>B-3-TRB-05 Klin 3</t>
  </si>
  <si>
    <t>B-3-TRB-07 Klin 3</t>
  </si>
  <si>
    <t>B-4-TRB-01 Klin 5</t>
  </si>
  <si>
    <t>B-4-TRB-03 Klin 4</t>
  </si>
  <si>
    <t>B-4-TRB-05 Klin 3</t>
  </si>
  <si>
    <t>B-4-TRB-07 Klin 2</t>
  </si>
  <si>
    <t>B-4-BA-01 Klin 153</t>
  </si>
  <si>
    <t>B-4-BA-01 Klin 152</t>
  </si>
  <si>
    <t>B-4-BA-01 Klin 148</t>
  </si>
  <si>
    <t>B-4-BA-02 Klin 153</t>
  </si>
  <si>
    <t>B-4-BA-02 Klin 152</t>
  </si>
  <si>
    <t>B-4-BA-02 Klin 148</t>
  </si>
  <si>
    <t>B-2-BA-01 Klin 187</t>
  </si>
  <si>
    <t>B-2-BA-01 Klin 348</t>
  </si>
  <si>
    <t>B-3-BA-01 Klin 187</t>
  </si>
  <si>
    <t>B-3-BA-01 Klin 34</t>
  </si>
  <si>
    <t>B-4-BA-01 Klin 170</t>
  </si>
  <si>
    <t>B-2-BA-02 Klin 187</t>
  </si>
  <si>
    <t>B-2-BA-02 Klin 34</t>
  </si>
  <si>
    <t>B-3-BA-02 Klin 187</t>
  </si>
  <si>
    <t>B-3-BA-02 Klin 34</t>
  </si>
  <si>
    <t>B-4-BA-02 Klin 170</t>
  </si>
  <si>
    <t>B-2-BA-01 Klin 195</t>
  </si>
  <si>
    <t>B-2-BA-03 Klin 241</t>
  </si>
  <si>
    <t>B-3-BA-03 Klin 241</t>
  </si>
  <si>
    <t>B-4-BA-03 Klin 241</t>
  </si>
  <si>
    <t>B-3-BA-01 Klin 195</t>
  </si>
  <si>
    <t>B-2-BA-02 Klin 195</t>
  </si>
  <si>
    <t>B-3-BA-02 Klin 195</t>
  </si>
  <si>
    <t>B-2-BA-04 Klin 131</t>
  </si>
  <si>
    <t>B-2-BA-04 Klin 104</t>
  </si>
  <si>
    <t>B-2-BA-04 Klin 103</t>
  </si>
  <si>
    <t>B-3-BA-04 Klin 131</t>
  </si>
  <si>
    <t>B-3-BA-04 Klin 104</t>
  </si>
  <si>
    <t>B-3-BA-04 Klin 103</t>
  </si>
  <si>
    <t>B-4-BA-04 Klin 107</t>
  </si>
  <si>
    <t>B-4-BA-04 Klin 104</t>
  </si>
  <si>
    <t>B-4-BA-04 Klin 103</t>
  </si>
  <si>
    <t>B-3-BA-01 Klin 1</t>
  </si>
  <si>
    <t>B-3-BA-02 Klin 1</t>
  </si>
  <si>
    <t>B-2-BA-02 Klin 22</t>
  </si>
  <si>
    <t>B-2-BA-02 Klin 1</t>
  </si>
  <si>
    <t>B-2-BA-01 Klin 194</t>
  </si>
  <si>
    <t>B-3-BA-01 Klin 194</t>
  </si>
  <si>
    <t>B-2-BA-02 Klin 194</t>
  </si>
  <si>
    <t>B-3-BA-02 Klin 194</t>
  </si>
  <si>
    <t>B-2-BA-01 Klin 36</t>
  </si>
  <si>
    <t>B-2-BA-03 Klin 243</t>
  </si>
  <si>
    <t>B-2-BA-03 Klin 242</t>
  </si>
  <si>
    <t>B-3-BA-03 Klin 243</t>
  </si>
  <si>
    <t>B-3-BA-03 Klin 242</t>
  </si>
  <si>
    <t>B-4-BA-03 Klin 243</t>
  </si>
  <si>
    <t>B-4-BA-03 Klin 242</t>
  </si>
  <si>
    <t>B-2-BA-03 Klin 215</t>
  </si>
  <si>
    <t>B-2-BA-03 Klin 214</t>
  </si>
  <si>
    <t>B-2-BA-03 Klin 213</t>
  </si>
  <si>
    <t>B-3-BA-03 Klin 215</t>
  </si>
  <si>
    <t>B-3-BA-03 Klin 214</t>
  </si>
  <si>
    <t>B-3-BA-03 Klin 213</t>
  </si>
  <si>
    <t>B-4-BA-03 Klin 215</t>
  </si>
  <si>
    <t>B-4-BA-03 Klin 214</t>
  </si>
  <si>
    <t>B-4-BA-03 Klin 213</t>
  </si>
  <si>
    <t>B-4-BA-01 Klin 172</t>
  </si>
  <si>
    <t>B-4-BA-02 Klin 172</t>
  </si>
  <si>
    <t>B-2-BA-04 Klin 132</t>
  </si>
  <si>
    <t>B-2-BA-04 Klin 108</t>
  </si>
  <si>
    <t>B-3-BA-04 Klin 132</t>
  </si>
  <si>
    <t>B-3-BA-04 Klin 108</t>
  </si>
  <si>
    <t>B-4-BA-04 Klin 109</t>
  </si>
  <si>
    <t>B-4-BA-04 Klin 108</t>
  </si>
  <si>
    <t>B-2-BA-03 Klin 35</t>
  </si>
  <si>
    <t>B-2-BA-04 Klin 33</t>
  </si>
  <si>
    <t>B-3-BA-04 Klin 33</t>
  </si>
  <si>
    <t>B-3-BA-03 Klin 30</t>
  </si>
  <si>
    <t>B-4-BA-01 Klin 32</t>
  </si>
  <si>
    <t>B-4-BA-02 Klin 32</t>
  </si>
  <si>
    <t>B-4-BA-04 Klin 31</t>
  </si>
  <si>
    <t>B-4-BA-03 Klin 30</t>
  </si>
  <si>
    <t>B-2-BA-01 Klin 173</t>
  </si>
  <si>
    <t>B-2-BA-01 Klin 171</t>
  </si>
  <si>
    <t>B-2-BA-01 Klin 19</t>
  </si>
  <si>
    <t>B-2-BA-03 Klin 245</t>
  </si>
  <si>
    <t>B-2-BA-03 Klin 272</t>
  </si>
  <si>
    <t>B-2-BA-03 Klin 240</t>
  </si>
  <si>
    <t>B-2-BA-03 Klin 263</t>
  </si>
  <si>
    <t>B-3-BA-03 Klin 245</t>
  </si>
  <si>
    <t>B-3-BA-03 Klin 239</t>
  </si>
  <si>
    <t>B-3-BA-03 Klin 240</t>
  </si>
  <si>
    <t>B-3-BA-03 Klin 227</t>
  </si>
  <si>
    <t>B-4-BA-03 Klin 245</t>
  </si>
  <si>
    <t>B-4-BA-03 Klin 239</t>
  </si>
  <si>
    <t>B-4-BA-03 Klin 240</t>
  </si>
  <si>
    <t>B-4-BA-03 Klin 227</t>
  </si>
  <si>
    <t>B-3-BA-01 Klin 173</t>
  </si>
  <si>
    <t>B-3-BA-01 Klin 171</t>
  </si>
  <si>
    <t>B-3-BA-01 Klin 19</t>
  </si>
  <si>
    <t>B-4-BA-01 Klin 173</t>
  </si>
  <si>
    <t>B-4-BA-01 Klin 171</t>
  </si>
  <si>
    <t>B-4-BA-01 Klin 149</t>
  </si>
  <si>
    <t>B-2-BA-02 Klin 173</t>
  </si>
  <si>
    <t>B-2-BA-02 Klin 171</t>
  </si>
  <si>
    <t>B-2-BA-02 Klin 19</t>
  </si>
  <si>
    <t>B-3-BA-02 Klin 173</t>
  </si>
  <si>
    <t>B-3-BA-02 Klin 171</t>
  </si>
  <si>
    <t>B-3-BA-02 Klin 19</t>
  </si>
  <si>
    <t>B-4-BA-02 Klin 173</t>
  </si>
  <si>
    <t>B-4-BA-02 Klin 171</t>
  </si>
  <si>
    <t>B-4-BA-02 Klin 149</t>
  </si>
  <si>
    <t>B-2-BA-04 Klin 130</t>
  </si>
  <si>
    <t>B-2-BA-04 Klin 105</t>
  </si>
  <si>
    <t>B-2-BA-04 Klin 18</t>
  </si>
  <si>
    <t>B-3-BA-04 Klin 130</t>
  </si>
  <si>
    <t>B-3-BA-04 Klin 105</t>
  </si>
  <si>
    <t>B-3-BA-04 Klin 18</t>
  </si>
  <si>
    <t>B-4-BA-04 Klin 106</t>
  </si>
  <si>
    <t>B-4-BA-04 Klin 105</t>
  </si>
  <si>
    <t>B-4-BA-04 Klin 17</t>
  </si>
  <si>
    <t>B-2-BA-01 Klin 20</t>
  </si>
  <si>
    <t>B-2-BA-01 Klin 353</t>
  </si>
  <si>
    <t>B-2-BA-01 Klin 193</t>
  </si>
  <si>
    <t>B-2-BA-01 Klin 168</t>
  </si>
  <si>
    <t>B-2-BA-01 Klin 352</t>
  </si>
  <si>
    <t>B-2-BA-03 Klin 273</t>
  </si>
  <si>
    <t>B-2-BA-03 Klin 271</t>
  </si>
  <si>
    <t>B-3-BA-03 Klin 244</t>
  </si>
  <si>
    <t>B-3-BA-03 Klin 12</t>
  </si>
  <si>
    <t>B-4-BA-03 Klin 244</t>
  </si>
  <si>
    <t>B-4-BA-03 Klin 12</t>
  </si>
  <si>
    <t>B-2-BA-03 Klin 217</t>
  </si>
  <si>
    <t>B-3-BA-03 Klin 216</t>
  </si>
  <si>
    <t>B-4-BA-03 Klin 216</t>
  </si>
  <si>
    <t>B-3-BA-01 Klin 20</t>
  </si>
  <si>
    <t>B-3-BA-01 Klin 193</t>
  </si>
  <si>
    <t>B-3-BA-01 Klin 168</t>
  </si>
  <si>
    <t>B-4-BA-01 Klin 202</t>
  </si>
  <si>
    <t>B-4-BA-01 Klin 169</t>
  </si>
  <si>
    <t>B-4-BA-01 Klin 168</t>
  </si>
  <si>
    <t>B-4-BA-01 Klin 151</t>
  </si>
  <si>
    <t>B-2-BA-02 Klin 20</t>
  </si>
  <si>
    <t>B-2-BA-02 Klin 193</t>
  </si>
  <si>
    <t>B-2-BA-02 Klin 168</t>
  </si>
  <si>
    <t>B-3-BA-02 Klin 20</t>
  </si>
  <si>
    <t>B-3-BA-02 Klin 193</t>
  </si>
  <si>
    <t>B-3-BA-02 Klin 168</t>
  </si>
  <si>
    <t>B-4-BA-02 Klin 150</t>
  </si>
  <si>
    <t>B-4-BA-02 Klin 169</t>
  </si>
  <si>
    <t>B-4-BA-02 Klin 168</t>
  </si>
  <si>
    <t>B-4-BA-02 Klin 151</t>
  </si>
  <si>
    <t>B-2-BA-04 Klin 12</t>
  </si>
  <si>
    <t>B-3-BA-04 Klin 12</t>
  </si>
  <si>
    <t>B-4-BA-04 Klin 12</t>
  </si>
  <si>
    <t>B-3-BA-01 Klin 21</t>
  </si>
  <si>
    <t>Harm_sciany</t>
  </si>
  <si>
    <t>Harm_el_zewn</t>
  </si>
  <si>
    <t>Harm_podwyk</t>
  </si>
  <si>
    <t>Harm_prod_stolarnia_kliny</t>
  </si>
  <si>
    <t>MK  Format</t>
  </si>
  <si>
    <t>C-205X-TRB-01</t>
  </si>
  <si>
    <t>C-201X-TRB-01</t>
  </si>
  <si>
    <t>C-203X-TRB-01</t>
  </si>
  <si>
    <t>C-202X-TRB-01</t>
  </si>
  <si>
    <t>C-204X-TRB-01</t>
  </si>
  <si>
    <t>C-402Y-TRB-01</t>
  </si>
  <si>
    <t>C-402X-TRB-01</t>
  </si>
  <si>
    <t>C-401Z-TRB-01</t>
  </si>
  <si>
    <t>C-304X-TRB-01</t>
  </si>
  <si>
    <t>C-401Y-TRB-01</t>
  </si>
  <si>
    <t>C-401X-TRB-01</t>
  </si>
  <si>
    <t>C-302X-TRB-01</t>
  </si>
  <si>
    <t>C-301Y-TRB-01</t>
  </si>
  <si>
    <t>C-303X-TRB-01</t>
  </si>
  <si>
    <t>C-301X-TRB-01</t>
  </si>
  <si>
    <t>C-205X-TRB-02</t>
  </si>
  <si>
    <t>C-401Z-TRB-02</t>
  </si>
  <si>
    <t>C-402X-TRB-02</t>
  </si>
  <si>
    <t>C-304X-TRB-02</t>
  </si>
  <si>
    <t>C-201X-TRB-02</t>
  </si>
  <si>
    <t>C-203X-TRB-02</t>
  </si>
  <si>
    <t>C-204X-TRB-02</t>
  </si>
  <si>
    <t>C-202X-TRB-02</t>
  </si>
  <si>
    <t>C-303X-TRB-02</t>
  </si>
  <si>
    <t>C-302X-TRB-02</t>
  </si>
  <si>
    <t>C-301Y-TRB-02</t>
  </si>
  <si>
    <t>C-402Y-TRB-02</t>
  </si>
  <si>
    <t>C-301X-TRB-02</t>
  </si>
  <si>
    <t>C-401X-TRB-02</t>
  </si>
  <si>
    <t>C-401Y-TRB-02</t>
  </si>
  <si>
    <t>C-205X</t>
  </si>
  <si>
    <t>136</t>
  </si>
  <si>
    <t>C-201X</t>
  </si>
  <si>
    <t>C-203X</t>
  </si>
  <si>
    <t>C-202X</t>
  </si>
  <si>
    <t>C-204X</t>
  </si>
  <si>
    <t>161</t>
  </si>
  <si>
    <t>C-402Y</t>
  </si>
  <si>
    <t>C-402X</t>
  </si>
  <si>
    <t>C-401Z</t>
  </si>
  <si>
    <t>C-304X</t>
  </si>
  <si>
    <t>90</t>
  </si>
  <si>
    <t>C-401Y</t>
  </si>
  <si>
    <t>C-401X</t>
  </si>
  <si>
    <t>54</t>
  </si>
  <si>
    <t>C-302X</t>
  </si>
  <si>
    <t>118</t>
  </si>
  <si>
    <t>C-301Y</t>
  </si>
  <si>
    <t>C-303X</t>
  </si>
  <si>
    <t>C-301X</t>
  </si>
  <si>
    <t>117</t>
  </si>
  <si>
    <t>86</t>
  </si>
  <si>
    <t>145</t>
  </si>
  <si>
    <t>115</t>
  </si>
  <si>
    <t>139</t>
  </si>
  <si>
    <t>137</t>
  </si>
  <si>
    <t>135</t>
  </si>
  <si>
    <t>133</t>
  </si>
  <si>
    <t>157</t>
  </si>
  <si>
    <t>155</t>
  </si>
  <si>
    <t>162</t>
  </si>
  <si>
    <t>164</t>
  </si>
  <si>
    <t>43</t>
  </si>
  <si>
    <t>51</t>
  </si>
  <si>
    <t>58</t>
  </si>
  <si>
    <t>111</t>
  </si>
  <si>
    <t>126</t>
  </si>
  <si>
    <t>128</t>
  </si>
  <si>
    <t>144</t>
  </si>
  <si>
    <t>146</t>
  </si>
  <si>
    <t>121</t>
  </si>
  <si>
    <t>119</t>
  </si>
  <si>
    <t>138</t>
  </si>
  <si>
    <t>134</t>
  </si>
  <si>
    <t>88</t>
  </si>
  <si>
    <t>52</t>
  </si>
  <si>
    <t>127</t>
  </si>
  <si>
    <t>129</t>
  </si>
  <si>
    <t>167</t>
  </si>
  <si>
    <t>166</t>
  </si>
  <si>
    <t>165</t>
  </si>
  <si>
    <t>163</t>
  </si>
  <si>
    <t>114</t>
  </si>
  <si>
    <t>113</t>
  </si>
  <si>
    <t>112</t>
  </si>
  <si>
    <t>110</t>
  </si>
  <si>
    <t>147</t>
  </si>
  <si>
    <t>85</t>
  </si>
  <si>
    <t>123</t>
  </si>
  <si>
    <t>120</t>
  </si>
  <si>
    <t>156</t>
  </si>
  <si>
    <t>158</t>
  </si>
  <si>
    <t>Trap balkonu w module</t>
  </si>
  <si>
    <t>C-205X-TRB-01 Klin 136</t>
  </si>
  <si>
    <t>C-201X-TRB-01 Klin 84</t>
  </si>
  <si>
    <t>C-203X-TRB-01 Klin 84</t>
  </si>
  <si>
    <t>C-202X-TRB-01 Klin 74</t>
  </si>
  <si>
    <t>C-204X-TRB-01 Klin 161</t>
  </si>
  <si>
    <t>C-402Y-TRB-01 Klin 7</t>
  </si>
  <si>
    <t>C-402Y-TRB-01 Klin 96</t>
  </si>
  <si>
    <t>C-402X-TRB-01 Klin 24</t>
  </si>
  <si>
    <t>C-401Z-TRB-01 Klin 33</t>
  </si>
  <si>
    <t>C-304X-TRB-01 Klin 90</t>
  </si>
  <si>
    <t>C-401Y-TRB-01 Klin 104</t>
  </si>
  <si>
    <t>C-401X-TRB-01 Klin 54</t>
  </si>
  <si>
    <t>C-302X-TRB-01 Klin 118</t>
  </si>
  <si>
    <t>C-302X-TRB-01 Klin 105</t>
  </si>
  <si>
    <t>C-301Y-TRB-01 Klin 13</t>
  </si>
  <si>
    <t>C-303X-TRB-01 Klin 13</t>
  </si>
  <si>
    <t>C-301X-TRB-01 Klin 117</t>
  </si>
  <si>
    <t>C-205X-TRB-02 Klin 132</t>
  </si>
  <si>
    <t>C-401Z-TRB-02 Klin 47</t>
  </si>
  <si>
    <t>C-402X-TRB-02 Klin 102</t>
  </si>
  <si>
    <t>C-304X-TRB-02 Klin 86</t>
  </si>
  <si>
    <t>C-201X-TRB-02 Klin 168</t>
  </si>
  <si>
    <t>C-203X-TRB-02 Klin 169</t>
  </si>
  <si>
    <t>C-204X-TRB-02 Klin 152</t>
  </si>
  <si>
    <t>C-202X-TRB-02 Klin 83</t>
  </si>
  <si>
    <t>C-303X-TRB-02 Klin 145</t>
  </si>
  <si>
    <t>C-302X-TRB-02 Klin 115</t>
  </si>
  <si>
    <t>C-301Y-TRB-02 Klin 115</t>
  </si>
  <si>
    <t>C-402X-TRB-02 Klin 28</t>
  </si>
  <si>
    <t>C-402X-TRB-02 Klin 22</t>
  </si>
  <si>
    <t>C-402X-TRB-02 Klin 19</t>
  </si>
  <si>
    <t>C-205X-TRB-02 Klin 139</t>
  </si>
  <si>
    <t>C-205X-TRB-02 Klin 137</t>
  </si>
  <si>
    <t>C-205X-TRB-02 Klin 135</t>
  </si>
  <si>
    <t>C-205X-TRB-02 Klin 133</t>
  </si>
  <si>
    <t>C-304X-TRB-02 Klin 97</t>
  </si>
  <si>
    <t>C-304X-TRB-02 Klin 89</t>
  </si>
  <si>
    <t>C-304X-TRB-02 Klin 87</t>
  </si>
  <si>
    <t>C-304X-TRB-02 Klin 95</t>
  </si>
  <si>
    <t>C-402Y-TRB-02 Klin 2</t>
  </si>
  <si>
    <t>C-402Y-TRB-02 Klin 14</t>
  </si>
  <si>
    <t>C-402Y-TRB-02 Klin 6</t>
  </si>
  <si>
    <t>C-402Y-TRB-02 Klin 12</t>
  </si>
  <si>
    <t>C-402Y-TRB-02 Klin 4</t>
  </si>
  <si>
    <t>C-301X-TRB-02 Klin 157</t>
  </si>
  <si>
    <t>C-301X-TRB-02 Klin 72</t>
  </si>
  <si>
    <t>C-201X-TRB-02 Klin 71</t>
  </si>
  <si>
    <t>C-201X-TRB-02 Klin 155</t>
  </si>
  <si>
    <t>C-401X-TRB-02 Klin 62</t>
  </si>
  <si>
    <t>C-401X-TRB-02 Klin 63</t>
  </si>
  <si>
    <t>C-204X-TRB-02 Klin 162</t>
  </si>
  <si>
    <t>C-204X-TRB-02 Klin 164</t>
  </si>
  <si>
    <t>C-401Z-TRB-02 Klin 35</t>
  </si>
  <si>
    <t>C-401Z-TRB-02 Klin 43</t>
  </si>
  <si>
    <t>C-401Z-TRB-02 Klin 41</t>
  </si>
  <si>
    <t>C-401Y-TRB-02 Klin 51</t>
  </si>
  <si>
    <t>C-401Y-TRB-02 Klin 58</t>
  </si>
  <si>
    <t>C-301Y-TRB-02 Klin 68</t>
  </si>
  <si>
    <t>C-301Y-TRB-02 Klin 80</t>
  </si>
  <si>
    <t>C-301Y-TRB-02 Klin 78</t>
  </si>
  <si>
    <t>C-303X-TRB-02 Klin 111</t>
  </si>
  <si>
    <t>C-303X-TRB-02 Klin 109</t>
  </si>
  <si>
    <t>C-202X-TRB-02 Klin 126</t>
  </si>
  <si>
    <t>C-202X-TRB-02 Klin 128</t>
  </si>
  <si>
    <t>C-203X-TRB-02 Klin 148</t>
  </si>
  <si>
    <t>C-203X-TRB-02 Klin 144</t>
  </si>
  <si>
    <t>C-203X-TRB-02 Klin 146</t>
  </si>
  <si>
    <t>C-302X-TRB-02 Klin 121</t>
  </si>
  <si>
    <t>C-302X-TRB-02 Klin 119</t>
  </si>
  <si>
    <t>C-205X-TRB-01 Klin 142</t>
  </si>
  <si>
    <t>C-205X-TRB-01 Klin 140</t>
  </si>
  <si>
    <t>C-205X-TRB-01 Klin 138</t>
  </si>
  <si>
    <t>C-205X-TRB-01 Klin 134</t>
  </si>
  <si>
    <t>C-205X-TRB-01 Klin 143</t>
  </si>
  <si>
    <t>C-205X-TRB-01 Klin 141</t>
  </si>
  <si>
    <t>C-402X-TRB-01 Klin 32</t>
  </si>
  <si>
    <t>C-402X-TRB-01 Klin 30</t>
  </si>
  <si>
    <t>C-402X-TRB-01 Klin 29</t>
  </si>
  <si>
    <t>C-402X-TRB-01 Klin 20</t>
  </si>
  <si>
    <t>C-304X-TRB-01 Klin 101</t>
  </si>
  <si>
    <t>C-304X-TRB-01 Klin 100</t>
  </si>
  <si>
    <t>C-304X-TRB-01 Klin 99</t>
  </si>
  <si>
    <t>C-304X-TRB-01 Klin 98</t>
  </si>
  <si>
    <t>C-304X-TRB-01 Klin 88</t>
  </si>
  <si>
    <t>C-402Y-TRB-01 Klin 3</t>
  </si>
  <si>
    <t>C-402Y-TRB-01 Klin 17</t>
  </si>
  <si>
    <t>C-402Y-TRB-01 Klin 16</t>
  </si>
  <si>
    <t>C-402Y-TRB-01 Klin 15</t>
  </si>
  <si>
    <t>C-402Y-TRB-01 Klin 5</t>
  </si>
  <si>
    <t>C-401Y-TRB-01 Klin 52</t>
  </si>
  <si>
    <t>C-401Y-TRB-01 Klin 50</t>
  </si>
  <si>
    <t>C-401Y-TRB-01 Klin 60</t>
  </si>
  <si>
    <t>C-401Y-TRB-01 Klin 59</t>
  </si>
  <si>
    <t>C-202X-TRB-01 Klin 131</t>
  </si>
  <si>
    <t>C-202X-TRB-01 Klin 127</t>
  </si>
  <si>
    <t>C-202X-TRB-01 Klin 130</t>
  </si>
  <si>
    <t>C-202X-TRB-01 Klin 129</t>
  </si>
  <si>
    <t>C-204X-TRB-01 Klin 167</t>
  </si>
  <si>
    <t>C-204X-TRB-01 Klin 166</t>
  </si>
  <si>
    <t>C-204X-TRB-01 Klin 165</t>
  </si>
  <si>
    <t>C-204X-TRB-01 Klin 163</t>
  </si>
  <si>
    <t>C-301Y-TRB-01 Klin 69</t>
  </si>
  <si>
    <t>C-301Y-TRB-01 Klin 79</t>
  </si>
  <si>
    <t>C-301Y-TRB-01 Klin 82</t>
  </si>
  <si>
    <t>C-301Y-TRB-01 Klin 81</t>
  </si>
  <si>
    <t>C-301Y-TRB-01 Klin 106</t>
  </si>
  <si>
    <t>C-401Z-TRB-01 Klin 42</t>
  </si>
  <si>
    <t>C-401Z-TRB-01 Klin 46</t>
  </si>
  <si>
    <t>C-401Z-TRB-01 Klin 45</t>
  </si>
  <si>
    <t>C-401Z-TRB-01 Klin 44</t>
  </si>
  <si>
    <t>C-303X-TRB-01 Klin 114</t>
  </si>
  <si>
    <t>C-303X-TRB-01 Klin 113</t>
  </si>
  <si>
    <t>C-303X-TRB-01 Klin 112</t>
  </si>
  <si>
    <t>C-303X-TRB-01 Klin 110</t>
  </si>
  <si>
    <t>C-203X-TRB-01 Klin 151</t>
  </si>
  <si>
    <t>C-203X-TRB-01 Klin 149</t>
  </si>
  <si>
    <t>C-203X-TRB-01 Klin 147</t>
  </si>
  <si>
    <t>C-201X-TRB-01 Klin 70</t>
  </si>
  <si>
    <t>C-201X-TRB-01 Klin 85</t>
  </si>
  <si>
    <t>C-302X-TRB-01 Klin 124</t>
  </si>
  <si>
    <t>C-302X-TRB-01 Klin 123</t>
  </si>
  <si>
    <t>C-302X-TRB-01 Klin 122</t>
  </si>
  <si>
    <t>C-302X-TRB-01 Klin 120</t>
  </si>
  <si>
    <t>C-301X-TRB-01 Klin 156</t>
  </si>
  <si>
    <t>C-301X-TRB-01 Klin 158</t>
  </si>
  <si>
    <t>C-401X-TRB-01 Klin 61</t>
  </si>
  <si>
    <t>C-401X-TRB-01 Klin 67</t>
  </si>
  <si>
    <t>pow. brutto</t>
  </si>
  <si>
    <t>A-AT-402X-02</t>
  </si>
  <si>
    <t>A-AT-BU-402X-01</t>
  </si>
  <si>
    <t>A-AT-402X-01</t>
  </si>
  <si>
    <t>A-AT-402Z-01</t>
  </si>
  <si>
    <t>A-AT-401Z-02</t>
  </si>
  <si>
    <t>A-AT-401X-02</t>
  </si>
  <si>
    <t>A-AT-401Y-02</t>
  </si>
  <si>
    <t>A-AT-402X-03</t>
  </si>
  <si>
    <t>A-AT-402Y-02</t>
  </si>
  <si>
    <t>A-AT-402Z-02</t>
  </si>
  <si>
    <t>A-AT-401Z-01</t>
  </si>
  <si>
    <t>A-AT-401X-01</t>
  </si>
  <si>
    <t>A-AT-401Y-01</t>
  </si>
  <si>
    <t>A-AT-BU-402Z-01</t>
  </si>
  <si>
    <t>A-AT-BU-401X-02</t>
  </si>
  <si>
    <t>A-AT-401Y-03</t>
  </si>
  <si>
    <t>A-AT-BU-402X-02</t>
  </si>
  <si>
    <t>A-AT-402Y-01</t>
  </si>
  <si>
    <t>B-AT-401X-01</t>
  </si>
  <si>
    <t>B-AT-402X-01</t>
  </si>
  <si>
    <t>B-AT-401X-02</t>
  </si>
  <si>
    <t>B-AT-402X-02</t>
  </si>
  <si>
    <t>B-AT-BU-401Y-01</t>
  </si>
  <si>
    <t>B-AT-401Y-01</t>
  </si>
  <si>
    <t>B-AT-BU-402Y-01</t>
  </si>
  <si>
    <t>B-AT-402Y-01</t>
  </si>
  <si>
    <t>B-AT-402Y-02</t>
  </si>
  <si>
    <t>B-AT-401Y-02</t>
  </si>
  <si>
    <t>B-AT-401Y-04</t>
  </si>
  <si>
    <t>B-AT-402Y-04</t>
  </si>
  <si>
    <t>B-AT-402Y-03</t>
  </si>
  <si>
    <t>B-AT-401Y-03</t>
  </si>
  <si>
    <t>C-AT-401Y-01</t>
  </si>
  <si>
    <t>C-AT-401Z-01</t>
  </si>
  <si>
    <t>C-AT-402X-01</t>
  </si>
  <si>
    <t>C-AT-402Y-01</t>
  </si>
  <si>
    <t>C-AT-401X-01</t>
  </si>
  <si>
    <t>C-AT-402Z-01</t>
  </si>
  <si>
    <t>C-AT-BU-402Z-02</t>
  </si>
  <si>
    <t>C-AT-BU-402Z-01</t>
  </si>
  <si>
    <t>C-AT-402Z-02</t>
  </si>
  <si>
    <t>C-AT-402Z-03</t>
  </si>
  <si>
    <t>C-AT-402Z-04</t>
  </si>
  <si>
    <t>C-AT-401X-04</t>
  </si>
  <si>
    <t>C-AT-401X-03</t>
  </si>
  <si>
    <t>C-AT-BU-402Z-03</t>
  </si>
  <si>
    <t>C-AT-BU-402Z-04</t>
  </si>
  <si>
    <t>C-AT-401Y-02</t>
  </si>
  <si>
    <t>C-AT-401Z-02</t>
  </si>
  <si>
    <t>C-AT-402X-02</t>
  </si>
  <si>
    <t>C-AT-402Y-02</t>
  </si>
  <si>
    <t>C-AT-401X-02</t>
  </si>
  <si>
    <t>C-AT-BU-401X-04</t>
  </si>
  <si>
    <t>C-AT-BU-401Y-01</t>
  </si>
  <si>
    <t>C-AT-BU-401Z-01</t>
  </si>
  <si>
    <t>C-AT-BU-402X-01</t>
  </si>
  <si>
    <t>C-AT-BU-401X-03</t>
  </si>
  <si>
    <t>C-AT-BU-402Y-01</t>
  </si>
  <si>
    <t>Attyki</t>
  </si>
  <si>
    <t>A-AT</t>
  </si>
  <si>
    <t>Attyki budowa</t>
  </si>
  <si>
    <t>B-AT</t>
  </si>
  <si>
    <t>C-AT</t>
  </si>
  <si>
    <t>Harm_prod_stolarnia</t>
  </si>
  <si>
    <t>53</t>
  </si>
  <si>
    <t>A-101X-EL-01</t>
  </si>
  <si>
    <t>A-201X-EL-01</t>
  </si>
  <si>
    <t>A-301X-EL-01</t>
  </si>
  <si>
    <t>A-401X-EL-01</t>
  </si>
  <si>
    <t>A-102X-EL-01</t>
  </si>
  <si>
    <t>A-202X-EL-01</t>
  </si>
  <si>
    <t>A-302X-EL-01</t>
  </si>
  <si>
    <t>A-402Z-EL-01</t>
  </si>
  <si>
    <t>A-103Y-EL-01</t>
  </si>
  <si>
    <t>A-102Y-EL-01</t>
  </si>
  <si>
    <t>B-101Y-EL-01</t>
  </si>
  <si>
    <t>B-201Y-EL-01</t>
  </si>
  <si>
    <t>B-301Y-EL-01</t>
  </si>
  <si>
    <t>B-401Y-EL-01</t>
  </si>
  <si>
    <t>B-102Y-EL-01</t>
  </si>
  <si>
    <t>B-202Y-EL-01</t>
  </si>
  <si>
    <t>B-302Y-EL-01</t>
  </si>
  <si>
    <t>B-402Y-EL-01</t>
  </si>
  <si>
    <t>C-101X-EL-01</t>
  </si>
  <si>
    <t>C-201X-EL-01</t>
  </si>
  <si>
    <t>C-301X-EL-01</t>
  </si>
  <si>
    <t>C-401X-EL-01</t>
  </si>
  <si>
    <t>C-105X-EL-01</t>
  </si>
  <si>
    <t>C-205X-EL-01</t>
  </si>
  <si>
    <t>C-304X-EL-01</t>
  </si>
  <si>
    <t>C-402Y-EL-01</t>
  </si>
  <si>
    <t>C-201X-EL-02</t>
  </si>
  <si>
    <t>C-301X-EL-02</t>
  </si>
  <si>
    <t>C-401X-EL-02</t>
  </si>
  <si>
    <t>Dobitki</t>
  </si>
  <si>
    <t>A-101X</t>
  </si>
  <si>
    <t>A-201X</t>
  </si>
  <si>
    <t>A-301X</t>
  </si>
  <si>
    <t>A-401X</t>
  </si>
  <si>
    <t>A-102X</t>
  </si>
  <si>
    <t>A-202X</t>
  </si>
  <si>
    <t>A-302X</t>
  </si>
  <si>
    <t>A-402Z</t>
  </si>
  <si>
    <t>A-103Y</t>
  </si>
  <si>
    <t>A-102Y</t>
  </si>
  <si>
    <t>B-101Y</t>
  </si>
  <si>
    <t>B-201Y</t>
  </si>
  <si>
    <t>B-301Y</t>
  </si>
  <si>
    <t>B-401Y</t>
  </si>
  <si>
    <t>B-102Y</t>
  </si>
  <si>
    <t>B-202Y</t>
  </si>
  <si>
    <t>B-302Y</t>
  </si>
  <si>
    <t>B-402Y</t>
  </si>
  <si>
    <t>C-101X</t>
  </si>
  <si>
    <t>C-105X</t>
  </si>
  <si>
    <t>Folder</t>
  </si>
  <si>
    <t>C-4-TRG-12</t>
  </si>
  <si>
    <t>C-2-TRG-11</t>
  </si>
  <si>
    <t>C-3-TRG-11</t>
  </si>
  <si>
    <t>C-4-TRG-08</t>
  </si>
  <si>
    <t>C-4-TRG-06</t>
  </si>
  <si>
    <t>C-2-TRG-07</t>
  </si>
  <si>
    <t>C-2-TRG-05</t>
  </si>
  <si>
    <t>C-3-TRG-07</t>
  </si>
  <si>
    <t>C-3-TRG-05</t>
  </si>
  <si>
    <t>C-4-TRG-10</t>
  </si>
  <si>
    <t>C-4-TRG-04</t>
  </si>
  <si>
    <t>C-4-TRG-02</t>
  </si>
  <si>
    <t>C-2-TRG-09</t>
  </si>
  <si>
    <t>C-2-TRG-03</t>
  </si>
  <si>
    <t>C-3-TRG-09</t>
  </si>
  <si>
    <t>C-3-TRG-03</t>
  </si>
  <si>
    <t>C-4-TRG-11</t>
  </si>
  <si>
    <t>C-4-TRG-07</t>
  </si>
  <si>
    <t>C-2-TRG-06</t>
  </si>
  <si>
    <t>C-3-TRG-06</t>
  </si>
  <si>
    <t>C-4-TRG-03</t>
  </si>
  <si>
    <t>C-2-TRG-10</t>
  </si>
  <si>
    <t>C-3-TRG-10</t>
  </si>
  <si>
    <t>C-4-TRG-09</t>
  </si>
  <si>
    <t>C-2-TRG-08</t>
  </si>
  <si>
    <t>C-3-TRG-08</t>
  </si>
  <si>
    <t>C-4-TRG-05</t>
  </si>
  <si>
    <t>C-2-TRG-04</t>
  </si>
  <si>
    <t>C-3-TRG-04</t>
  </si>
  <si>
    <t>C-4-TRG-13</t>
  </si>
  <si>
    <t>C-2-TRG-12</t>
  </si>
  <si>
    <t>C-3-TRG-12</t>
  </si>
  <si>
    <t>C-2-GA-02</t>
  </si>
  <si>
    <t>C-2-GA-03</t>
  </si>
  <si>
    <t>C-2-GA-04</t>
  </si>
  <si>
    <t>C-2-GA-05</t>
  </si>
  <si>
    <t>C-2-GA-06</t>
  </si>
  <si>
    <t>C-3-GA-02</t>
  </si>
  <si>
    <t>C-3-GA-03</t>
  </si>
  <si>
    <t>C-3-GA-04</t>
  </si>
  <si>
    <t>C-3-GA-05</t>
  </si>
  <si>
    <t>C-3-GA-06</t>
  </si>
  <si>
    <t>C-4-GA-02</t>
  </si>
  <si>
    <t>C-4-GA-03</t>
  </si>
  <si>
    <t>C-4-GA-04</t>
  </si>
  <si>
    <t>C-4-GA-05</t>
  </si>
  <si>
    <t>C-4-GA-06</t>
  </si>
  <si>
    <t>C-4-GA-07</t>
  </si>
  <si>
    <t>A-DAB-01</t>
  </si>
  <si>
    <t>A-DAB-02</t>
  </si>
  <si>
    <t>A-DAB-03</t>
  </si>
  <si>
    <t>B-DAB-01</t>
  </si>
  <si>
    <t>B-DAB-02</t>
  </si>
  <si>
    <t>B-DAB-03</t>
  </si>
  <si>
    <t>B-DAB-04</t>
  </si>
  <si>
    <t>C-DAB-01</t>
  </si>
  <si>
    <t>C-DAB-02</t>
  </si>
  <si>
    <t>C-DAB-03</t>
  </si>
  <si>
    <t>C-DAB-04</t>
  </si>
  <si>
    <t>C-DAB-05</t>
  </si>
  <si>
    <t>C-4</t>
  </si>
  <si>
    <t>C-2</t>
  </si>
  <si>
    <t>C-3</t>
  </si>
  <si>
    <t>174</t>
  </si>
  <si>
    <t>183</t>
  </si>
  <si>
    <t>182</t>
  </si>
  <si>
    <t>160</t>
  </si>
  <si>
    <t>181</t>
  </si>
  <si>
    <t>207</t>
  </si>
  <si>
    <t>159</t>
  </si>
  <si>
    <t>178</t>
  </si>
  <si>
    <t>180</t>
  </si>
  <si>
    <t>93</t>
  </si>
  <si>
    <t>179</t>
  </si>
  <si>
    <t>190</t>
  </si>
  <si>
    <t>191</t>
  </si>
  <si>
    <t>196</t>
  </si>
  <si>
    <t>116</t>
  </si>
  <si>
    <t>192</t>
  </si>
  <si>
    <t>177</t>
  </si>
  <si>
    <t>211</t>
  </si>
  <si>
    <t>189</t>
  </si>
  <si>
    <t>188</t>
  </si>
  <si>
    <t>209</t>
  </si>
  <si>
    <t>208</t>
  </si>
  <si>
    <t>175</t>
  </si>
  <si>
    <t>210</t>
  </si>
  <si>
    <t>A-DAB</t>
  </si>
  <si>
    <t>B-DAB</t>
  </si>
  <si>
    <t>C-DAB</t>
  </si>
  <si>
    <t>A-2-GA-01</t>
  </si>
  <si>
    <t>A-2-GA-02</t>
  </si>
  <si>
    <t>A-2-GA-03</t>
  </si>
  <si>
    <t>A-2-GA-04</t>
  </si>
  <si>
    <t>A-2-GA-05</t>
  </si>
  <si>
    <t>A-2-GA-06</t>
  </si>
  <si>
    <t>A-2-GA-07</t>
  </si>
  <si>
    <t>A-2-TRG-01</t>
  </si>
  <si>
    <t>A-2-TRG-02</t>
  </si>
  <si>
    <t>A-2-TRG-03</t>
  </si>
  <si>
    <t>A-2-TRG-04</t>
  </si>
  <si>
    <t>A-2-TRG-05</t>
  </si>
  <si>
    <t>A-2-TRG-06</t>
  </si>
  <si>
    <t>A-2-TRG-07</t>
  </si>
  <si>
    <t>A-2-TRG-08</t>
  </si>
  <si>
    <t>A-2-TRG-09</t>
  </si>
  <si>
    <t>A-2-TRG-10</t>
  </si>
  <si>
    <t>A-3-GA-01</t>
  </si>
  <si>
    <t>A-3-GA-02</t>
  </si>
  <si>
    <t>A-3-GA-03</t>
  </si>
  <si>
    <t>A-3-GA-04</t>
  </si>
  <si>
    <t>A-3-GA-05</t>
  </si>
  <si>
    <t>A-3-GA-06</t>
  </si>
  <si>
    <t>A-3-GA-07</t>
  </si>
  <si>
    <t>A-3-TRG-01</t>
  </si>
  <si>
    <t>A-3-TRG-02</t>
  </si>
  <si>
    <t>A-3-TRG-03</t>
  </si>
  <si>
    <t>A-3-TRG-04</t>
  </si>
  <si>
    <t>A-3-TRG-05</t>
  </si>
  <si>
    <t>A-3-TRG-06</t>
  </si>
  <si>
    <t>A-3-TRG-07</t>
  </si>
  <si>
    <t>A-3-TRG-08</t>
  </si>
  <si>
    <t>A-3-TRG-09</t>
  </si>
  <si>
    <t>A-3-TRG-10</t>
  </si>
  <si>
    <t>A-4-GA-01</t>
  </si>
  <si>
    <t>A-4-GA-02</t>
  </si>
  <si>
    <t>A-4-GA-03</t>
  </si>
  <si>
    <t>A-4-GA-04</t>
  </si>
  <si>
    <t>A-4-GA-05</t>
  </si>
  <si>
    <t>A-4-GA-06</t>
  </si>
  <si>
    <t>A-4-GA-07</t>
  </si>
  <si>
    <t>A-4-TRG-01</t>
  </si>
  <si>
    <t>A-4-TRG-02</t>
  </si>
  <si>
    <t>A-4-TRG-03</t>
  </si>
  <si>
    <t>A-4-TRG-04</t>
  </si>
  <si>
    <t>A-4-TRG-05</t>
  </si>
  <si>
    <t>A-4-TRG-06</t>
  </si>
  <si>
    <t>A-4-TRG-07</t>
  </si>
  <si>
    <t>A-4-TRG-08</t>
  </si>
  <si>
    <t>A-4-TRG-09</t>
  </si>
  <si>
    <t>A-4-TRG-10</t>
  </si>
  <si>
    <t>A-DAB-03 Klin 52</t>
  </si>
  <si>
    <t>Klin Daszki nad balkonami</t>
  </si>
  <si>
    <t>A-DAB-02 Klin 52</t>
  </si>
  <si>
    <t>A-DAB-01 Klin 52</t>
  </si>
  <si>
    <t>C-4-TRG-12 Klin 45</t>
  </si>
  <si>
    <t>Klin Trap galerii</t>
  </si>
  <si>
    <t>C-2-TRG-11 Klin 45</t>
  </si>
  <si>
    <t>C-3-TRG-11 Klin 45</t>
  </si>
  <si>
    <t>C-4-TRG-08 Klin 46</t>
  </si>
  <si>
    <t>C-4-TRG-06 Klin 46</t>
  </si>
  <si>
    <t>C-2-TRG-07 Klin 46</t>
  </si>
  <si>
    <t>C-2-TRG-05 Klin 46</t>
  </si>
  <si>
    <t>C-3-TRG-07 Klin 46</t>
  </si>
  <si>
    <t>C-3-TRG-05 Klin 46</t>
  </si>
  <si>
    <t>C-4-TRG-10 Klin 47</t>
  </si>
  <si>
    <t>C-4-TRG-10 Klin 48</t>
  </si>
  <si>
    <t>C-4-TRG-08 Klin 47</t>
  </si>
  <si>
    <t>C-4-TRG-08 Klin 48</t>
  </si>
  <si>
    <t>C-4-TRG-06 Klin 47</t>
  </si>
  <si>
    <t>C-4-TRG-06 Klin 48</t>
  </si>
  <si>
    <t>C-4-TRG-04 Klin 47</t>
  </si>
  <si>
    <t>C-4-TRG-04 Klin 48</t>
  </si>
  <si>
    <t>C-4-TRG-02 Klin 47</t>
  </si>
  <si>
    <t>C-4-TRG-02 Klin 48</t>
  </si>
  <si>
    <t>C-4-TRG-12 Klin 53</t>
  </si>
  <si>
    <t>C-4-TRG-12 Klin 52</t>
  </si>
  <si>
    <t>C-4-TRG-10 Klin 49</t>
  </si>
  <si>
    <t>C-4-TRG-12 Klin 48</t>
  </si>
  <si>
    <t>C-4-TRG-12 Klin 47</t>
  </si>
  <si>
    <t>C-4-TRG-08 Klin 49</t>
  </si>
  <si>
    <t>C-4-TRG-08 Klin 51</t>
  </si>
  <si>
    <t>C-4-TRG-06 Klin 49</t>
  </si>
  <si>
    <t>C-2-TRG-09 Klin 47</t>
  </si>
  <si>
    <t>C-2-TRG-09 Klin 48</t>
  </si>
  <si>
    <t>C-2-TRG-07 Klin 47</t>
  </si>
  <si>
    <t>C-2-TRG-07 Klin 48</t>
  </si>
  <si>
    <t>C-2-TRG-05 Klin 47</t>
  </si>
  <si>
    <t>C-2-TRG-05 Klin 48</t>
  </si>
  <si>
    <t>C-2-TRG-03 Klin 47</t>
  </si>
  <si>
    <t>C-2-TRG-03 Klin 48</t>
  </si>
  <si>
    <t>C-2-TRG-11 Klin 53</t>
  </si>
  <si>
    <t>C-2-TRG-11 Klin 52</t>
  </si>
  <si>
    <t>C-2-TRG-09 Klin 49</t>
  </si>
  <si>
    <t>C-2-TRG-11 Klin 47</t>
  </si>
  <si>
    <t>C-2-TRG-07 Klin 49</t>
  </si>
  <si>
    <t>C-2-TRG-05 Klin 49</t>
  </si>
  <si>
    <t>C-2-TRG-11 Klin 48</t>
  </si>
  <si>
    <t>C-2-TRG-07 Klin 51</t>
  </si>
  <si>
    <t>C-3-TRG-09 Klin 47</t>
  </si>
  <si>
    <t>C-3-TRG-09 Klin 48</t>
  </si>
  <si>
    <t>C-3-TRG-07 Klin 47</t>
  </si>
  <si>
    <t>C-3-TRG-07 Klin 48</t>
  </si>
  <si>
    <t>C-3-TRG-05 Klin 47</t>
  </si>
  <si>
    <t>C-3-TRG-05 Klin 48</t>
  </si>
  <si>
    <t>C-3-TRG-03 Klin 47</t>
  </si>
  <si>
    <t>C-3-TRG-03 Klin 48</t>
  </si>
  <si>
    <t>C-3-TRG-11 Klin 53</t>
  </si>
  <si>
    <t>C-3-TRG-11 Klin 52</t>
  </si>
  <si>
    <t>C-3-TRG-09 Klin 49</t>
  </si>
  <si>
    <t>C-3-TRG-11 Klin 48</t>
  </si>
  <si>
    <t>C-3-TRG-11 Klin 47</t>
  </si>
  <si>
    <t>C-3-TRG-07 Klin 49</t>
  </si>
  <si>
    <t>C-3-TRG-07 Klin 51</t>
  </si>
  <si>
    <t>C-3-TRG-05 Klin 49</t>
  </si>
  <si>
    <t>C-4-TRG-04 Klin 50</t>
  </si>
  <si>
    <t>C-4-TRG-04 Klin 49</t>
  </si>
  <si>
    <t>C-2-TRG-03 Klin 50</t>
  </si>
  <si>
    <t>C-2-TRG-03 Klin 49</t>
  </si>
  <si>
    <t>C-3-TRG-03 Klin 50</t>
  </si>
  <si>
    <t>C-3-TRG-03 Klin 49</t>
  </si>
  <si>
    <t>C-4-TRG-11 Klin 85</t>
  </si>
  <si>
    <t>C-4-TRG-07 Klin 131</t>
  </si>
  <si>
    <t>C-2-TRG-06 Klin 174</t>
  </si>
  <si>
    <t>C-3-TRG-06 Klin 174</t>
  </si>
  <si>
    <t>C-2-TRG-06 Klin 204</t>
  </si>
  <si>
    <t>C-3-TRG-06 Klin 204</t>
  </si>
  <si>
    <t>C-4-TRG-03 Klin 162</t>
  </si>
  <si>
    <t>C-2-TRG-06 Klin 203</t>
  </si>
  <si>
    <t>C-3-TRG-06 Klin 203</t>
  </si>
  <si>
    <t>C-2-TRG-10 Klin 183</t>
  </si>
  <si>
    <t>C-3-TRG-10 Klin 183</t>
  </si>
  <si>
    <t>C-4-TRG-03 Klin 163</t>
  </si>
  <si>
    <t>C-4-TRG-03 Klin 164</t>
  </si>
  <si>
    <t>C-4-TRG-07 Klin 130</t>
  </si>
  <si>
    <t>C-4-TRG-11 Klin 84</t>
  </si>
  <si>
    <t>C-2-TRG-10 Klin 172</t>
  </si>
  <si>
    <t>C-3-TRG-10 Klin 172</t>
  </si>
  <si>
    <t>C-2-TRG-10 Klin 184</t>
  </si>
  <si>
    <t>C-3-TRG-10 Klin 184</t>
  </si>
  <si>
    <t>C-4-TRG-11 Klin 86</t>
  </si>
  <si>
    <t>C-4-TRG-07 Klin 132</t>
  </si>
  <si>
    <t>C-2-TRG-10 Klin 185</t>
  </si>
  <si>
    <t>C-3-TRG-10 Klin 185</t>
  </si>
  <si>
    <t>C-2-TRG-06 Klin 205</t>
  </si>
  <si>
    <t>C-3-TRG-06 Klin 205</t>
  </si>
  <si>
    <t>C-4-TRG-03 Klin 161</t>
  </si>
  <si>
    <t>C-2-TRG-06 Klin 202</t>
  </si>
  <si>
    <t>C-3-TRG-06 Klin 202</t>
  </si>
  <si>
    <t>C-2-TRG-10 Klin 182</t>
  </si>
  <si>
    <t>C-3-TRG-10 Klin 182</t>
  </si>
  <si>
    <t>C-4-TRG-07 Klin 129</t>
  </si>
  <si>
    <t>C-4-TRG-11 Klin 83</t>
  </si>
  <si>
    <t>C-4-TRG-11 Klin 87</t>
  </si>
  <si>
    <t>C-4-TRG-07 Klin 133</t>
  </si>
  <si>
    <t>C-2-TRG-10 Klin 186</t>
  </si>
  <si>
    <t>C-3-TRG-10 Klin 186</t>
  </si>
  <si>
    <t>C-2-TRG-06 Klin 206</t>
  </si>
  <si>
    <t>C-3-TRG-06 Klin 206</t>
  </si>
  <si>
    <t>C-4-TRG-03 Klin 160</t>
  </si>
  <si>
    <t>C-2-TRG-06 Klin 201</t>
  </si>
  <si>
    <t>C-3-TRG-06 Klin 201</t>
  </si>
  <si>
    <t>C-2-TRG-10 Klin 181</t>
  </si>
  <si>
    <t>C-3-TRG-10 Klin 181</t>
  </si>
  <si>
    <t>C-4-TRG-07 Klin 128</t>
  </si>
  <si>
    <t>C-4-TRG-11 Klin 82</t>
  </si>
  <si>
    <t>C-4-TRG-11 Klin 88</t>
  </si>
  <si>
    <t>C-4-TRG-07 Klin 134</t>
  </si>
  <si>
    <t>C-2-TRG-10 Klin 187</t>
  </si>
  <si>
    <t>C-3-TRG-10 Klin 187</t>
  </si>
  <si>
    <t>C-2-TRG-06 Klin 207</t>
  </si>
  <si>
    <t>C-3-TRG-06 Klin 207</t>
  </si>
  <si>
    <t>C-4-TRG-03 Klin 159</t>
  </si>
  <si>
    <t>C-4-TRG-07 Klin 79</t>
  </si>
  <si>
    <t>C-4-TRG-11 Klin 79</t>
  </si>
  <si>
    <t>C-2-TRG-06 Klin 198</t>
  </si>
  <si>
    <t>C-2-TRG-10 Klin 178</t>
  </si>
  <si>
    <t>C-3-TRG-06 Klin 198</t>
  </si>
  <si>
    <t>C-3-TRG-10 Klin 178</t>
  </si>
  <si>
    <t>C-2-TRG-06 Klin 200</t>
  </si>
  <si>
    <t>C-3-TRG-06 Klin 200</t>
  </si>
  <si>
    <t>C-2-TRG-10 Klin 180</t>
  </si>
  <si>
    <t>C-3-TRG-10 Klin 180</t>
  </si>
  <si>
    <t>C-4-TRG-07 Klin 127</t>
  </si>
  <si>
    <t>C-4-TRG-11 Klin 81</t>
  </si>
  <si>
    <t>C-4-TRG-07 Klin 93</t>
  </si>
  <si>
    <t>C-4-TRG-11 Klin 93</t>
  </si>
  <si>
    <t>C-2-TRG-06 Klin 93</t>
  </si>
  <si>
    <t>C-2-TRG-10 Klin 93</t>
  </si>
  <si>
    <t>C-3-TRG-06 Klin 93</t>
  </si>
  <si>
    <t>C-3-TRG-10 Klin 93</t>
  </si>
  <si>
    <t>C-4-TRG-07 Klin 92</t>
  </si>
  <si>
    <t>C-4-TRG-11 Klin 92</t>
  </si>
  <si>
    <t>C-2-TRG-06 Klin 92</t>
  </si>
  <si>
    <t>C-2-TRG-10 Klin 92</t>
  </si>
  <si>
    <t>C-3-TRG-06 Klin 92</t>
  </si>
  <si>
    <t>C-3-TRG-10 Klin 92</t>
  </si>
  <si>
    <t>C-4-TRG-11 Klin 80</t>
  </si>
  <si>
    <t>C-4-TRG-07 Klin 80</t>
  </si>
  <si>
    <t>C-2-TRG-06 Klin 199</t>
  </si>
  <si>
    <t>C-2-TRG-10 Klin 179</t>
  </si>
  <si>
    <t>C-3-TRG-06 Klin 199</t>
  </si>
  <si>
    <t>C-3-TRG-10 Klin 179</t>
  </si>
  <si>
    <t>C-4-TRG-03 Klin 158</t>
  </si>
  <si>
    <t>C-4-TRG-09 Klin 123</t>
  </si>
  <si>
    <t>C-2-TRG-08 Klin 123</t>
  </si>
  <si>
    <t>C-3-TRG-08 Klin 123</t>
  </si>
  <si>
    <t>C-4-TRG-05 Klin 166</t>
  </si>
  <si>
    <t>C-2-TRG-04 Klin 166</t>
  </si>
  <si>
    <t>C-3-TRG-04 Klin 166</t>
  </si>
  <si>
    <t>C-4-TRG-09 Klin 122</t>
  </si>
  <si>
    <t>C-2-TRG-08 Klin 122</t>
  </si>
  <si>
    <t>C-3-TRG-08 Klin 122</t>
  </si>
  <si>
    <t>C-4-TRG-05 Klin 165</t>
  </si>
  <si>
    <t>C-2-TRG-04 Klin 165</t>
  </si>
  <si>
    <t>C-3-TRG-04 Klin 165</t>
  </si>
  <si>
    <t>C-4-TRG-09 Klin 114</t>
  </si>
  <si>
    <t>C-4-TRG-05 Klin 145</t>
  </si>
  <si>
    <t>C-2-TRG-04 Klin 145</t>
  </si>
  <si>
    <t>C-3-TRG-04 Klin 145</t>
  </si>
  <si>
    <t>C-2-TRG-08 Klin 190</t>
  </si>
  <si>
    <t>C-3-TRG-08 Klin 190</t>
  </si>
  <si>
    <t>C-4-TRG-07 Klin 90</t>
  </si>
  <si>
    <t>C-4-TRG-11 Klin 90</t>
  </si>
  <si>
    <t>C-2-TRG-06 Klin 90</t>
  </si>
  <si>
    <t>C-2-TRG-10 Klin 90</t>
  </si>
  <si>
    <t>C-3-TRG-06 Klin 90</t>
  </si>
  <si>
    <t>C-3-TRG-10 Klin 90</t>
  </si>
  <si>
    <t>C-4-TRG-03 Klin 169</t>
  </si>
  <si>
    <t>C-4-TRG-13 Klin 68</t>
  </si>
  <si>
    <t>C-2-TRG-12 Klin 68</t>
  </si>
  <si>
    <t>C-3-TRG-12 Klin 68</t>
  </si>
  <si>
    <t>C-4-TRG-03 Klin 170</t>
  </si>
  <si>
    <t>C-4-TRG-07 Klin 91</t>
  </si>
  <si>
    <t>C-4-TRG-11 Klin 91</t>
  </si>
  <si>
    <t>C-2-TRG-06 Klin 91</t>
  </si>
  <si>
    <t>C-2-TRG-10 Klin 91</t>
  </si>
  <si>
    <t>C-3-TRG-06 Klin 91</t>
  </si>
  <si>
    <t>C-3-TRG-10 Klin 91</t>
  </si>
  <si>
    <t>C-4-TRG-13 Klin 105</t>
  </si>
  <si>
    <t>C-2-TRG-12 Klin 105</t>
  </si>
  <si>
    <t>C-3-TRG-12 Klin 105</t>
  </si>
  <si>
    <t>C-4-TRG-09 Klin 124</t>
  </si>
  <si>
    <t>C-2-TRG-08 Klin 124</t>
  </si>
  <si>
    <t>C-3-TRG-08 Klin 124</t>
  </si>
  <si>
    <t>C-4-TRG-05 Klin 167</t>
  </si>
  <si>
    <t>C-2-TRG-04 Klin 167</t>
  </si>
  <si>
    <t>C-3-TRG-04 Klin 167</t>
  </si>
  <si>
    <t>C-2-TRG-08 Klin 197</t>
  </si>
  <si>
    <t>C-3-TRG-08 Klin 197</t>
  </si>
  <si>
    <t>C-2-TRG-04 Klin 213</t>
  </si>
  <si>
    <t>C-3-TRG-04 Klin 213</t>
  </si>
  <si>
    <t>C-4-TRG-09 Klin 121</t>
  </si>
  <si>
    <t>C-4-TRG-05 Klin 152</t>
  </si>
  <si>
    <t>C-4-TRG-13 Klin 106</t>
  </si>
  <si>
    <t>C-2-TRG-12 Klin 106</t>
  </si>
  <si>
    <t>C-3-TRG-12 Klin 106</t>
  </si>
  <si>
    <t>C-4-TRG-09 Klin 125</t>
  </si>
  <si>
    <t>C-2-TRG-08 Klin 125</t>
  </si>
  <si>
    <t>C-3-TRG-08 Klin 125</t>
  </si>
  <si>
    <t>C-4-TRG-05 Klin 168</t>
  </si>
  <si>
    <t>C-2-TRG-04 Klin 168</t>
  </si>
  <si>
    <t>C-3-TRG-04 Klin 168</t>
  </si>
  <si>
    <t>C-4-TRG-13 Klin 72</t>
  </si>
  <si>
    <t>C-2-TRG-12 Klin 72</t>
  </si>
  <si>
    <t>C-3-TRG-12 Klin 72</t>
  </si>
  <si>
    <t>C-4-TRG-09 Klin 115</t>
  </si>
  <si>
    <t>C-4-TRG-05 Klin 146</t>
  </si>
  <si>
    <t>C-2-TRG-04 Klin 146</t>
  </si>
  <si>
    <t>C-3-TRG-04 Klin 146</t>
  </si>
  <si>
    <t>C-2-TRG-08 Klin 191</t>
  </si>
  <si>
    <t>C-3-TRG-08 Klin 191</t>
  </si>
  <si>
    <t>C-2-TRG-08 Klin 196</t>
  </si>
  <si>
    <t>C-3-TRG-08 Klin 196</t>
  </si>
  <si>
    <t>C-2-TRG-04 Klin 212</t>
  </si>
  <si>
    <t>C-3-TRG-04 Klin 212</t>
  </si>
  <si>
    <t>C-4-TRG-09 Klin 120</t>
  </si>
  <si>
    <t>C-4-TRG-05 Klin 151</t>
  </si>
  <si>
    <t>C-4-TRG-13 Klin 71</t>
  </si>
  <si>
    <t>C-2-TRG-12 Klin 71</t>
  </si>
  <si>
    <t>C-3-TRG-12 Klin 71</t>
  </si>
  <si>
    <t>C-4-TRG-09 Klin 116</t>
  </si>
  <si>
    <t>C-4-TRG-05 Klin 147</t>
  </si>
  <si>
    <t>C-2-TRG-04 Klin 147</t>
  </si>
  <si>
    <t>C-3-TRG-04 Klin 147</t>
  </si>
  <si>
    <t>C-2-TRG-08 Klin 192</t>
  </si>
  <si>
    <t>C-3-TRG-08 Klin 192</t>
  </si>
  <si>
    <t>C-2-TRG-12 Klin 177</t>
  </si>
  <si>
    <t>C-3-TRG-12 Klin 177</t>
  </si>
  <si>
    <t>C-2-TRG-08 Klin 195</t>
  </si>
  <si>
    <t>C-3-TRG-08 Klin 195</t>
  </si>
  <si>
    <t>C-2-TRG-04 Klin 211</t>
  </si>
  <si>
    <t>C-3-TRG-04 Klin 211</t>
  </si>
  <si>
    <t>C-4-TRG-09 Klin 119</t>
  </si>
  <si>
    <t>C-4-TRG-05 Klin 150</t>
  </si>
  <si>
    <t>C-4-TRG-13 Klin 70</t>
  </si>
  <si>
    <t>C-2-TRG-12 Klin 70</t>
  </si>
  <si>
    <t>C-3-TRG-12 Klin 70</t>
  </si>
  <si>
    <t>C-4-TRG-09 Klin 117</t>
  </si>
  <si>
    <t>C-4-TRG-05 Klin 148</t>
  </si>
  <si>
    <t>C-2-TRG-04 Klin 148</t>
  </si>
  <si>
    <t>C-3-TRG-04 Klin 148</t>
  </si>
  <si>
    <t>C-2-TRG-08 Klin 193</t>
  </si>
  <si>
    <t>C-3-TRG-08 Klin 193</t>
  </si>
  <si>
    <t>C-2-TRG-08 Klin 189</t>
  </si>
  <si>
    <t>C-3-TRG-08 Klin 189</t>
  </si>
  <si>
    <t>C-2-TRG-08 Klin 188</t>
  </si>
  <si>
    <t>C-3-TRG-08 Klin 188</t>
  </si>
  <si>
    <t>C-2-TRG-04 Klin 209</t>
  </si>
  <si>
    <t>C-3-TRG-04 Klin 209</t>
  </si>
  <si>
    <t>C-2-TRG-04 Klin 208</t>
  </si>
  <si>
    <t>C-3-TRG-04 Klin 208</t>
  </si>
  <si>
    <t>C-4-TRG-09 Klin 118</t>
  </si>
  <si>
    <t>C-4-TRG-05 Klin 149</t>
  </si>
  <si>
    <t>C-4-TRG-09 Klin 113</t>
  </si>
  <si>
    <t>C-4-TRG-05 Klin 144</t>
  </si>
  <si>
    <t>C-4-TRG-09 Klin 112</t>
  </si>
  <si>
    <t>C-4-TRG-05 Klin 143</t>
  </si>
  <si>
    <t>C-4-TRG-13 Klin 69</t>
  </si>
  <si>
    <t>C-2-TRG-12 Klin 69</t>
  </si>
  <si>
    <t>C-3-TRG-12 Klin 69</t>
  </si>
  <si>
    <t>C-2-TRG-08 Klin 173</t>
  </si>
  <si>
    <t>C-3-TRG-08 Klin 173</t>
  </si>
  <si>
    <t>C-2-TRG-08 Klin 194</t>
  </si>
  <si>
    <t>C-3-TRG-08 Klin 194</t>
  </si>
  <si>
    <t>C-2-TRG-04 Klin 175</t>
  </si>
  <si>
    <t>C-3-TRG-04 Klin 175</t>
  </si>
  <si>
    <t>C-2-TRG-04 Klin 210</t>
  </si>
  <si>
    <t>C-3-TRG-04 Klin 210</t>
  </si>
  <si>
    <t>C-2-TRG-12 Klin 171</t>
  </si>
  <si>
    <t>C-3-TRG-12 Klin 171</t>
  </si>
  <si>
    <t>C-4-TRG-13 Klin 73</t>
  </si>
  <si>
    <t>C-2-TRG-12 Klin 103</t>
  </si>
  <si>
    <t>C-3-TRG-12 Klin 103</t>
  </si>
  <si>
    <t>C-4-TRG-13 Klin 103</t>
  </si>
  <si>
    <t>C-4-TRG-13 Klin 104</t>
  </si>
  <si>
    <t>C-2-TRG-12 Klin 104</t>
  </si>
  <si>
    <t>C-3-TRG-12 Klin 104</t>
  </si>
  <si>
    <t>B-DAB-04 Klin 84</t>
  </si>
  <si>
    <t>B-DAB-03 Klin 80</t>
  </si>
  <si>
    <t>B-DAB-02 Klin 99</t>
  </si>
  <si>
    <t>B-DAB-01 Klin 99</t>
  </si>
  <si>
    <t>B-DAB-02 Klin 105</t>
  </si>
  <si>
    <t>B-DAB-01 Klin 105</t>
  </si>
  <si>
    <t>C-DAB-01 Klin 29</t>
  </si>
  <si>
    <t>C-DAB-02 Klin 29</t>
  </si>
  <si>
    <t>C-DAB-03 Klin 29</t>
  </si>
  <si>
    <t>C-DAB-04 Klin 29</t>
  </si>
  <si>
    <t>C-DAB-05 Klin 29</t>
  </si>
  <si>
    <t>A-3-TRG-06 Klin 132</t>
  </si>
  <si>
    <t>A-3-TRG-05 Klin 132</t>
  </si>
  <si>
    <t>A-3-TRG-05 Klin 130</t>
  </si>
  <si>
    <t>A-2-TRG-06 Klin 132</t>
  </si>
  <si>
    <t>A-2-TRG-05 Klin 132</t>
  </si>
  <si>
    <t>A-2-TRG-05 Klin 130</t>
  </si>
  <si>
    <t>A-2-TRG-03 Klin 123</t>
  </si>
  <si>
    <t>A-2-TRG-02 Klin 123</t>
  </si>
  <si>
    <t>A-3-TRG-03 Klin 123</t>
  </si>
  <si>
    <t>A-3-TRG-02 Klin 123</t>
  </si>
  <si>
    <t>A-2-TRG-03 Klin 57</t>
  </si>
  <si>
    <t>A-2-TRG-03 Klin 56</t>
  </si>
  <si>
    <t>A-2-TRG-03 Klin 127</t>
  </si>
  <si>
    <t>A-3-TRG-03 Klin 57</t>
  </si>
  <si>
    <t>A-3-TRG-03 Klin 56</t>
  </si>
  <si>
    <t>A-3-TRG-03 Klin 127</t>
  </si>
  <si>
    <t>A-4-TRG-03 Klin 57</t>
  </si>
  <si>
    <t>A-4-TRG-03 Klin 56</t>
  </si>
  <si>
    <t>A-4-TRG-03 Klin 55</t>
  </si>
  <si>
    <t>A-4-TRG-03 Klin 6</t>
  </si>
  <si>
    <t>A-4-TRG-03 Klin 8</t>
  </si>
  <si>
    <t>A-3-TRG-06 Klin 64</t>
  </si>
  <si>
    <t>A-3-TRG-06 Klin 136</t>
  </si>
  <si>
    <t>A-3-TRG-06 Klin 135</t>
  </si>
  <si>
    <t>A-4-TRG-06 Klin 64</t>
  </si>
  <si>
    <t>A-2-TRG-06 Klin 64</t>
  </si>
  <si>
    <t>A-2-TRG-06 Klin 135</t>
  </si>
  <si>
    <t>A-3-TRG-05 Klin 131</t>
  </si>
  <si>
    <t>A-4-TRG-06 Klin 65</t>
  </si>
  <si>
    <t>A-2-TRG-05 Klin 131</t>
  </si>
  <si>
    <t>A-2-TRG-02 Klin 125</t>
  </si>
  <si>
    <t>A-3-TRG-02 Klin 125</t>
  </si>
  <si>
    <t>A-4-TRG-03 Klin 110</t>
  </si>
  <si>
    <t>A-2-TRG-02 Klin 124</t>
  </si>
  <si>
    <t>A-2-TRG-02 Klin 53</t>
  </si>
  <si>
    <t>A-3-TRG-02 Klin 124</t>
  </si>
  <si>
    <t>A-3-TRG-02 Klin 53</t>
  </si>
  <si>
    <t>A-4-TRG-02 Klin 53</t>
  </si>
  <si>
    <t>A-4-TRG-05 Klin 62</t>
  </si>
  <si>
    <t>A-3-TRG-05 Klin 129</t>
  </si>
  <si>
    <t>A-3-TRG-05 Klin 60</t>
  </si>
  <si>
    <t>A-4-TRG-05 Klin 60</t>
  </si>
  <si>
    <t>A-2-TRG-05 Klin 129</t>
  </si>
  <si>
    <t>A-2-TRG-05 Klin 60</t>
  </si>
  <si>
    <t>A-4-TRG-05 Klin 61</t>
  </si>
  <si>
    <t>A-4-TRG-02 Klin 112</t>
  </si>
  <si>
    <t>A-4-TRG-02 Klin 54</t>
  </si>
  <si>
    <t>A-4-TRG-02 Klin 111</t>
  </si>
  <si>
    <t>A-4-TRG-01 Klin 45</t>
  </si>
  <si>
    <t>A-2-TRG-08 Klin 139</t>
  </si>
  <si>
    <t>A-3-TRG-08 Klin 139</t>
  </si>
  <si>
    <t>A-2-TRG-08 Klin 166</t>
  </si>
  <si>
    <t>A-3-TRG-08 Klin 166</t>
  </si>
  <si>
    <t>A-2-TRG-09 Klin 166</t>
  </si>
  <si>
    <t>A-3-TRG-09 Klin 166</t>
  </si>
  <si>
    <t>A-2-TRG-08 Klin 141</t>
  </si>
  <si>
    <t>A-3-TRG-08 Klin 141</t>
  </si>
  <si>
    <t>A-4-TRG-09 Klin 102</t>
  </si>
  <si>
    <t>A-2-TRG-09 Klin 173</t>
  </si>
  <si>
    <t>A-2-TRG-09 Klin 99</t>
  </si>
  <si>
    <t>A-2-TRG-09 Klin 100</t>
  </si>
  <si>
    <t>A-2-TRG-09 Klin 98</t>
  </si>
  <si>
    <t>A-3-TRG-09 Klin 173</t>
  </si>
  <si>
    <t>A-3-TRG-09 Klin 99</t>
  </si>
  <si>
    <t>A-3-TRG-09 Klin 100</t>
  </si>
  <si>
    <t>A-3-TRG-09 Klin 172</t>
  </si>
  <si>
    <t>A-3-TRG-09 Klin 98</t>
  </si>
  <si>
    <t>A-4-TRG-09 Klin 99</t>
  </si>
  <si>
    <t>A-4-TRG-09 Klin 100</t>
  </si>
  <si>
    <t>A-4-TRG-09 Klin 98</t>
  </si>
  <si>
    <t>A-4-TRG-09 Klin 103</t>
  </si>
  <si>
    <t>A-4-TRG-09 Klin 4</t>
  </si>
  <si>
    <t>A-4-TRG-08 Klin 97</t>
  </si>
  <si>
    <t>A-2-TRG-08 Klin 69</t>
  </si>
  <si>
    <t>A-2-TRG-08 Klin 140</t>
  </si>
  <si>
    <t>A-3-TRG-08 Klin 69</t>
  </si>
  <si>
    <t>A-3-TRG-08 Klin 140</t>
  </si>
  <si>
    <t>A-4-TRG-08 Klin 69</t>
  </si>
  <si>
    <t>A-4-TRG-08 Klin 70</t>
  </si>
  <si>
    <t>A-3-TRG-07 Klin 119</t>
  </si>
  <si>
    <t>A-2-TRG-07 Klin 119</t>
  </si>
  <si>
    <t>A-3-TRG-07 Klin 120</t>
  </si>
  <si>
    <t>A-2-TRG-07 Klin 120</t>
  </si>
  <si>
    <t>A-2-TRG-04 Klin 118</t>
  </si>
  <si>
    <t>A-3-TRG-04 Klin 118</t>
  </si>
  <si>
    <t>A-2-TRG-04 Klin 117</t>
  </si>
  <si>
    <t>A-3-TRG-04 Klin 117</t>
  </si>
  <si>
    <t>A-4-TRG-06 Klin 5</t>
  </si>
  <si>
    <t>A-2-TRG-10 Klin 167</t>
  </si>
  <si>
    <t>A-3-TRG-10 Klin 167</t>
  </si>
  <si>
    <t>A-2-TRG-10 Klin 169</t>
  </si>
  <si>
    <t>A-3-TRG-10 Klin 169</t>
  </si>
  <si>
    <t>A-4-TRG-04 Klin 48</t>
  </si>
  <si>
    <t>A-3-TRG-07 Klin 63</t>
  </si>
  <si>
    <t>A-3-TRG-07 Klin 134</t>
  </si>
  <si>
    <t>A-4-TRG-07 Klin 63</t>
  </si>
  <si>
    <t>A-4-TRG-07 Klin 66</t>
  </si>
  <si>
    <t>A-2-TRG-07 Klin 63</t>
  </si>
  <si>
    <t>A-2-TRG-07 Klin 134</t>
  </si>
  <si>
    <t>A-2-TRG-04 Klin 7</t>
  </si>
  <si>
    <t>A-2-TRG-04 Klin 128</t>
  </si>
  <si>
    <t>A-3-TRG-04 Klin 7</t>
  </si>
  <si>
    <t>A-3-TRG-04 Klin 128</t>
  </si>
  <si>
    <t>A-4-TRG-04 Klin 7</t>
  </si>
  <si>
    <t>A-4-TRG-04 Klin 47</t>
  </si>
  <si>
    <t>A-2-TRG-10 Klin 101</t>
  </si>
  <si>
    <t>A-2-TRG-10 Klin 168</t>
  </si>
  <si>
    <t>A-3-TRG-10 Klin 101</t>
  </si>
  <si>
    <t>A-3-TRG-10 Klin 168</t>
  </si>
  <si>
    <t>A-4-TRG-10 Klin 101</t>
  </si>
  <si>
    <t>A-3-TRG-01 Klin 185</t>
  </si>
  <si>
    <t>A-2-TRG-01 Klin 185</t>
  </si>
  <si>
    <t>A-3-TRG-01 Klin 186</t>
  </si>
  <si>
    <t>A-2-TRG-01 Klin 186</t>
  </si>
  <si>
    <t>A-4-TRG-01 Klin 49</t>
  </si>
  <si>
    <t>A-4-TRG-01 Klin 115</t>
  </si>
  <si>
    <t>A-4-TRG-01 Klin 113</t>
  </si>
  <si>
    <t>A-4-TRG-01 Klin 114</t>
  </si>
  <si>
    <t>A-3-TRG-01 Klin 122</t>
  </si>
  <si>
    <t>A-3-TRG-01 Klin 121</t>
  </si>
  <si>
    <t>A-2-TRG-01 Klin 122</t>
  </si>
  <si>
    <t>A-2-TRG-01 Klin 121</t>
  </si>
  <si>
    <t>WYKONANE</t>
  </si>
  <si>
    <t>11. listopad</t>
  </si>
  <si>
    <t>176</t>
  </si>
  <si>
    <t>A-TAG-1</t>
  </si>
  <si>
    <t>A-TAG-10</t>
  </si>
  <si>
    <t>A-TAG-11</t>
  </si>
  <si>
    <t>A-TAG-2</t>
  </si>
  <si>
    <t>A-TAG-3</t>
  </si>
  <si>
    <t>A-TAG-4</t>
  </si>
  <si>
    <t>A-TAG-5</t>
  </si>
  <si>
    <t>A-TAG-6</t>
  </si>
  <si>
    <t>A-TAG-7</t>
  </si>
  <si>
    <t>A-TAG-8</t>
  </si>
  <si>
    <t>A-TAG-9</t>
  </si>
  <si>
    <t>A-TRTG-1</t>
  </si>
  <si>
    <t>A-TRTG-10</t>
  </si>
  <si>
    <t>A-TRTG-11</t>
  </si>
  <si>
    <t>A-TRTG-2</t>
  </si>
  <si>
    <t>A-TRTG-3</t>
  </si>
  <si>
    <t>A-TRTG-4</t>
  </si>
  <si>
    <t>A-TRTG-5</t>
  </si>
  <si>
    <t>A-TRTG-6</t>
  </si>
  <si>
    <t>A-TRTG-7</t>
  </si>
  <si>
    <t>A-TRTG-8</t>
  </si>
  <si>
    <t>A-TRTG-9</t>
  </si>
  <si>
    <t>C-TAG-1</t>
  </si>
  <si>
    <t>C-TAG-10</t>
  </si>
  <si>
    <t>C-TAG-11</t>
  </si>
  <si>
    <t>C-TAG-2</t>
  </si>
  <si>
    <t>C-TAG-3</t>
  </si>
  <si>
    <t>C-TAG-4</t>
  </si>
  <si>
    <t>C-TAG-5</t>
  </si>
  <si>
    <t>C-TAG-6</t>
  </si>
  <si>
    <t>C-TAG-7</t>
  </si>
  <si>
    <t>C-TAG-8</t>
  </si>
  <si>
    <t>C-TAG-9</t>
  </si>
  <si>
    <t>C-TRTG-1</t>
  </si>
  <si>
    <t>C-TRTG-10</t>
  </si>
  <si>
    <t>C-TRTG-11</t>
  </si>
  <si>
    <t>C-TRTG-2</t>
  </si>
  <si>
    <t>C-TRTG-3</t>
  </si>
  <si>
    <t>C-TRTG-4</t>
  </si>
  <si>
    <t>C-TRTG-5</t>
  </si>
  <si>
    <t>C-TRTG-6</t>
  </si>
  <si>
    <t>C-TRTG-7</t>
  </si>
  <si>
    <t>C-TRTG-8</t>
  </si>
  <si>
    <t>C-TRTG-9</t>
  </si>
  <si>
    <t>Trapy tarasu / balkonu na gruncie</t>
  </si>
  <si>
    <t>A-TRTG</t>
  </si>
  <si>
    <t>C-TRTG</t>
  </si>
  <si>
    <t>Tarasy galerie na gruncie</t>
  </si>
  <si>
    <t>A-TAG</t>
  </si>
  <si>
    <t>C-TAG</t>
  </si>
  <si>
    <t>218</t>
  </si>
  <si>
    <t>219</t>
  </si>
  <si>
    <t>220</t>
  </si>
  <si>
    <t>221</t>
  </si>
  <si>
    <t>222</t>
  </si>
  <si>
    <t>223</t>
  </si>
  <si>
    <t>224</t>
  </si>
  <si>
    <t>SDD</t>
  </si>
  <si>
    <t>Ścianki daszków</t>
  </si>
  <si>
    <t>ścianki daszków</t>
  </si>
  <si>
    <t>ścianki_daszków</t>
  </si>
  <si>
    <t>dobitka nadszybia</t>
  </si>
  <si>
    <t>dobitka nadszyb</t>
  </si>
  <si>
    <t>A-TAB-01</t>
  </si>
  <si>
    <t>A-TAB-02</t>
  </si>
  <si>
    <t>A-TAB-03</t>
  </si>
  <si>
    <t>A-TAB-04</t>
  </si>
  <si>
    <t>A-TAB-05</t>
  </si>
  <si>
    <t>A-TAB-06</t>
  </si>
  <si>
    <t>A-TAB-07</t>
  </si>
  <si>
    <t>A-TAB-08</t>
  </si>
  <si>
    <t>A-TAB-09</t>
  </si>
  <si>
    <t>A-TRTB-01</t>
  </si>
  <si>
    <t>A-TRTB-02</t>
  </si>
  <si>
    <t>A-TRTB-03</t>
  </si>
  <si>
    <t>A-TRTB-04</t>
  </si>
  <si>
    <t>A-TRTB-05</t>
  </si>
  <si>
    <t>A-TRTB-06</t>
  </si>
  <si>
    <t>A-TRTB-07</t>
  </si>
  <si>
    <t>A-TRTB-08</t>
  </si>
  <si>
    <t>A-TRTB-09</t>
  </si>
  <si>
    <t>B-TAB-01</t>
  </si>
  <si>
    <t>B-TAB-02</t>
  </si>
  <si>
    <t>B-TAB-03</t>
  </si>
  <si>
    <t>B-TAB-04</t>
  </si>
  <si>
    <t>B-TAB-05</t>
  </si>
  <si>
    <t>B-TAB-06</t>
  </si>
  <si>
    <t>B-TAB-07</t>
  </si>
  <si>
    <t>B-TAB-08</t>
  </si>
  <si>
    <t>B-TRTB-01</t>
  </si>
  <si>
    <t>B-TRTB-02</t>
  </si>
  <si>
    <t>B-TRTB-03</t>
  </si>
  <si>
    <t>B-TRTB-04</t>
  </si>
  <si>
    <t>B-TRTB-05</t>
  </si>
  <si>
    <t>B-TRTB-06</t>
  </si>
  <si>
    <t>B-TRTB-07</t>
  </si>
  <si>
    <t>B-TRTB-08</t>
  </si>
  <si>
    <t>C-TAB-01</t>
  </si>
  <si>
    <t>C-TAB-02</t>
  </si>
  <si>
    <t>C-TAB-03</t>
  </si>
  <si>
    <t>C-TAB-04</t>
  </si>
  <si>
    <t>C-TAB-05</t>
  </si>
  <si>
    <t>C-TAB-06</t>
  </si>
  <si>
    <t>C-TAB-07</t>
  </si>
  <si>
    <t>C-TAB-08</t>
  </si>
  <si>
    <t>C-TAB-09</t>
  </si>
  <si>
    <t>C-TAB-10</t>
  </si>
  <si>
    <t>C-TRTB-01</t>
  </si>
  <si>
    <t>C-TRTB-02</t>
  </si>
  <si>
    <t>C-TRTB-03</t>
  </si>
  <si>
    <t>C-TRTB-04</t>
  </si>
  <si>
    <t>C-TRTB-05</t>
  </si>
  <si>
    <t>C-TRTB-06</t>
  </si>
  <si>
    <t>C-TRTB-07</t>
  </si>
  <si>
    <t>C-TRTB-08</t>
  </si>
  <si>
    <t>C-TRTB-09</t>
  </si>
  <si>
    <t>C-TRTB-10</t>
  </si>
  <si>
    <t>Tarasy balkony na gruncie</t>
  </si>
  <si>
    <t>C-TAB</t>
  </si>
  <si>
    <t>B-TAB</t>
  </si>
  <si>
    <t>A-TAB</t>
  </si>
  <si>
    <t>A-TRTB</t>
  </si>
  <si>
    <t>B-TRTB</t>
  </si>
  <si>
    <t>C-TRTB</t>
  </si>
  <si>
    <t>SK-1</t>
  </si>
  <si>
    <t>SK-2</t>
  </si>
  <si>
    <t>SK-3</t>
  </si>
  <si>
    <t>C-DAG-01</t>
  </si>
  <si>
    <t>C-DAG-02</t>
  </si>
  <si>
    <t>C-DAG-03</t>
  </si>
  <si>
    <t>C-DAG-04</t>
  </si>
  <si>
    <t>C-DAG-05</t>
  </si>
  <si>
    <t>C-DAG-06</t>
  </si>
  <si>
    <t>C-DAG-07</t>
  </si>
  <si>
    <t>C-DAG-08</t>
  </si>
  <si>
    <t>A-DAG-01</t>
  </si>
  <si>
    <t>A-DAG-02</t>
  </si>
  <si>
    <t>A-DAG-03</t>
  </si>
  <si>
    <t>A-DAG-04</t>
  </si>
  <si>
    <t>A-DAG-05</t>
  </si>
  <si>
    <t>A-DAG-06</t>
  </si>
  <si>
    <t>A-DAG-07</t>
  </si>
  <si>
    <t>A-DAG-08</t>
  </si>
  <si>
    <t>A-DAG-09</t>
  </si>
  <si>
    <t>A-DAG-10</t>
  </si>
  <si>
    <t>A-DAG-11</t>
  </si>
  <si>
    <t>A-DAG-12</t>
  </si>
  <si>
    <t>A-1-TJ-05</t>
  </si>
  <si>
    <t>A-1-TJ-01</t>
  </si>
  <si>
    <t>A-1-TJ-03</t>
  </si>
  <si>
    <t>A-1-TJ-04</t>
  </si>
  <si>
    <t>A-1-TJ-02</t>
  </si>
  <si>
    <t>A-1-TJ-06</t>
  </si>
  <si>
    <t>A-4-TJ-03</t>
  </si>
  <si>
    <t>A-2-TJ-04</t>
  </si>
  <si>
    <t>A-2-TJ-03</t>
  </si>
  <si>
    <t>A-3-TJ-04</t>
  </si>
  <si>
    <t>A-3-TJ-03</t>
  </si>
  <si>
    <t>A-4-TJ-05</t>
  </si>
  <si>
    <t>A-4-TJ-04</t>
  </si>
  <si>
    <t>A-2-TJ-02</t>
  </si>
  <si>
    <t>A-3-TJ-02</t>
  </si>
  <si>
    <t>A-4-TJ-02</t>
  </si>
  <si>
    <t>A-2-TJ-01</t>
  </si>
  <si>
    <t>A-3-TJ-01</t>
  </si>
  <si>
    <t>A-4-TJ-01</t>
  </si>
  <si>
    <t>B-1-TJ-04</t>
  </si>
  <si>
    <t>B-1-TJ-05</t>
  </si>
  <si>
    <t>B-1-TJ-01</t>
  </si>
  <si>
    <t>B-1-TJ-02</t>
  </si>
  <si>
    <t>B-1-TJ-03</t>
  </si>
  <si>
    <t>B-2-TJ-01</t>
  </si>
  <si>
    <t>B-2-TJ-02</t>
  </si>
  <si>
    <t>B-3-TJ-01</t>
  </si>
  <si>
    <t>B-3-TJ-02</t>
  </si>
  <si>
    <t>B-2-TJ-03</t>
  </si>
  <si>
    <t>B-3-TJ-03</t>
  </si>
  <si>
    <t>B-4-TJ-03</t>
  </si>
  <si>
    <t>B-2-TJ-04</t>
  </si>
  <si>
    <t>B-2-TJ-05</t>
  </si>
  <si>
    <t>B-3-TJ-04</t>
  </si>
  <si>
    <t>B-3-TJ-05</t>
  </si>
  <si>
    <t>B-4-TJ-04</t>
  </si>
  <si>
    <t>B-4-TJ-05</t>
  </si>
  <si>
    <t>B-1-TJ-07</t>
  </si>
  <si>
    <t>B-1-TJ-06</t>
  </si>
  <si>
    <t>B-2-TJ-07</t>
  </si>
  <si>
    <t>B-2-TJ-06</t>
  </si>
  <si>
    <t>B-3-TJ-07</t>
  </si>
  <si>
    <t>B-3-TJ-06</t>
  </si>
  <si>
    <t>B-4-TJ-07</t>
  </si>
  <si>
    <t>B-4-TJ-06</t>
  </si>
  <si>
    <t>B-4-TJ-01</t>
  </si>
  <si>
    <t>B-4-TJ-02</t>
  </si>
  <si>
    <t>C-1-TJ-07</t>
  </si>
  <si>
    <t>C-1-TJ-12</t>
  </si>
  <si>
    <t>C-1-TJ-11</t>
  </si>
  <si>
    <t>C-1-TJ-05</t>
  </si>
  <si>
    <t>C-1-TJ-06</t>
  </si>
  <si>
    <t>C-1-TJ-01</t>
  </si>
  <si>
    <t>C-1-TJ-02</t>
  </si>
  <si>
    <t>C-1-TJ-03</t>
  </si>
  <si>
    <t>C-1-TJ-04</t>
  </si>
  <si>
    <t>C-2-TJ-05</t>
  </si>
  <si>
    <t>C-3-TJ-04</t>
  </si>
  <si>
    <t>C-2-TJ-04</t>
  </si>
  <si>
    <t>C-3-TJ-03</t>
  </si>
  <si>
    <t>C-2-TJ-03</t>
  </si>
  <si>
    <t>C-3-TJ-02</t>
  </si>
  <si>
    <t>C-2-TJ-02</t>
  </si>
  <si>
    <t>C-3-TJ-01</t>
  </si>
  <si>
    <t>C-2-TJ-01</t>
  </si>
  <si>
    <t>C-4-TJ-02</t>
  </si>
  <si>
    <t>C-4-TJ-01</t>
  </si>
  <si>
    <t>C-2-TJ-07</t>
  </si>
  <si>
    <t>C-3-TJ-06</t>
  </si>
  <si>
    <t>C-2-TJ-08</t>
  </si>
  <si>
    <t>C-3-TJ-07</t>
  </si>
  <si>
    <t>C-4-TJ-04</t>
  </si>
  <si>
    <t>C-2-TJ-09</t>
  </si>
  <si>
    <t>C-3-TJ-08</t>
  </si>
  <si>
    <t>C-2-TJ-10</t>
  </si>
  <si>
    <t>C-1-TJ-08</t>
  </si>
  <si>
    <t>C-1-TJ-09</t>
  </si>
  <si>
    <t>C-1-TJ-10</t>
  </si>
  <si>
    <t>C-2-TJ-06</t>
  </si>
  <si>
    <t>C-3-TJ-05</t>
  </si>
  <si>
    <t>C-4-TJ-03</t>
  </si>
  <si>
    <t>C-DAG</t>
  </si>
  <si>
    <t>A-DAG</t>
  </si>
  <si>
    <t>Trejaże</t>
  </si>
  <si>
    <t>A-1</t>
  </si>
  <si>
    <t>B-1</t>
  </si>
  <si>
    <t>C-1</t>
  </si>
  <si>
    <t>produkcja / ściany</t>
  </si>
  <si>
    <t>Izumrud</t>
  </si>
  <si>
    <t xml:space="preserve">Izumrud </t>
  </si>
  <si>
    <t>Klin - Daszki nad galeriami</t>
  </si>
  <si>
    <t>C-DAG-08 klin</t>
  </si>
  <si>
    <t>B-DAB-04 klin</t>
  </si>
  <si>
    <t>B-DAB-03 klin</t>
  </si>
  <si>
    <t>B-DAB-02 klin</t>
  </si>
  <si>
    <t>B-DAB-01 klin</t>
  </si>
  <si>
    <t>A-DAB-03 klin</t>
  </si>
  <si>
    <t>A-DAB-02 klin</t>
  </si>
  <si>
    <t>A-DAB-01 klin</t>
  </si>
  <si>
    <t>C-DAB-01 klin</t>
  </si>
  <si>
    <t>C-DAB-02 klin</t>
  </si>
  <si>
    <t>C-DAB-03 klin</t>
  </si>
  <si>
    <t>C-DAB-04 klin</t>
  </si>
  <si>
    <t>C-DAB-05 klin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</si>
  <si>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</si>
  <si>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</si>
  <si>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</si>
  <si>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</si>
  <si>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</si>
  <si>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</si>
  <si>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</si>
  <si>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</si>
  <si>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</si>
  <si>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</si>
  <si>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</si>
  <si>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246</t>
  </si>
  <si>
    <t>247</t>
  </si>
  <si>
    <t>248</t>
  </si>
  <si>
    <t>249</t>
  </si>
  <si>
    <t>250</t>
  </si>
  <si>
    <t>251</t>
  </si>
  <si>
    <t>252</t>
  </si>
  <si>
    <t>253</t>
  </si>
  <si>
    <t>257</t>
  </si>
  <si>
    <t>258</t>
  </si>
  <si>
    <t>259</t>
  </si>
  <si>
    <t>264</t>
  </si>
  <si>
    <t>265</t>
  </si>
  <si>
    <t>266</t>
  </si>
  <si>
    <t>267</t>
  </si>
  <si>
    <t>268</t>
  </si>
  <si>
    <t>269</t>
  </si>
  <si>
    <t>270</t>
  </si>
  <si>
    <t>278</t>
  </si>
  <si>
    <t>279</t>
  </si>
  <si>
    <t>280</t>
  </si>
  <si>
    <t>!Nieaktualne</t>
  </si>
  <si>
    <t>DaneZewnętrzne_2</t>
  </si>
  <si>
    <t>DaneZewnętrzne_3</t>
  </si>
  <si>
    <t>DaneZewnętrzne_4</t>
  </si>
  <si>
    <t>DaneZewnętrzne_5</t>
  </si>
  <si>
    <t>Małkinia</t>
  </si>
  <si>
    <t>Kliny w łazienkach</t>
  </si>
  <si>
    <t>Attyki na modułach (budowa)</t>
  </si>
  <si>
    <t>Attyki na modułach (produkcja)</t>
  </si>
  <si>
    <t>Obudowy szachtów</t>
  </si>
  <si>
    <t>Balkony - Panele</t>
  </si>
  <si>
    <t>Balkony - Trapy</t>
  </si>
  <si>
    <t>Dobitka przy kotłowni</t>
  </si>
  <si>
    <t>około 20m2</t>
  </si>
  <si>
    <t>Barbara Lenicka</t>
  </si>
  <si>
    <t>sites/Unihouse_SA/Shared Documents/Projekty/03. POLSKA/267_2021 Małkinia/! Projekt/4 LISTY/2. Elementy zewnętrzne i stolarnia</t>
  </si>
  <si>
    <t>Aleksandra Godonczuk</t>
  </si>
  <si>
    <t>sites/Unihouse_SA/Shared Documents/Projekty/03. POLSKA/267_2021 Małkinia/! Projekt/4 LISTY/2. Elementy zewnętrzne i stolarnia/!Nieaktualne</t>
  </si>
  <si>
    <t>Attyki- Lista elementów -budowa.xlsx</t>
  </si>
  <si>
    <t>Attyki- Lista elementów -produkcja.xlsx</t>
  </si>
  <si>
    <t>267-ML-AT-405X-01</t>
  </si>
  <si>
    <t>267-ML-AT-404X-01</t>
  </si>
  <si>
    <t>267-ML-AT-403X-01</t>
  </si>
  <si>
    <t>267-ML-AT-402X-01</t>
  </si>
  <si>
    <t>267-ML-AT-403X-02</t>
  </si>
  <si>
    <t>267-ML-AT-405X-02</t>
  </si>
  <si>
    <t>267-ML-AT-404X-02</t>
  </si>
  <si>
    <t>267-ML-AT-401X-01</t>
  </si>
  <si>
    <t>267-ML-AT-401X-03</t>
  </si>
  <si>
    <t>267-ML-AT-401X-02</t>
  </si>
  <si>
    <t>267-ML-AT-401X-06</t>
  </si>
  <si>
    <t>267-ML-AT-402X-02</t>
  </si>
  <si>
    <t>267-ML-AT-403X-03</t>
  </si>
  <si>
    <t>267-ML-AT-403X-04</t>
  </si>
  <si>
    <t>267-ML-AT-406X-02</t>
  </si>
  <si>
    <t>267-ML-AT-406X-03</t>
  </si>
  <si>
    <t>267-ML-AT-406X-04</t>
  </si>
  <si>
    <t>267-ML-AT-407X-02</t>
  </si>
  <si>
    <t>267-ML-AT-406X-01</t>
  </si>
  <si>
    <t>267-ML-AT-408X-01</t>
  </si>
  <si>
    <t>267-ML-AT-407X-01</t>
  </si>
  <si>
    <t>267-ML-AT-408X-02</t>
  </si>
  <si>
    <t>267-ML-AT-408X-05</t>
  </si>
  <si>
    <t>267-ML-AT-407X-04</t>
  </si>
  <si>
    <t>267-ML-AT-408X-04</t>
  </si>
  <si>
    <t>267-ML-AT-401X-04</t>
  </si>
  <si>
    <t>267-ML-AT-401X-05</t>
  </si>
  <si>
    <t>267-ML-AT-109X-01</t>
  </si>
  <si>
    <t>267-ML-AT-408X-03</t>
  </si>
  <si>
    <t>267-ML-AT-BU-401X-02</t>
  </si>
  <si>
    <t>267-ML-AT-BU-408X-02</t>
  </si>
  <si>
    <t>267-ML-AT-BU-401X-01</t>
  </si>
  <si>
    <t>267-ML-AT-BU-109X-02</t>
  </si>
  <si>
    <t>267-ML-AT-BU-109X-01</t>
  </si>
  <si>
    <t>267-ML-AT-BU-408X-01</t>
  </si>
  <si>
    <t>267-ML-AT-BU-109X-03</t>
  </si>
  <si>
    <t>267-ML</t>
  </si>
  <si>
    <t>Obudowy szachtów- Lista elementów -produkcja.xlsx</t>
  </si>
  <si>
    <t>267-ML-1-SSP-29</t>
  </si>
  <si>
    <t>267-ML-1-SSP-30</t>
  </si>
  <si>
    <t>267-ML-1-SSP-31</t>
  </si>
  <si>
    <t>267-ML-1-SSP-32</t>
  </si>
  <si>
    <t>267-ML-1-SSP-09</t>
  </si>
  <si>
    <t>267-ML-1-SSP-10</t>
  </si>
  <si>
    <t>267-ML-1-SSP-11</t>
  </si>
  <si>
    <t>267-ML-1-SSP-15</t>
  </si>
  <si>
    <t>267-ML-1-SSP-14</t>
  </si>
  <si>
    <t>267-ML-1-SSP-13</t>
  </si>
  <si>
    <t>267-ML-1-SSP-21</t>
  </si>
  <si>
    <t>267-ML-1-SSP-22</t>
  </si>
  <si>
    <t>267-ML-1-SSP-23</t>
  </si>
  <si>
    <t>267-ML-1-SSP-27</t>
  </si>
  <si>
    <t>267-ML-1-SSP-26</t>
  </si>
  <si>
    <t>267-ML-1-SSP-25</t>
  </si>
  <si>
    <t>267-ML-1-SSP-33</t>
  </si>
  <si>
    <t>267-ML-1-SSP-34</t>
  </si>
  <si>
    <t>267-ML-1-SSP-35</t>
  </si>
  <si>
    <t>267-ML-1-SSP-36</t>
  </si>
  <si>
    <t>267-ML-1-SSP-37</t>
  </si>
  <si>
    <t>267-ML-1-SSP-38</t>
  </si>
  <si>
    <t>267-ML-1-SSP-39</t>
  </si>
  <si>
    <t>267-ML-1-SSP-43</t>
  </si>
  <si>
    <t>267-ML-1-SSP-42</t>
  </si>
  <si>
    <t>267-ML-1-SSP-41</t>
  </si>
  <si>
    <t>267-ML-1-SSP-49</t>
  </si>
  <si>
    <t>267-ML-1-SSP-52</t>
  </si>
  <si>
    <t>267-ML-1-SSP-51</t>
  </si>
  <si>
    <t>267-ML-1-SSP-50</t>
  </si>
  <si>
    <t>267-ML-1-SSP-71</t>
  </si>
  <si>
    <t>267-ML-1-SSP-70</t>
  </si>
  <si>
    <t>267-ML-1-SSP-69</t>
  </si>
  <si>
    <t>267-ML-1-SSP-65</t>
  </si>
  <si>
    <t>267-ML-1-SSP-66</t>
  </si>
  <si>
    <t>267-ML-1-SSP-67</t>
  </si>
  <si>
    <t>267-ML-1-SSP-59</t>
  </si>
  <si>
    <t>267-ML-1-SSP-58</t>
  </si>
  <si>
    <t>267-ML-1-SSP-57</t>
  </si>
  <si>
    <t>267-ML-1-SSP-53</t>
  </si>
  <si>
    <t>267-ML-1-SSP-54</t>
  </si>
  <si>
    <t>267-ML-1-SSP-55</t>
  </si>
  <si>
    <t>267-ML-1-SSP-45</t>
  </si>
  <si>
    <t>267-ML-1-SSP-48</t>
  </si>
  <si>
    <t>267-ML-1-SSP-47</t>
  </si>
  <si>
    <t>267-ML-1-SSP-46</t>
  </si>
  <si>
    <t>267-ML-1-SSP-17</t>
  </si>
  <si>
    <t>267-ML-1-SSP-18</t>
  </si>
  <si>
    <t>267-ML-1-SSP-19</t>
  </si>
  <si>
    <t>267-ML-1-SSP-20</t>
  </si>
  <si>
    <t>267-ML-1-SSP-61</t>
  </si>
  <si>
    <t>267-ML-1-SSP-62</t>
  </si>
  <si>
    <t>267-ML-1-SSP-63</t>
  </si>
  <si>
    <t>267-ML-1-SSP-64</t>
  </si>
  <si>
    <t>267-ML-1-SSP-01</t>
  </si>
  <si>
    <t>267-ML-1-SSP-02</t>
  </si>
  <si>
    <t>267-ML-1-SSP-03</t>
  </si>
  <si>
    <t>267-ML-1-SSP-04</t>
  </si>
  <si>
    <t>267-ML-1-SSP-05</t>
  </si>
  <si>
    <t>267-ML-1-SSP-06</t>
  </si>
  <si>
    <t>267-ML-1-SSP-07</t>
  </si>
  <si>
    <t>267-ML-1-SSP-08</t>
  </si>
  <si>
    <t>267-ML-1-SSP-12</t>
  </si>
  <si>
    <t>267-ML-1-SSP-16</t>
  </si>
  <si>
    <t>267-ML-1-SSP-24</t>
  </si>
  <si>
    <t>267-ML-1-SSP-28</t>
  </si>
  <si>
    <t>267-ML-1-SSP-40</t>
  </si>
  <si>
    <t>267-ML-1-SSP-44</t>
  </si>
  <si>
    <t>267-ML-1-SSP-56</t>
  </si>
  <si>
    <t>267-ML-1-SSP-60</t>
  </si>
  <si>
    <t>267-ML-1-SSP-68</t>
  </si>
  <si>
    <t>267-ML-1-SSP-72</t>
  </si>
  <si>
    <t>267-ML-1-SSP-73</t>
  </si>
  <si>
    <t>267-ML-1-SSP-74</t>
  </si>
  <si>
    <t>267-ML-1-SSP-75</t>
  </si>
  <si>
    <t>267-ML-1-SSP-76</t>
  </si>
  <si>
    <t>267-ML-1-SSP-77</t>
  </si>
  <si>
    <t>267-ML-1-SSP-78</t>
  </si>
  <si>
    <t>267-ML-1-SSP-79</t>
  </si>
  <si>
    <t>267-ML-1-SSP-80</t>
  </si>
  <si>
    <t>Obudowy szachtów produkcja</t>
  </si>
  <si>
    <t>Hanna Sehen</t>
  </si>
  <si>
    <t>Balkony - lista elementów.xlsx</t>
  </si>
  <si>
    <t>Balkony - lista klinów.xlsx</t>
  </si>
  <si>
    <t>Obudowy szachtów- Lista elementów -budowa.xlsx</t>
  </si>
  <si>
    <t>Trapy balkonów - lista elementów.xlsx</t>
  </si>
  <si>
    <t>Trapy balkonów - lista klinów.xlsx</t>
  </si>
  <si>
    <t>267-ML-2-SSB-01</t>
  </si>
  <si>
    <t>267-ML-2-SSB-02</t>
  </si>
  <si>
    <t>267-ML-2-SSB-06</t>
  </si>
  <si>
    <t>267-ML-2-SSB-09</t>
  </si>
  <si>
    <t>267-ML-2-SSB-10</t>
  </si>
  <si>
    <t>267-ML-2-SSB-14</t>
  </si>
  <si>
    <t>267-ML-2-SSB-18</t>
  </si>
  <si>
    <t>267-ML-2-SSB-20</t>
  </si>
  <si>
    <t>267-ML-2-SSB-19</t>
  </si>
  <si>
    <t>267-ML-2-SSB-17</t>
  </si>
  <si>
    <t>267-ML-2-SSB-22</t>
  </si>
  <si>
    <t>267-ML-2-SSB-24</t>
  </si>
  <si>
    <t>267-ML-2-SSB-21</t>
  </si>
  <si>
    <t>267-ML-2-SSB-23</t>
  </si>
  <si>
    <t>267-ML-2-SSB-25</t>
  </si>
  <si>
    <t>267-ML-2-SSB-26</t>
  </si>
  <si>
    <t>267-ML-2-SSB-30</t>
  </si>
  <si>
    <t>267-ML-2-SSB-54</t>
  </si>
  <si>
    <t>267-ML-2-SSB-50</t>
  </si>
  <si>
    <t>267-ML-2-SSB-46</t>
  </si>
  <si>
    <t>267-ML-2-SSB-42</t>
  </si>
  <si>
    <t>267-ML-2-SSB-41</t>
  </si>
  <si>
    <t>267-ML-2-SSB-40</t>
  </si>
  <si>
    <t>267-ML-2-SSB-38</t>
  </si>
  <si>
    <t>267-ML-2-SSB-39</t>
  </si>
  <si>
    <t>267-ML-2-SSB-37</t>
  </si>
  <si>
    <t>267-ML-2-SSB-36</t>
  </si>
  <si>
    <t>267-ML-2-SSB-34</t>
  </si>
  <si>
    <t>267-ML-2-SSB-33</t>
  </si>
  <si>
    <t>267-ML-2-SSB-35</t>
  </si>
  <si>
    <t>267-ML-2-SSB-49</t>
  </si>
  <si>
    <t>267-ML-2-SSB-07</t>
  </si>
  <si>
    <t>267-ML-2-SSB-03</t>
  </si>
  <si>
    <t>267-ML-2-SSB-05</t>
  </si>
  <si>
    <t>267-ML-2-SSB-04</t>
  </si>
  <si>
    <t>267-ML-2-SSB-08</t>
  </si>
  <si>
    <t>267-ML-2-SSB-15</t>
  </si>
  <si>
    <t>267-ML-2-SSB-11</t>
  </si>
  <si>
    <t>267-ML-2-SSB-13</t>
  </si>
  <si>
    <t>267-ML-2-SSB-12</t>
  </si>
  <si>
    <t>267-ML-2-SSB-16</t>
  </si>
  <si>
    <t>267-ML-2-SSB-31</t>
  </si>
  <si>
    <t>267-ML-2-SSB-27</t>
  </si>
  <si>
    <t>267-ML-2-SSB-29</t>
  </si>
  <si>
    <t>267-ML-2-SSB-28</t>
  </si>
  <si>
    <t>267-ML-2-SSB-32</t>
  </si>
  <si>
    <t>267-ML-2-SSB-47</t>
  </si>
  <si>
    <t>267-ML-2-SSB-43</t>
  </si>
  <si>
    <t>267-ML-2-SSB-45</t>
  </si>
  <si>
    <t>267-ML-2-SSB-44</t>
  </si>
  <si>
    <t>267-ML-2-SSB-48</t>
  </si>
  <si>
    <t>267-ML-2-SSB-55</t>
  </si>
  <si>
    <t>267-ML-2-SSB-51</t>
  </si>
  <si>
    <t>267-ML-2-SSB-53</t>
  </si>
  <si>
    <t>267-ML-2-SSB-52</t>
  </si>
  <si>
    <t>267-ML-2-SSB-56</t>
  </si>
  <si>
    <t>267-ML-4-TRB-10</t>
  </si>
  <si>
    <t>267-ML-4-TRB-09</t>
  </si>
  <si>
    <t>267-ML-4-TRB-08</t>
  </si>
  <si>
    <t>267-ML-4-TRB-07</t>
  </si>
  <si>
    <t>267-ML-4-TRB-06</t>
  </si>
  <si>
    <t>267-ML-4-TRB-05</t>
  </si>
  <si>
    <t>267-ML-4-TRB-04</t>
  </si>
  <si>
    <t>267-ML-4-TRB-03</t>
  </si>
  <si>
    <t>267-ML-4-TRB-02</t>
  </si>
  <si>
    <t>267-ML-4-TRB-01</t>
  </si>
  <si>
    <t>267-ML-3-TRB-10</t>
  </si>
  <si>
    <t>267-ML-3-TRB-09</t>
  </si>
  <si>
    <t>267-ML-3-TRB-08</t>
  </si>
  <si>
    <t>267-ML-3-TRB-07</t>
  </si>
  <si>
    <t>267-ML-3-TRB-06</t>
  </si>
  <si>
    <t>267-ML-3-TRB-05</t>
  </si>
  <si>
    <t>267-ML-3-TRB-04</t>
  </si>
  <si>
    <t>267-ML-3-TRB-03</t>
  </si>
  <si>
    <t>267-ML-3-TRB-02</t>
  </si>
  <si>
    <t>267-ML-3-TRB-01</t>
  </si>
  <si>
    <t>267-ML-2-TRB-10</t>
  </si>
  <si>
    <t>267-ML-2-TRB-09</t>
  </si>
  <si>
    <t>267-ML-2-TRB-08</t>
  </si>
  <si>
    <t>267-ML-2-TRB-07</t>
  </si>
  <si>
    <t>267-ML-2-TRB-06</t>
  </si>
  <si>
    <t>267-ML-2-TRB-05</t>
  </si>
  <si>
    <t>267-ML-2-TRB-04</t>
  </si>
  <si>
    <t>267-ML-2-TRB-03</t>
  </si>
  <si>
    <t>267-ML-2-TRB-02</t>
  </si>
  <si>
    <t>267-ML-2-TRB-01</t>
  </si>
  <si>
    <t>267-ML-2-BA-01</t>
  </si>
  <si>
    <t>267-ML-2-BA-02</t>
  </si>
  <si>
    <t>267-ML-2-BA-03</t>
  </si>
  <si>
    <t>267-ML-2-BA-04</t>
  </si>
  <si>
    <t>267-ML-2-BA-05</t>
  </si>
  <si>
    <t>267-ML-2-BA-06</t>
  </si>
  <si>
    <t>267-ML-2-BA-07</t>
  </si>
  <si>
    <t>267-ML-2-BA-08</t>
  </si>
  <si>
    <t>267-ML-2-BA-09</t>
  </si>
  <si>
    <t>267-ML-2-BA-10</t>
  </si>
  <si>
    <t>267-ML-3-BA-01</t>
  </si>
  <si>
    <t>267-ML-3-BA-02</t>
  </si>
  <si>
    <t>267-ML-3-BA-03</t>
  </si>
  <si>
    <t>267-ML-3-BA-04</t>
  </si>
  <si>
    <t>267-ML-3-BA-05</t>
  </si>
  <si>
    <t>267-ML-3-BA-06</t>
  </si>
  <si>
    <t>267-ML-3-BA-07</t>
  </si>
  <si>
    <t>267-ML-3-BA-08</t>
  </si>
  <si>
    <t>267-ML-3-BA-09</t>
  </si>
  <si>
    <t>267-ML-3-BA-10</t>
  </si>
  <si>
    <t>267-ML-4-BA-01</t>
  </si>
  <si>
    <t>267-ML-4-BA-02</t>
  </si>
  <si>
    <t>267-ML-4-BA-03</t>
  </si>
  <si>
    <t>267-ML-4-BA-04</t>
  </si>
  <si>
    <t>267-ML-4-BA-05</t>
  </si>
  <si>
    <t>267-ML-4-BA-06</t>
  </si>
  <si>
    <t>267-ML-4-BA-07</t>
  </si>
  <si>
    <t>267-ML-4-BA-08</t>
  </si>
  <si>
    <t>267-ML-4-BA-09</t>
  </si>
  <si>
    <t>267-ML-4-BA-10</t>
  </si>
  <si>
    <t>Obudowy szachtów budowa</t>
  </si>
  <si>
    <t>267-ML-2</t>
  </si>
  <si>
    <t>267-ML-3</t>
  </si>
  <si>
    <t>267-ML-4</t>
  </si>
  <si>
    <t>Kondygnacja</t>
  </si>
  <si>
    <t>Izabela Grabowska</t>
  </si>
  <si>
    <t>Dobitka przy kotłowni - Lista elementów.xlsx</t>
  </si>
  <si>
    <t>Obudowy szachtów- Lista elementów -budowa cz.2.xlsx</t>
  </si>
  <si>
    <t>Obudowy szachtów- Lista elementów -produkcja cz.2.xlsx</t>
  </si>
  <si>
    <t>267-ML-1-SSB-01</t>
  </si>
  <si>
    <t>267-ML-1-SSB-02</t>
  </si>
  <si>
    <t>267-ML-1-SSB-03</t>
  </si>
  <si>
    <t>267-ML-1-SSB-04</t>
  </si>
  <si>
    <t>267-ML-1-SSP-81</t>
  </si>
  <si>
    <t>267-ML-1-SSP-82</t>
  </si>
  <si>
    <t>267-ML-1-SSP-83</t>
  </si>
  <si>
    <t>108X</t>
  </si>
  <si>
    <t>108X-EL-01</t>
  </si>
  <si>
    <t>108X-EL-02</t>
  </si>
  <si>
    <t>108X-EL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</si>
</sst>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"/>
    <numFmt numFmtId="165" formatCode="ddd"/>
    <numFmt numFmtId="166" formatCode="mmm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charset val="238"/>
      <scheme val="minor"/>
    </font>
    <font>
      <i/>
      <sz val="12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i/>
      <sz val="12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24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  <scheme val="minor"/>
    </font>
    <font>
      <b/>
      <sz val="10"/>
      <color rgb="FF000000"/>
      <name val="Verdana"/>
      <family val="2"/>
      <charset val="238"/>
    </font>
    <font>
      <sz val="22"/>
      <color theme="1"/>
      <name val="Calibri"/>
      <family val="2"/>
      <charset val="238"/>
      <scheme val="minor"/>
    </font>
    <font>
      <sz val="22"/>
      <color rgb="FFFF0000"/>
      <name val="Calibri"/>
      <family val="2"/>
      <charset val="238"/>
      <scheme val="minor"/>
    </font>
    <font>
      <b/>
      <sz val="10"/>
      <name val="Verdana"/>
      <family val="2"/>
      <charset val="238"/>
    </font>
    <font>
      <sz val="10"/>
      <name val="Verdana"/>
      <family val="2"/>
      <charset val="238"/>
    </font>
    <font>
      <sz val="8"/>
      <name val="Verdana"/>
      <family val="2"/>
      <charset val="238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charset val="238"/>
      <scheme val="minor"/>
    </font>
    <font>
      <sz val="16"/>
      <color rgb="FFFF0000"/>
      <name val="Calibri"/>
      <family val="2"/>
      <charset val="238"/>
      <scheme val="minor"/>
    </font>
    <font>
      <sz val="20"/>
      <color theme="1"/>
      <name val="Calibri"/>
      <family val="2"/>
      <charset val="238"/>
      <scheme val="minor"/>
    </font>
    <font>
      <sz val="16"/>
      <color rgb="FF00B050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charset val="238"/>
      <scheme val="minor"/>
    </font>
    <font>
      <sz val="11"/>
      <name val="Calibri"/>
      <family val="2"/>
      <charset val="238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theme="9"/>
        <bgColor theme="9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medium">
        <color rgb="FFE26B0A"/>
      </top>
      <bottom style="medium">
        <color rgb="FFE26B0A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5">
    <xf numFmtId="0" fontId="0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35" fillId="0" borderId="0"/>
    <xf numFmtId="0" fontId="7" fillId="0" borderId="0"/>
    <xf numFmtId="0" fontId="6" fillId="0" borderId="0"/>
    <xf numFmtId="0" fontId="6" fillId="0" borderId="0"/>
    <xf numFmtId="0" fontId="36" fillId="11" borderId="0" applyNumberFormat="0" applyBorder="0" applyAlignment="0" applyProtection="0"/>
    <xf numFmtId="0" fontId="4" fillId="0" borderId="0"/>
    <xf numFmtId="0" fontId="40" fillId="0" borderId="0" applyNumberFormat="0" applyFill="0" applyBorder="0" applyAlignment="0" applyProtection="0"/>
    <xf numFmtId="0" fontId="2" fillId="0" borderId="0"/>
    <xf numFmtId="0" fontId="41" fillId="0" borderId="0" applyNumberFormat="0" applyFill="0" applyBorder="0" applyAlignment="0" applyProtection="0"/>
  </cellStyleXfs>
  <cellXfs count="221">
    <xf numFmtId="0" fontId="0" fillId="0" borderId="0" xfId="0"/>
    <xf numFmtId="0" fontId="0" fillId="0" borderId="0" xfId="0" applyNumberFormat="1"/>
    <xf numFmtId="14" fontId="0" fillId="0" borderId="0" xfId="0" applyNumberFormat="1"/>
    <xf numFmtId="0" fontId="18" fillId="7" borderId="0" xfId="0" applyFont="1" applyFill="1" applyBorder="1" applyAlignment="1">
      <alignment horizontal="center" vertical="center" wrapText="1"/>
    </xf>
    <xf numFmtId="0" fontId="18" fillId="7" borderId="16" xfId="0" applyFont="1" applyFill="1" applyBorder="1" applyAlignment="1">
      <alignment horizontal="center" vertical="center" wrapText="1"/>
    </xf>
    <xf numFmtId="14" fontId="18" fillId="7" borderId="0" xfId="0" applyNumberFormat="1" applyFont="1" applyFill="1" applyBorder="1" applyAlignment="1">
      <alignment horizontal="center" vertical="center" wrapText="1"/>
    </xf>
    <xf numFmtId="0" fontId="18" fillId="7" borderId="1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0" fontId="8" fillId="0" borderId="0" xfId="5"/>
    <xf numFmtId="0" fontId="27" fillId="0" borderId="0" xfId="5" applyFont="1"/>
    <xf numFmtId="0" fontId="28" fillId="0" borderId="0" xfId="5" applyFont="1"/>
    <xf numFmtId="0" fontId="29" fillId="7" borderId="0" xfId="5" applyFont="1" applyFill="1" applyAlignment="1">
      <alignment horizontal="center" vertical="center" wrapText="1"/>
    </xf>
    <xf numFmtId="0" fontId="8" fillId="0" borderId="0" xfId="5" applyAlignment="1">
      <alignment horizontal="center" vertical="center"/>
    </xf>
    <xf numFmtId="0" fontId="30" fillId="0" borderId="0" xfId="5" applyFont="1" applyAlignment="1">
      <alignment horizontal="left" vertical="center"/>
    </xf>
    <xf numFmtId="0" fontId="30" fillId="0" borderId="0" xfId="5" applyFont="1" applyAlignment="1">
      <alignment horizontal="center" vertical="center"/>
    </xf>
    <xf numFmtId="0" fontId="19" fillId="0" borderId="0" xfId="5" applyFont="1" applyAlignment="1">
      <alignment vertical="top" wrapText="1"/>
    </xf>
    <xf numFmtId="164" fontId="32" fillId="6" borderId="20" xfId="5" applyNumberFormat="1" applyFont="1" applyFill="1" applyBorder="1" applyAlignment="1">
      <alignment horizontal="center" vertical="center"/>
    </xf>
    <xf numFmtId="0" fontId="25" fillId="0" borderId="0" xfId="5" applyFont="1" applyAlignment="1">
      <alignment vertical="top"/>
    </xf>
    <xf numFmtId="0" fontId="8" fillId="0" borderId="0" xfId="5" applyAlignment="1">
      <alignment horizontal="center" vertical="top"/>
    </xf>
    <xf numFmtId="1" fontId="8" fillId="0" borderId="0" xfId="5" applyNumberFormat="1" applyAlignment="1">
      <alignment horizontal="center" vertical="top"/>
    </xf>
    <xf numFmtId="0" fontId="8" fillId="0" borderId="0" xfId="5" applyAlignment="1">
      <alignment horizontal="center"/>
    </xf>
    <xf numFmtId="0" fontId="29" fillId="0" borderId="0" xfId="5" applyFont="1" applyAlignment="1">
      <alignment horizontal="center" vertical="center" wrapText="1"/>
    </xf>
    <xf numFmtId="14" fontId="33" fillId="0" borderId="0" xfId="5" applyNumberFormat="1" applyFont="1" applyAlignment="1">
      <alignment horizontal="center" vertical="center"/>
    </xf>
    <xf numFmtId="0" fontId="33" fillId="0" borderId="0" xfId="5" applyFont="1" applyAlignment="1">
      <alignment horizontal="center" vertical="center"/>
    </xf>
    <xf numFmtId="0" fontId="33" fillId="0" borderId="0" xfId="5" applyFont="1" applyAlignment="1">
      <alignment horizontal="center" vertical="center" shrinkToFit="1"/>
    </xf>
    <xf numFmtId="0" fontId="34" fillId="0" borderId="0" xfId="5" applyFont="1" applyAlignment="1">
      <alignment horizontal="center" vertical="center"/>
    </xf>
    <xf numFmtId="0" fontId="18" fillId="7" borderId="0" xfId="6" applyFont="1" applyFill="1" applyAlignment="1">
      <alignment horizontal="center" vertical="center" wrapText="1"/>
    </xf>
    <xf numFmtId="0" fontId="18" fillId="7" borderId="16" xfId="6" applyFont="1" applyFill="1" applyBorder="1" applyAlignment="1">
      <alignment horizontal="center" vertical="center" wrapText="1"/>
    </xf>
    <xf numFmtId="14" fontId="18" fillId="7" borderId="0" xfId="6" applyNumberFormat="1" applyFont="1" applyFill="1" applyAlignment="1">
      <alignment horizontal="center" vertical="center" wrapText="1"/>
    </xf>
    <xf numFmtId="0" fontId="18" fillId="7" borderId="17" xfId="6" applyFont="1" applyFill="1" applyBorder="1" applyAlignment="1">
      <alignment horizontal="center" vertical="center" wrapText="1"/>
    </xf>
    <xf numFmtId="0" fontId="35" fillId="0" borderId="0" xfId="6"/>
    <xf numFmtId="0" fontId="35" fillId="0" borderId="0" xfId="6" applyAlignment="1">
      <alignment horizontal="center"/>
    </xf>
    <xf numFmtId="0" fontId="35" fillId="0" borderId="0" xfId="6" applyAlignment="1">
      <alignment horizontal="center" vertical="center"/>
    </xf>
    <xf numFmtId="14" fontId="35" fillId="0" borderId="0" xfId="6" applyNumberFormat="1" applyAlignment="1">
      <alignment horizontal="center"/>
    </xf>
    <xf numFmtId="0" fontId="19" fillId="0" borderId="0" xfId="6" applyFont="1" applyAlignment="1">
      <alignment horizontal="center"/>
    </xf>
    <xf numFmtId="14" fontId="20" fillId="0" borderId="0" xfId="6" applyNumberFormat="1" applyFont="1" applyAlignment="1">
      <alignment horizontal="center"/>
    </xf>
    <xf numFmtId="0" fontId="6" fillId="0" borderId="0" xfId="8"/>
    <xf numFmtId="0" fontId="16" fillId="0" borderId="0" xfId="8" applyFont="1" applyAlignment="1">
      <alignment horizontal="center" vertical="center"/>
    </xf>
    <xf numFmtId="0" fontId="6" fillId="4" borderId="10" xfId="8" applyFill="1" applyBorder="1" applyAlignment="1">
      <alignment horizontal="right"/>
    </xf>
    <xf numFmtId="14" fontId="6" fillId="4" borderId="8" xfId="8" applyNumberFormat="1" applyFill="1" applyBorder="1"/>
    <xf numFmtId="0" fontId="6" fillId="4" borderId="7" xfId="8" applyFill="1" applyBorder="1" applyAlignment="1">
      <alignment horizontal="right"/>
    </xf>
    <xf numFmtId="14" fontId="6" fillId="4" borderId="6" xfId="8" applyNumberFormat="1" applyFill="1" applyBorder="1"/>
    <xf numFmtId="0" fontId="6" fillId="4" borderId="7" xfId="8" applyFill="1" applyBorder="1"/>
    <xf numFmtId="0" fontId="6" fillId="4" borderId="5" xfId="8" applyFill="1" applyBorder="1"/>
    <xf numFmtId="0" fontId="6" fillId="4" borderId="4" xfId="8" applyFill="1" applyBorder="1" applyAlignment="1">
      <alignment horizontal="center"/>
    </xf>
    <xf numFmtId="0" fontId="17" fillId="2" borderId="1" xfId="8" applyFont="1" applyFill="1" applyBorder="1" applyAlignment="1">
      <alignment horizontal="center" vertical="center" wrapText="1"/>
    </xf>
    <xf numFmtId="0" fontId="17" fillId="2" borderId="21" xfId="8" applyFont="1" applyFill="1" applyBorder="1" applyAlignment="1">
      <alignment horizontal="center" vertical="center" wrapText="1"/>
    </xf>
    <xf numFmtId="0" fontId="17" fillId="2" borderId="11" xfId="8" applyFont="1" applyFill="1" applyBorder="1" applyAlignment="1">
      <alignment horizontal="center" vertical="center" wrapText="1"/>
    </xf>
    <xf numFmtId="0" fontId="17" fillId="2" borderId="14" xfId="8" applyFont="1" applyFill="1" applyBorder="1" applyAlignment="1">
      <alignment horizontal="center" vertical="center" wrapText="1"/>
    </xf>
    <xf numFmtId="14" fontId="15" fillId="3" borderId="19" xfId="8" applyNumberFormat="1" applyFont="1" applyFill="1" applyBorder="1" applyAlignment="1">
      <alignment horizontal="center" vertical="center" wrapText="1"/>
    </xf>
    <xf numFmtId="0" fontId="14" fillId="3" borderId="13" xfId="8" applyFont="1" applyFill="1" applyBorder="1" applyAlignment="1">
      <alignment horizontal="center" vertical="center" wrapText="1"/>
    </xf>
    <xf numFmtId="2" fontId="15" fillId="3" borderId="3" xfId="8" applyNumberFormat="1" applyFont="1" applyFill="1" applyBorder="1" applyAlignment="1">
      <alignment horizontal="center" vertical="center" wrapText="1"/>
    </xf>
    <xf numFmtId="0" fontId="15" fillId="3" borderId="3" xfId="8" applyFont="1" applyFill="1" applyBorder="1" applyAlignment="1">
      <alignment horizontal="center" vertical="center" wrapText="1"/>
    </xf>
    <xf numFmtId="0" fontId="14" fillId="3" borderId="3" xfId="8" applyFont="1" applyFill="1" applyBorder="1" applyAlignment="1">
      <alignment horizontal="center" vertical="center" wrapText="1"/>
    </xf>
    <xf numFmtId="14" fontId="14" fillId="3" borderId="3" xfId="8" applyNumberFormat="1" applyFont="1" applyFill="1" applyBorder="1" applyAlignment="1">
      <alignment horizontal="center" vertical="center" wrapText="1"/>
    </xf>
    <xf numFmtId="0" fontId="14" fillId="3" borderId="0" xfId="8" applyFont="1" applyFill="1" applyAlignment="1">
      <alignment horizontal="center" vertical="center"/>
    </xf>
    <xf numFmtId="0" fontId="14" fillId="3" borderId="0" xfId="8" applyFont="1" applyFill="1" applyAlignment="1">
      <alignment horizontal="left" vertical="center" wrapText="1" indent="2"/>
    </xf>
    <xf numFmtId="14" fontId="21" fillId="9" borderId="0" xfId="9" applyNumberFormat="1" applyFont="1" applyFill="1" applyAlignment="1">
      <alignment horizontal="center" vertical="center" wrapText="1"/>
    </xf>
    <xf numFmtId="14" fontId="15" fillId="3" borderId="0" xfId="8" applyNumberFormat="1" applyFont="1" applyFill="1" applyAlignment="1">
      <alignment horizontal="center" vertical="center" wrapText="1"/>
    </xf>
    <xf numFmtId="0" fontId="14" fillId="3" borderId="0" xfId="8" applyFont="1" applyFill="1" applyAlignment="1">
      <alignment horizontal="center" vertical="center" wrapText="1"/>
    </xf>
    <xf numFmtId="2" fontId="15" fillId="3" borderId="0" xfId="8" applyNumberFormat="1" applyFont="1" applyFill="1" applyAlignment="1">
      <alignment horizontal="center" vertical="center" wrapText="1"/>
    </xf>
    <xf numFmtId="14" fontId="21" fillId="10" borderId="19" xfId="3" applyNumberFormat="1" applyFont="1" applyFill="1" applyBorder="1" applyAlignment="1">
      <alignment horizontal="center" vertical="center" wrapText="1"/>
    </xf>
    <xf numFmtId="0" fontId="14" fillId="3" borderId="15" xfId="3" applyFont="1" applyFill="1" applyBorder="1" applyAlignment="1">
      <alignment horizontal="center" vertical="center"/>
    </xf>
    <xf numFmtId="0" fontId="14" fillId="3" borderId="3" xfId="3" applyFont="1" applyFill="1" applyBorder="1" applyAlignment="1">
      <alignment horizontal="center" vertical="center"/>
    </xf>
    <xf numFmtId="0" fontId="14" fillId="3" borderId="3" xfId="3" applyFont="1" applyFill="1" applyBorder="1" applyAlignment="1">
      <alignment horizontal="left" vertical="center" wrapText="1" indent="2"/>
    </xf>
    <xf numFmtId="0" fontId="14" fillId="3" borderId="13" xfId="3" applyFont="1" applyFill="1" applyBorder="1" applyAlignment="1">
      <alignment horizontal="center" vertical="center"/>
    </xf>
    <xf numFmtId="0" fontId="14" fillId="3" borderId="12" xfId="3" applyFont="1" applyFill="1" applyBorder="1" applyAlignment="1">
      <alignment horizontal="center" vertical="center"/>
    </xf>
    <xf numFmtId="0" fontId="14" fillId="3" borderId="12" xfId="3" applyFont="1" applyFill="1" applyBorder="1" applyAlignment="1">
      <alignment horizontal="left" vertical="center" wrapText="1" indent="2"/>
    </xf>
    <xf numFmtId="0" fontId="5" fillId="4" borderId="9" xfId="8" applyFont="1" applyFill="1" applyBorder="1" applyAlignment="1">
      <alignment horizontal="center"/>
    </xf>
    <xf numFmtId="0" fontId="5" fillId="4" borderId="0" xfId="8" applyFont="1" applyFill="1" applyAlignment="1">
      <alignment horizontal="center"/>
    </xf>
    <xf numFmtId="0" fontId="4" fillId="0" borderId="0" xfId="11"/>
    <xf numFmtId="0" fontId="37" fillId="0" borderId="0" xfId="11" applyFont="1" applyAlignment="1">
      <alignment horizontal="right" vertical="center"/>
    </xf>
    <xf numFmtId="14" fontId="37" fillId="0" borderId="0" xfId="11" applyNumberFormat="1" applyFont="1" applyAlignment="1">
      <alignment horizontal="left" vertical="center"/>
    </xf>
    <xf numFmtId="0" fontId="37" fillId="0" borderId="0" xfId="11" applyFont="1" applyAlignment="1">
      <alignment horizontal="left" vertical="center"/>
    </xf>
    <xf numFmtId="0" fontId="38" fillId="11" borderId="0" xfId="10" applyFont="1" applyAlignment="1">
      <alignment horizontal="center" vertical="center"/>
    </xf>
    <xf numFmtId="0" fontId="39" fillId="0" borderId="0" xfId="11" applyFont="1" applyAlignment="1">
      <alignment horizontal="left" vertical="center"/>
    </xf>
    <xf numFmtId="49" fontId="4" fillId="0" borderId="0" xfId="11" applyNumberFormat="1"/>
    <xf numFmtId="22" fontId="4" fillId="0" borderId="0" xfId="11" applyNumberFormat="1"/>
    <xf numFmtId="14" fontId="35" fillId="0" borderId="0" xfId="6" applyNumberFormat="1" applyAlignment="1">
      <alignment horizontal="center" vertical="center"/>
    </xf>
    <xf numFmtId="0" fontId="19" fillId="0" borderId="0" xfId="6" applyFont="1" applyAlignment="1">
      <alignment horizontal="center" vertical="center"/>
    </xf>
    <xf numFmtId="14" fontId="20" fillId="0" borderId="0" xfId="6" applyNumberFormat="1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4" fillId="3" borderId="18" xfId="8" applyFont="1" applyFill="1" applyBorder="1" applyAlignment="1">
      <alignment horizontal="center" vertical="center" wrapText="1"/>
    </xf>
    <xf numFmtId="14" fontId="15" fillId="3" borderId="15" xfId="8" applyNumberFormat="1" applyFont="1" applyFill="1" applyBorder="1" applyAlignment="1">
      <alignment horizontal="center" vertical="center" wrapText="1"/>
    </xf>
    <xf numFmtId="0" fontId="14" fillId="3" borderId="23" xfId="8" applyFont="1" applyFill="1" applyBorder="1" applyAlignment="1">
      <alignment horizontal="center" vertical="center" wrapText="1"/>
    </xf>
    <xf numFmtId="14" fontId="15" fillId="3" borderId="3" xfId="8" applyNumberFormat="1" applyFont="1" applyFill="1" applyBorder="1" applyAlignment="1">
      <alignment horizontal="center" vertical="center" wrapText="1"/>
    </xf>
    <xf numFmtId="0" fontId="14" fillId="3" borderId="7" xfId="8" applyFont="1" applyFill="1" applyBorder="1" applyAlignment="1">
      <alignment horizontal="center" vertical="center" wrapText="1"/>
    </xf>
    <xf numFmtId="0" fontId="14" fillId="3" borderId="24" xfId="8" applyFont="1" applyFill="1" applyBorder="1" applyAlignment="1">
      <alignment horizontal="center" vertical="center" wrapText="1"/>
    </xf>
    <xf numFmtId="2" fontId="15" fillId="3" borderId="24" xfId="8" applyNumberFormat="1" applyFont="1" applyFill="1" applyBorder="1" applyAlignment="1">
      <alignment horizontal="center" vertical="center" wrapText="1"/>
    </xf>
    <xf numFmtId="0" fontId="15" fillId="3" borderId="24" xfId="8" applyNumberFormat="1" applyFont="1" applyFill="1" applyBorder="1" applyAlignment="1">
      <alignment horizontal="center" vertical="center" wrapText="1"/>
    </xf>
    <xf numFmtId="0" fontId="15" fillId="3" borderId="3" xfId="8" applyNumberFormat="1" applyFont="1" applyFill="1" applyBorder="1" applyAlignment="1">
      <alignment horizontal="center" vertical="center" wrapText="1"/>
    </xf>
    <xf numFmtId="14" fontId="3" fillId="4" borderId="10" xfId="4" applyNumberFormat="1" applyFont="1" applyFill="1" applyBorder="1"/>
    <xf numFmtId="14" fontId="3" fillId="4" borderId="9" xfId="4" applyNumberFormat="1" applyFont="1" applyFill="1" applyBorder="1"/>
    <xf numFmtId="14" fontId="3" fillId="4" borderId="8" xfId="4" applyNumberFormat="1" applyFont="1" applyFill="1" applyBorder="1" applyAlignment="1">
      <alignment horizontal="right"/>
    </xf>
    <xf numFmtId="0" fontId="9" fillId="4" borderId="9" xfId="4" applyFill="1" applyBorder="1" applyAlignment="1">
      <alignment horizontal="center"/>
    </xf>
    <xf numFmtId="14" fontId="9" fillId="4" borderId="8" xfId="4" applyNumberFormat="1" applyFill="1" applyBorder="1"/>
    <xf numFmtId="14" fontId="3" fillId="4" borderId="7" xfId="4" applyNumberFormat="1" applyFont="1" applyFill="1" applyBorder="1"/>
    <xf numFmtId="14" fontId="3" fillId="4" borderId="0" xfId="4" applyNumberFormat="1" applyFont="1" applyFill="1"/>
    <xf numFmtId="14" fontId="3" fillId="4" borderId="6" xfId="4" applyNumberFormat="1" applyFont="1" applyFill="1" applyBorder="1"/>
    <xf numFmtId="0" fontId="9" fillId="4" borderId="0" xfId="4" applyFill="1" applyAlignment="1">
      <alignment horizontal="center"/>
    </xf>
    <xf numFmtId="14" fontId="9" fillId="4" borderId="6" xfId="4" applyNumberFormat="1" applyFill="1" applyBorder="1"/>
    <xf numFmtId="14" fontId="3" fillId="4" borderId="5" xfId="4" applyNumberFormat="1" applyFont="1" applyFill="1" applyBorder="1"/>
    <xf numFmtId="14" fontId="3" fillId="4" borderId="4" xfId="4" applyNumberFormat="1" applyFont="1" applyFill="1" applyBorder="1"/>
    <xf numFmtId="14" fontId="3" fillId="4" borderId="26" xfId="4" applyNumberFormat="1" applyFont="1" applyFill="1" applyBorder="1"/>
    <xf numFmtId="0" fontId="9" fillId="4" borderId="4" xfId="4" applyFill="1" applyBorder="1" applyAlignment="1">
      <alignment horizontal="center"/>
    </xf>
    <xf numFmtId="0" fontId="17" fillId="2" borderId="2" xfId="8" applyFont="1" applyFill="1" applyBorder="1" applyAlignment="1">
      <alignment horizontal="center" vertical="center" wrapText="1"/>
    </xf>
    <xf numFmtId="14" fontId="15" fillId="3" borderId="0" xfId="8" applyNumberFormat="1" applyFont="1" applyFill="1" applyBorder="1" applyAlignment="1">
      <alignment horizontal="center" vertical="center" wrapText="1"/>
    </xf>
    <xf numFmtId="14" fontId="15" fillId="3" borderId="22" xfId="8" applyNumberFormat="1" applyFont="1" applyFill="1" applyBorder="1" applyAlignment="1">
      <alignment horizontal="center" vertical="center" wrapText="1"/>
    </xf>
    <xf numFmtId="0" fontId="6" fillId="5" borderId="9" xfId="8" applyFill="1" applyBorder="1" applyAlignment="1">
      <alignment horizontal="center"/>
    </xf>
    <xf numFmtId="0" fontId="14" fillId="3" borderId="27" xfId="3" applyFont="1" applyFill="1" applyBorder="1" applyAlignment="1">
      <alignment horizontal="center" vertical="center"/>
    </xf>
    <xf numFmtId="0" fontId="14" fillId="3" borderId="24" xfId="3" applyFont="1" applyFill="1" applyBorder="1" applyAlignment="1">
      <alignment horizontal="center" vertical="center"/>
    </xf>
    <xf numFmtId="0" fontId="14" fillId="3" borderId="24" xfId="3" applyFont="1" applyFill="1" applyBorder="1" applyAlignment="1">
      <alignment horizontal="left" vertical="center" wrapText="1" indent="2"/>
    </xf>
    <xf numFmtId="14" fontId="21" fillId="10" borderId="28" xfId="3" applyNumberFormat="1" applyFont="1" applyFill="1" applyBorder="1" applyAlignment="1">
      <alignment horizontal="center" vertical="center" wrapText="1"/>
    </xf>
    <xf numFmtId="14" fontId="15" fillId="3" borderId="29" xfId="8" applyNumberFormat="1" applyFont="1" applyFill="1" applyBorder="1" applyAlignment="1">
      <alignment horizontal="center" vertical="center" wrapText="1"/>
    </xf>
    <xf numFmtId="14" fontId="14" fillId="3" borderId="27" xfId="8" applyNumberFormat="1" applyFont="1" applyFill="1" applyBorder="1" applyAlignment="1">
      <alignment horizontal="center" vertical="center" wrapText="1"/>
    </xf>
    <xf numFmtId="0" fontId="15" fillId="3" borderId="24" xfId="8" applyFont="1" applyFill="1" applyBorder="1" applyAlignment="1">
      <alignment horizontal="center" vertical="center" wrapText="1"/>
    </xf>
    <xf numFmtId="14" fontId="15" fillId="3" borderId="24" xfId="8" applyNumberFormat="1" applyFont="1" applyFill="1" applyBorder="1" applyAlignment="1">
      <alignment horizontal="center" vertical="center" wrapText="1"/>
    </xf>
    <xf numFmtId="14" fontId="15" fillId="3" borderId="28" xfId="8" applyNumberFormat="1" applyFont="1" applyFill="1" applyBorder="1" applyAlignment="1">
      <alignment horizontal="center" vertical="center" wrapText="1"/>
    </xf>
    <xf numFmtId="0" fontId="14" fillId="3" borderId="30" xfId="8" applyFont="1" applyFill="1" applyBorder="1" applyAlignment="1">
      <alignment horizontal="center" vertical="center" wrapText="1"/>
    </xf>
    <xf numFmtId="14" fontId="14" fillId="3" borderId="24" xfId="8" applyNumberFormat="1" applyFont="1" applyFill="1" applyBorder="1" applyAlignment="1">
      <alignment horizontal="center" vertical="center" wrapText="1"/>
    </xf>
    <xf numFmtId="0" fontId="17" fillId="2" borderId="1" xfId="8" applyFont="1" applyFill="1" applyBorder="1" applyAlignment="1">
      <alignment horizontal="center" vertical="center"/>
    </xf>
    <xf numFmtId="0" fontId="17" fillId="2" borderId="25" xfId="8" applyFont="1" applyFill="1" applyBorder="1" applyAlignment="1">
      <alignment horizontal="center" vertical="center"/>
    </xf>
    <xf numFmtId="0" fontId="17" fillId="2" borderId="25" xfId="8" applyFont="1" applyFill="1" applyBorder="1" applyAlignment="1">
      <alignment horizontal="center" vertical="center" wrapText="1"/>
    </xf>
    <xf numFmtId="0" fontId="17" fillId="2" borderId="31" xfId="4" applyFont="1" applyFill="1" applyBorder="1" applyAlignment="1">
      <alignment horizontal="center" vertical="center" wrapText="1"/>
    </xf>
    <xf numFmtId="0" fontId="17" fillId="2" borderId="32" xfId="4" applyFont="1" applyFill="1" applyBorder="1" applyAlignment="1">
      <alignment horizontal="center" vertical="center" wrapText="1"/>
    </xf>
    <xf numFmtId="0" fontId="17" fillId="2" borderId="14" xfId="4" applyFont="1" applyFill="1" applyBorder="1" applyAlignment="1">
      <alignment horizontal="center" vertical="center" wrapText="1"/>
    </xf>
    <xf numFmtId="0" fontId="18" fillId="12" borderId="33" xfId="0" applyFont="1" applyFill="1" applyBorder="1"/>
    <xf numFmtId="0" fontId="18" fillId="12" borderId="34" xfId="0" applyFont="1" applyFill="1" applyBorder="1"/>
    <xf numFmtId="0" fontId="18" fillId="12" borderId="35" xfId="0" applyFont="1" applyFill="1" applyBorder="1"/>
    <xf numFmtId="0" fontId="0" fillId="0" borderId="0" xfId="0" applyFill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indent="1"/>
    </xf>
    <xf numFmtId="0" fontId="24" fillId="0" borderId="0" xfId="0" applyFont="1" applyAlignment="1">
      <alignment horizontal="center"/>
    </xf>
    <xf numFmtId="164" fontId="0" fillId="0" borderId="0" xfId="0" applyNumberFormat="1"/>
    <xf numFmtId="0" fontId="0" fillId="0" borderId="0" xfId="0" applyNumberFormat="1" applyFill="1"/>
    <xf numFmtId="2" fontId="0" fillId="0" borderId="0" xfId="0" applyNumberFormat="1" applyFill="1"/>
    <xf numFmtId="0" fontId="41" fillId="0" borderId="0" xfId="14"/>
    <xf numFmtId="0" fontId="12" fillId="0" borderId="0" xfId="1" applyNumberFormat="1" applyFill="1" applyAlignment="1">
      <alignment horizontal="center"/>
    </xf>
    <xf numFmtId="14" fontId="20" fillId="0" borderId="0" xfId="0" applyNumberFormat="1" applyFont="1" applyAlignment="1">
      <alignment horizontal="center"/>
    </xf>
    <xf numFmtId="14" fontId="19" fillId="0" borderId="0" xfId="6" applyNumberFormat="1" applyFont="1" applyFill="1" applyAlignment="1">
      <alignment horizontal="center"/>
    </xf>
    <xf numFmtId="0" fontId="20" fillId="0" borderId="0" xfId="6" applyFont="1" applyAlignment="1">
      <alignment horizontal="center"/>
    </xf>
    <xf numFmtId="0" fontId="0" fillId="0" borderId="0" xfId="0" applyNumberFormat="1" applyAlignment="1">
      <alignment horizontal="center" vertical="center"/>
    </xf>
    <xf numFmtId="0" fontId="12" fillId="0" borderId="0" xfId="1" applyNumberFormat="1" applyFill="1" applyAlignment="1">
      <alignment horizontal="center" vertical="center"/>
    </xf>
    <xf numFmtId="165" fontId="33" fillId="6" borderId="0" xfId="5" applyNumberFormat="1" applyFont="1" applyFill="1" applyBorder="1" applyAlignment="1">
      <alignment horizontal="center" vertical="center"/>
    </xf>
    <xf numFmtId="166" fontId="33" fillId="6" borderId="0" xfId="5" applyNumberFormat="1" applyFont="1" applyFill="1" applyBorder="1" applyAlignment="1">
      <alignment horizontal="center" vertical="center"/>
    </xf>
    <xf numFmtId="0" fontId="33" fillId="0" borderId="0" xfId="5" applyFont="1" applyFill="1" applyAlignment="1">
      <alignment horizontal="center" vertical="center"/>
    </xf>
    <xf numFmtId="14" fontId="33" fillId="0" borderId="0" xfId="5" applyNumberFormat="1" applyFont="1" applyFill="1" applyAlignment="1">
      <alignment horizontal="center" vertical="center"/>
    </xf>
    <xf numFmtId="2" fontId="0" fillId="0" borderId="0" xfId="0" applyNumberFormat="1"/>
    <xf numFmtId="2" fontId="8" fillId="0" borderId="0" xfId="5" applyNumberFormat="1"/>
    <xf numFmtId="0" fontId="0" fillId="0" borderId="0" xfId="0" applyNumberFormat="1" applyAlignment="1">
      <alignment horizontal="center"/>
    </xf>
    <xf numFmtId="0" fontId="42" fillId="0" borderId="0" xfId="6" applyFont="1" applyAlignment="1">
      <alignment horizontal="center"/>
    </xf>
    <xf numFmtId="14" fontId="43" fillId="0" borderId="0" xfId="0" applyNumberFormat="1" applyFont="1" applyAlignment="1">
      <alignment horizontal="center"/>
    </xf>
    <xf numFmtId="0" fontId="17" fillId="7" borderId="0" xfId="11" applyFont="1" applyFill="1" applyAlignment="1">
      <alignment horizontal="center" vertical="center" wrapText="1"/>
    </xf>
    <xf numFmtId="14" fontId="19" fillId="0" borderId="0" xfId="6" applyNumberFormat="1" applyFont="1" applyAlignment="1">
      <alignment horizontal="center"/>
    </xf>
    <xf numFmtId="0" fontId="1" fillId="0" borderId="0" xfId="11" applyFont="1"/>
    <xf numFmtId="165" fontId="33" fillId="0" borderId="0" xfId="5" applyNumberFormat="1" applyFont="1" applyFill="1" applyBorder="1" applyAlignment="1">
      <alignment horizontal="center" vertical="center"/>
    </xf>
    <xf numFmtId="166" fontId="33" fillId="0" borderId="0" xfId="5" applyNumberFormat="1" applyFont="1" applyFill="1" applyBorder="1" applyAlignment="1">
      <alignment horizontal="center" vertical="center"/>
    </xf>
    <xf numFmtId="0" fontId="34" fillId="0" borderId="0" xfId="5" applyFont="1" applyFill="1" applyAlignment="1">
      <alignment horizontal="center" vertical="center"/>
    </xf>
    <xf numFmtId="14" fontId="0" fillId="0" borderId="0" xfId="0" applyNumberFormat="1" applyAlignment="1">
      <alignment horizontal="left"/>
    </xf>
    <xf numFmtId="0" fontId="4" fillId="0" borderId="0" xfId="11" applyFill="1"/>
    <xf numFmtId="22" fontId="4" fillId="0" borderId="0" xfId="11" applyNumberFormat="1" applyFill="1"/>
    <xf numFmtId="49" fontId="4" fillId="0" borderId="0" xfId="11" applyNumberFormat="1" applyFill="1"/>
    <xf numFmtId="0" fontId="4" fillId="0" borderId="0" xfId="11" applyNumberFormat="1" applyFill="1"/>
    <xf numFmtId="0" fontId="19" fillId="0" borderId="0" xfId="0" applyFont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 vertical="center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18" fillId="7" borderId="0" xfId="0" applyFont="1" applyFill="1" applyBorder="1" applyAlignment="1">
      <alignment horizontal="right" vertical="center" wrapText="1"/>
    </xf>
    <xf numFmtId="0" fontId="0" fillId="0" borderId="0" xfId="0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4" fontId="0" fillId="0" borderId="0" xfId="0" applyNumberFormat="1" applyAlignment="1">
      <alignment horizontal="right"/>
    </xf>
    <xf numFmtId="14" fontId="0" fillId="0" borderId="0" xfId="0" applyNumberFormat="1" applyAlignment="1">
      <alignment horizontal="right" vertical="center"/>
    </xf>
    <xf numFmtId="14" fontId="22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right"/>
    </xf>
    <xf numFmtId="0" fontId="35" fillId="0" borderId="0" xfId="6" applyNumberFormat="1" applyAlignment="1">
      <alignment horizontal="center" vertical="center"/>
    </xf>
    <xf numFmtId="14" fontId="20" fillId="0" borderId="0" xfId="6" applyNumberFormat="1" applyFont="1" applyAlignment="1">
      <alignment horizontal="center" vertical="center"/>
    </xf>
    <xf numFmtId="14" fontId="20" fillId="0" borderId="0" xfId="1" applyNumberFormat="1" applyFont="1" applyFill="1" applyAlignment="1">
      <alignment horizontal="center" vertical="center"/>
    </xf>
    <xf numFmtId="0" fontId="4" fillId="0" borderId="0" xfId="11" applyNumberFormat="1" applyAlignment="1">
      <alignment horizontal="left" vertical="center"/>
    </xf>
    <xf numFmtId="0" fontId="35" fillId="0" borderId="0" xfId="6" applyAlignment="1">
      <alignment horizontal="left" vertical="center"/>
    </xf>
    <xf numFmtId="2" fontId="0" fillId="0" borderId="0" xfId="0" applyNumberFormat="1" applyAlignment="1">
      <alignment horizontal="center" vertical="center"/>
    </xf>
    <xf numFmtId="2" fontId="35" fillId="0" borderId="0" xfId="6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35" fillId="0" borderId="0" xfId="6" applyNumberFormat="1" applyAlignment="1">
      <alignment horizontal="center" vertical="center"/>
    </xf>
    <xf numFmtId="0" fontId="4" fillId="0" borderId="0" xfId="11" applyAlignment="1">
      <alignment horizontal="right"/>
    </xf>
    <xf numFmtId="0" fontId="35" fillId="0" borderId="0" xfId="6" applyAlignment="1">
      <alignment horizontal="right" vertical="center"/>
    </xf>
    <xf numFmtId="0" fontId="35" fillId="0" borderId="0" xfId="6" applyAlignment="1">
      <alignment horizontal="right"/>
    </xf>
    <xf numFmtId="14" fontId="35" fillId="0" borderId="0" xfId="6" applyNumberFormat="1" applyAlignment="1">
      <alignment horizontal="right" vertical="center"/>
    </xf>
    <xf numFmtId="14" fontId="35" fillId="0" borderId="0" xfId="6" applyNumberFormat="1" applyAlignment="1">
      <alignment horizontal="right" vertical="center"/>
    </xf>
    <xf numFmtId="0" fontId="35" fillId="0" borderId="0" xfId="6" applyNumberFormat="1"/>
    <xf numFmtId="0" fontId="35" fillId="0" borderId="0" xfId="6" applyNumberFormat="1" applyAlignment="1">
      <alignment horizontal="center"/>
    </xf>
    <xf numFmtId="2" fontId="35" fillId="0" borderId="0" xfId="6" applyNumberFormat="1" applyAlignment="1">
      <alignment horizontal="center"/>
    </xf>
    <xf numFmtId="14" fontId="20" fillId="0" borderId="0" xfId="6" applyNumberFormat="1" applyFont="1" applyAlignment="1">
      <alignment horizontal="center"/>
    </xf>
    <xf numFmtId="0" fontId="18" fillId="7" borderId="16" xfId="6" applyFont="1" applyFill="1" applyBorder="1" applyAlignment="1">
      <alignment horizontal="left" vertical="center" wrapText="1"/>
    </xf>
    <xf numFmtId="0" fontId="18" fillId="7" borderId="0" xfId="6" applyFont="1" applyFill="1" applyAlignment="1">
      <alignment horizontal="left" vertical="center" wrapText="1"/>
    </xf>
    <xf numFmtId="0" fontId="35" fillId="0" borderId="0" xfId="6" applyNumberFormat="1" applyAlignment="1">
      <alignment horizontal="left"/>
    </xf>
    <xf numFmtId="0" fontId="35" fillId="0" borderId="0" xfId="6" applyAlignment="1">
      <alignment horizontal="left"/>
    </xf>
    <xf numFmtId="0" fontId="35" fillId="0" borderId="0" xfId="6" applyNumberFormat="1" applyFill="1" applyAlignment="1">
      <alignment horizontal="right"/>
    </xf>
    <xf numFmtId="2" fontId="0" fillId="0" borderId="0" xfId="0" applyNumberFormat="1" applyAlignment="1">
      <alignment horizontal="center"/>
    </xf>
    <xf numFmtId="14" fontId="35" fillId="0" borderId="0" xfId="6" applyNumberFormat="1" applyAlignment="1">
      <alignment horizontal="right"/>
    </xf>
    <xf numFmtId="14" fontId="19" fillId="0" borderId="0" xfId="0" applyNumberFormat="1" applyFont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6" fillId="5" borderId="1" xfId="8" applyFill="1" applyBorder="1" applyAlignment="1">
      <alignment horizontal="center"/>
    </xf>
    <xf numFmtId="0" fontId="6" fillId="5" borderId="2" xfId="8" applyFill="1" applyBorder="1" applyAlignment="1">
      <alignment horizontal="center"/>
    </xf>
    <xf numFmtId="0" fontId="6" fillId="5" borderId="11" xfId="8" applyFill="1" applyBorder="1" applyAlignment="1">
      <alignment horizontal="center"/>
    </xf>
    <xf numFmtId="0" fontId="6" fillId="4" borderId="1" xfId="8" applyFill="1" applyBorder="1" applyAlignment="1">
      <alignment horizontal="center"/>
    </xf>
    <xf numFmtId="0" fontId="6" fillId="4" borderId="2" xfId="8" applyFill="1" applyBorder="1" applyAlignment="1">
      <alignment horizontal="center"/>
    </xf>
    <xf numFmtId="0" fontId="6" fillId="4" borderId="11" xfId="8" applyFill="1" applyBorder="1" applyAlignment="1">
      <alignment horizontal="center"/>
    </xf>
    <xf numFmtId="0" fontId="6" fillId="8" borderId="1" xfId="8" applyFill="1" applyBorder="1" applyAlignment="1">
      <alignment horizontal="center"/>
    </xf>
    <xf numFmtId="0" fontId="6" fillId="8" borderId="2" xfId="8" applyFill="1" applyBorder="1" applyAlignment="1">
      <alignment horizontal="center"/>
    </xf>
    <xf numFmtId="0" fontId="6" fillId="8" borderId="11" xfId="8" applyFill="1" applyBorder="1" applyAlignment="1">
      <alignment horizontal="center"/>
    </xf>
  </cellXfs>
  <cellStyles count="15">
    <cellStyle name="Hiperłącze" xfId="14" builtinId="8"/>
    <cellStyle name="Hiperłącze 2" xfId="12" xr:uid="{00000000-0005-0000-0000-000001000000}"/>
    <cellStyle name="Normalny" xfId="0" builtinId="0"/>
    <cellStyle name="Normalny 2" xfId="1" xr:uid="{00000000-0005-0000-0000-000003000000}"/>
    <cellStyle name="Normalny 2 2" xfId="6" xr:uid="{00000000-0005-0000-0000-000004000000}"/>
    <cellStyle name="Normalny 3" xfId="2" xr:uid="{00000000-0005-0000-0000-000005000000}"/>
    <cellStyle name="Normalny 3 2" xfId="3" xr:uid="{00000000-0005-0000-0000-000006000000}"/>
    <cellStyle name="Normalny 3 2 2" xfId="4" xr:uid="{00000000-0005-0000-0000-000007000000}"/>
    <cellStyle name="Normalny 3 2 2 2" xfId="8" xr:uid="{00000000-0005-0000-0000-000008000000}"/>
    <cellStyle name="Normalny 3 2 3" xfId="9" xr:uid="{00000000-0005-0000-0000-000009000000}"/>
    <cellStyle name="Normalny 4" xfId="5" xr:uid="{00000000-0005-0000-0000-00000A000000}"/>
    <cellStyle name="Normalny 5" xfId="7" xr:uid="{00000000-0005-0000-0000-00000B000000}"/>
    <cellStyle name="Normalny 6" xfId="11" xr:uid="{00000000-0005-0000-0000-00000C000000}"/>
    <cellStyle name="Normalny 7" xfId="13" xr:uid="{00000000-0005-0000-0000-00000D000000}"/>
    <cellStyle name="Zły" xfId="10" builtinId="27"/>
  </cellStyles>
  <dxfs count="2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numFmt numFmtId="19" formatCode="dd/mm/yyyy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8EA9DB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numFmt numFmtId="19" formatCode="dd/mm/yyyy"/>
    </dxf>
    <dxf>
      <numFmt numFmtId="2" formatCode="0.0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border outline="0">
        <top style="thin">
          <color rgb="FF8EA9DB"/>
        </top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yyyy/mm/dd"/>
      <alignment horizontal="right" vertical="bottom" textRotation="0" wrapText="0" indent="0" justifyLastLine="0" shrinkToFit="0" readingOrder="0"/>
    </dxf>
    <dxf>
      <numFmt numFmtId="167" formatCode="yyyy/mm/dd"/>
      <alignment horizontal="right" vertical="bottom" textRotation="0" wrapText="0" indent="0" justifyLastLine="0" shrinkToFit="0" readingOrder="0"/>
    </dxf>
    <dxf>
      <numFmt numFmtId="167" formatCode="yyyy/mm/dd"/>
      <alignment horizontal="right" vertical="bottom" textRotation="0" wrapText="0" indent="0" justifyLastLine="0" shrinkToFit="0" readingOrder="0"/>
    </dxf>
    <dxf>
      <numFmt numFmtId="2" formatCode="0.00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border outline="0">
        <top style="thin">
          <color rgb="FF8EA9DB"/>
        </top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font>
        <color rgb="FFFF0000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alignment horizontal="center" vertical="center" textRotation="0" wrapText="0" indent="0" justifyLastLine="0" shrinkToFit="0" readingOrder="0"/>
    </dxf>
    <dxf>
      <numFmt numFmtId="167" formatCode="yyyy/mm/dd"/>
      <alignment horizontal="center" vertical="center" textRotation="0" wrapText="0" indent="0" justifyLastLine="0" shrinkToFit="0" readingOrder="0"/>
    </dxf>
    <dxf>
      <numFmt numFmtId="167" formatCode="yyyy/mm/dd"/>
      <alignment horizontal="right" vertical="center" textRotation="0" wrapText="0" indent="0" justifyLastLine="0" shrinkToFit="0" readingOrder="0"/>
    </dxf>
    <dxf>
      <numFmt numFmtId="167" formatCode="yyyy/mm/dd"/>
      <alignment horizontal="right" vertical="center" textRotation="0" wrapText="0" indent="0" justifyLastLine="0" shrinkToFit="0" readingOrder="0"/>
    </dxf>
    <dxf>
      <numFmt numFmtId="167" formatCode="yyyy/mm/dd"/>
      <alignment horizontal="right" vertical="center" textRotation="0" wrapText="0" indent="0" justifyLastLine="0" shrinkToFit="0" readingOrder="0"/>
    </dxf>
    <dxf>
      <numFmt numFmtId="2" formatCode="0.00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E26B0A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E26B0A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3" formatCode="#,##0"/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E26B0A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3" formatCode="#,##0"/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E26B0A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E26B0A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3" formatCode="#,##0"/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E26B0A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3" formatCode="#,##0"/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E26B0A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E26B0A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E26B0A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E26B0A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E26B0A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E26B0A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E26B0A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E26B0A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E26B0A"/>
        </top>
        <bottom/>
      </border>
    </dxf>
    <dxf>
      <font>
        <sz val="10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E26B0A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E26B0A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19" formatCode="dd/mm/yyyy"/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E26B0A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E26B0A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19" formatCode="dd/mm/yyyy"/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E26B0A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166" formatCode="m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E26B0A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165" formatCode="ddd"/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rgb="FFE26B0A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2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1" indent="0" justifyLastLine="0" shrinkToFit="0" readingOrder="0"/>
    </dxf>
    <dxf>
      <fill>
        <patternFill>
          <bgColor theme="9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theme="9" tint="-0.499984740745262"/>
      </font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4" tint="0.79998168889431442"/>
        </patternFill>
      </fill>
    </dxf>
    <dxf>
      <fill>
        <patternFill>
          <bgColor theme="9" tint="0.39994506668294322"/>
        </patternFill>
      </fill>
    </dxf>
    <dxf>
      <numFmt numFmtId="164" formatCode="0.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4" formatCode="0.0"/>
    </dxf>
    <dxf>
      <numFmt numFmtId="164" formatCode="0.0"/>
    </dxf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168" formatCode="yyyy/mm/dd\ hh:mm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font>
        <sz val="11"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1" defaultTableStyle="TableStyleMedium2" defaultPivotStyle="PivotStyleLight16">
    <tableStyle name="SlicerStyleLight1 2" pivot="0" table="0" count="10" xr9:uid="{00000000-0011-0000-FFFF-FFFF00000000}">
      <tableStyleElement type="wholeTable" dxfId="271"/>
      <tableStyleElement type="headerRow" dxfId="270"/>
    </tableStyle>
  </tableStyles>
  <extLst>
    <ext xmlns:x14="http://schemas.microsoft.com/office/spreadsheetml/2009/9/main" uri="{46F421CA-312F-682f-3DD2-61675219B42D}">
      <x14:dxfs count="8">
        <dxf>
          <font>
            <sz val="10"/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0"/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10"/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7/relationships/slicerCache" Target="slicerCaches/slicerCache5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7/relationships/slicerCache" Target="slicerCaches/slicerCache4.xml"/><Relationship Id="rId38" Type="http://schemas.microsoft.com/office/2007/relationships/slicerCache" Target="slicerCaches/slicerCache9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1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3.xml"/><Relationship Id="rId37" Type="http://schemas.microsoft.com/office/2007/relationships/slicerCache" Target="slicerCaches/slicerCache8.xml"/><Relationship Id="rId40" Type="http://schemas.openxmlformats.org/officeDocument/2006/relationships/connections" Target="connections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7/relationships/slicerCache" Target="slicerCaches/slicerCache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2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microsoft.com/office/2007/relationships/slicerCache" Target="slicerCaches/slicerCache1.xml"/><Relationship Id="rId35" Type="http://schemas.microsoft.com/office/2007/relationships/slicerCache" Target="slicerCaches/slicerCache6.xml"/><Relationship Id="rId43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[267 - Małkinia - elementy zewnętrzne.xlsm]Raporty!m2_kolowy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Genera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838421214924449E-2"/>
          <c:y val="0.20021770276085582"/>
          <c:w val="0.8643231575701511"/>
          <c:h val="0.71651300399618212"/>
        </c:manualLayout>
      </c:layout>
      <c:pieChart>
        <c:varyColors val="1"/>
        <c:ser>
          <c:idx val="0"/>
          <c:order val="0"/>
          <c:tx>
            <c:strRef>
              <c:f>Raporty!$AD$4</c:f>
              <c:strCache>
                <c:ptCount val="1"/>
                <c:pt idx="0">
                  <c:v>Suma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6F5-4742-9A38-814114641B7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C2E-4855-9EC1-D1B944C3EF1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Raporty!$AC$5:$AC$7</c:f>
              <c:strCache>
                <c:ptCount val="2"/>
                <c:pt idx="0">
                  <c:v>NIEWYKONANE</c:v>
                </c:pt>
                <c:pt idx="1">
                  <c:v>WYKONANE</c:v>
                </c:pt>
              </c:strCache>
            </c:strRef>
          </c:cat>
          <c:val>
            <c:numRef>
              <c:f>Raporty!$AD$5:$AD$7</c:f>
              <c:numCache>
                <c:formatCode>0.0</c:formatCode>
                <c:ptCount val="2"/>
                <c:pt idx="0">
                  <c:v>2419.585119866852</c:v>
                </c:pt>
                <c:pt idx="1">
                  <c:v>119.79764330830606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554-42C9-A78C-53E9CE6889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2997859588681915"/>
          <c:y val="4.5536814502618865E-2"/>
          <c:w val="0.4258847970384963"/>
          <c:h val="8.53821247884012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[267 - Małkinia - elementy zewnętrzne.xlsm]Raporty!m2_dziennie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Raporty!$AI$4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Raporty!$AH$5:$AH$10</c:f>
              <c:strCache>
                <c:ptCount val="5"/>
                <c:pt idx="0">
                  <c:v>(puste)</c:v>
                </c:pt>
                <c:pt idx="1">
                  <c:v>06.11.2021</c:v>
                </c:pt>
                <c:pt idx="2">
                  <c:v>29.11.2021</c:v>
                </c:pt>
                <c:pt idx="3">
                  <c:v>05.11.2021</c:v>
                </c:pt>
                <c:pt idx="4">
                  <c:v>08.11.2021</c:v>
                </c:pt>
              </c:strCache>
            </c:strRef>
          </c:cat>
          <c:val>
            <c:numRef>
              <c:f>Raporty!$AI$5:$AI$10</c:f>
              <c:numCache>
                <c:formatCode>0.0</c:formatCode>
                <c:ptCount val="5"/>
                <c:pt idx="0">
                  <c:v>2419.585119866852</c:v>
                </c:pt>
                <c:pt idx="1">
                  <c:v>45.61167710242001</c:v>
                </c:pt>
                <c:pt idx="2">
                  <c:v>22.297599801339501</c:v>
                </c:pt>
                <c:pt idx="3">
                  <c:v>34.690776327709088</c:v>
                </c:pt>
                <c:pt idx="4">
                  <c:v>17.19759007683745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0E-4FC7-BE20-C83D407EB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268016"/>
        <c:axId val="185266336"/>
      </c:barChart>
      <c:catAx>
        <c:axId val="18526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5266336"/>
        <c:crosses val="autoZero"/>
        <c:auto val="1"/>
        <c:lblAlgn val="ctr"/>
        <c:lblOffset val="100"/>
        <c:noMultiLvlLbl val="0"/>
      </c:catAx>
      <c:valAx>
        <c:axId val="185266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526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[267 - Małkinia - elementy zewnętrzne.xlsm]Raporty!m2_mc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Raporty!$AM$4</c:f>
              <c:strCache>
                <c:ptCount val="1"/>
                <c:pt idx="0">
                  <c:v>Suma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Raporty!$AL$5:$AL$9</c:f>
              <c:multiLvlStrCache>
                <c:ptCount val="2"/>
                <c:lvl>
                  <c:pt idx="0">
                    <c:v>. </c:v>
                  </c:pt>
                  <c:pt idx="1">
                    <c:v>11. listopad</c:v>
                  </c:pt>
                </c:lvl>
                <c:lvl>
                  <c:pt idx="0">
                    <c:v>(puste)</c:v>
                  </c:pt>
                  <c:pt idx="1">
                    <c:v>2021</c:v>
                  </c:pt>
                </c:lvl>
              </c:multiLvlStrCache>
            </c:multiLvlStrRef>
          </c:cat>
          <c:val>
            <c:numRef>
              <c:f>Raporty!$AM$5:$AM$9</c:f>
              <c:numCache>
                <c:formatCode>0.0</c:formatCode>
                <c:ptCount val="2"/>
                <c:pt idx="0">
                  <c:v>2419.585119866852</c:v>
                </c:pt>
                <c:pt idx="1">
                  <c:v>119.79764330830606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C7-457D-AEE0-BDE6810F2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275296"/>
        <c:axId val="185270256"/>
      </c:barChart>
      <c:catAx>
        <c:axId val="18527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5270256"/>
        <c:crosses val="autoZero"/>
        <c:auto val="1"/>
        <c:lblAlgn val="ctr"/>
        <c:lblOffset val="100"/>
        <c:noMultiLvlLbl val="0"/>
      </c:catAx>
      <c:valAx>
        <c:axId val="18527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5275296"/>
        <c:crosses val="autoZero"/>
        <c:crossBetween val="between"/>
        <c:majorUnit val="1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[267 - Małkinia - elementy zewnętrzne.xlsm]Raporty!ilosc_kolowy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Genera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Genera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Genera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marker>
          <c:symbol val="none"/>
        </c:marker>
        <c:dLbl>
          <c:idx val="0"/>
          <c:numFmt formatCode="Genera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l-PL"/>
            </a:p>
          </c:txPr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l-P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7838421214924449E-2"/>
          <c:y val="0.20021770276085582"/>
          <c:w val="0.8643231575701511"/>
          <c:h val="0.71651300399618212"/>
        </c:manualLayout>
      </c:layout>
      <c:pieChart>
        <c:varyColors val="1"/>
        <c:ser>
          <c:idx val="0"/>
          <c:order val="0"/>
          <c:tx>
            <c:strRef>
              <c:f>Raporty!$AT$4</c:f>
              <c:strCache>
                <c:ptCount val="1"/>
                <c:pt idx="0">
                  <c:v>Suma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l-P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Raporty!$AS$5:$AS$7</c:f>
              <c:strCache>
                <c:ptCount val="2"/>
                <c:pt idx="0">
                  <c:v>NIEWYKONANE</c:v>
                </c:pt>
                <c:pt idx="1">
                  <c:v>WYKONANE</c:v>
                </c:pt>
              </c:strCache>
            </c:strRef>
          </c:cat>
          <c:val>
            <c:numRef>
              <c:f>Raporty!$AT$5:$AT$7</c:f>
              <c:numCache>
                <c:formatCode>General</c:formatCode>
                <c:ptCount val="2"/>
                <c:pt idx="0">
                  <c:v>1362</c:v>
                </c:pt>
                <c:pt idx="1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85-4233-96EB-D1D5FE0E3F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[267 - Małkinia - elementy zewnętrzne.xlsm]Raporty!ilosc_mc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l-P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Raporty!$BE$4</c:f>
              <c:strCache>
                <c:ptCount val="1"/>
                <c:pt idx="0">
                  <c:v>Suma</c:v>
                </c:pt>
              </c:strCache>
            </c:strRef>
          </c:tx>
          <c:invertIfNegative val="0"/>
          <c:cat>
            <c:multiLvlStrRef>
              <c:f>Raporty!$BD$5:$BD$9</c:f>
              <c:multiLvlStrCache>
                <c:ptCount val="2"/>
                <c:lvl>
                  <c:pt idx="0">
                    <c:v>. </c:v>
                  </c:pt>
                  <c:pt idx="1">
                    <c:v>11. listopad</c:v>
                  </c:pt>
                </c:lvl>
                <c:lvl>
                  <c:pt idx="0">
                    <c:v>(puste)</c:v>
                  </c:pt>
                  <c:pt idx="1">
                    <c:v>2021</c:v>
                  </c:pt>
                </c:lvl>
              </c:multiLvlStrCache>
            </c:multiLvlStrRef>
          </c:cat>
          <c:val>
            <c:numRef>
              <c:f>Raporty!$BE$5:$BE$9</c:f>
              <c:numCache>
                <c:formatCode>General</c:formatCode>
                <c:ptCount val="2"/>
                <c:pt idx="0">
                  <c:v>1362</c:v>
                </c:pt>
                <c:pt idx="1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F6-410C-BA93-C953F9392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274736"/>
        <c:axId val="185273056"/>
      </c:barChart>
      <c:catAx>
        <c:axId val="18527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5273056"/>
        <c:crosses val="autoZero"/>
        <c:auto val="1"/>
        <c:lblAlgn val="ctr"/>
        <c:lblOffset val="100"/>
        <c:noMultiLvlLbl val="0"/>
      </c:catAx>
      <c:valAx>
        <c:axId val="18527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5274736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[267 - Małkinia - elementy zewnętrzne.xlsm]Raporty!ilosc_mc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Raporty!$BE$4</c:f>
              <c:strCache>
                <c:ptCount val="1"/>
                <c:pt idx="0">
                  <c:v>Suma</c:v>
                </c:pt>
              </c:strCache>
            </c:strRef>
          </c:tx>
          <c:invertIfNegative val="0"/>
          <c:cat>
            <c:multiLvlStrRef>
              <c:f>Raporty!$BD$5:$BD$9</c:f>
              <c:multiLvlStrCache>
                <c:ptCount val="2"/>
                <c:lvl>
                  <c:pt idx="0">
                    <c:v>. </c:v>
                  </c:pt>
                  <c:pt idx="1">
                    <c:v>11. listopad</c:v>
                  </c:pt>
                </c:lvl>
                <c:lvl>
                  <c:pt idx="0">
                    <c:v>(puste)</c:v>
                  </c:pt>
                  <c:pt idx="1">
                    <c:v>2021</c:v>
                  </c:pt>
                </c:lvl>
              </c:multiLvlStrCache>
            </c:multiLvlStrRef>
          </c:cat>
          <c:val>
            <c:numRef>
              <c:f>Raporty!$BE$5:$BE$9</c:f>
              <c:numCache>
                <c:formatCode>General</c:formatCode>
                <c:ptCount val="2"/>
                <c:pt idx="0">
                  <c:v>1362</c:v>
                </c:pt>
                <c:pt idx="1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33-496B-ADC5-51613EAF3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001920"/>
        <c:axId val="185002480"/>
      </c:barChart>
      <c:catAx>
        <c:axId val="18500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5002480"/>
        <c:crosses val="autoZero"/>
        <c:auto val="1"/>
        <c:lblAlgn val="ctr"/>
        <c:lblOffset val="100"/>
        <c:noMultiLvlLbl val="0"/>
      </c:catAx>
      <c:valAx>
        <c:axId val="18500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5001920"/>
        <c:crosses val="autoZero"/>
        <c:crossBetween val="between"/>
        <c:majorUnit val="1000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36970</xdr:colOff>
      <xdr:row>4</xdr:row>
      <xdr:rowOff>49296</xdr:rowOff>
    </xdr:from>
    <xdr:to>
      <xdr:col>0</xdr:col>
      <xdr:colOff>3071787</xdr:colOff>
      <xdr:row>7</xdr:row>
      <xdr:rowOff>110912</xdr:rowOff>
    </xdr:to>
    <xdr:sp macro="[0]!Tworzenie_zapytan.Tworzenie_zapytan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36970" y="1153477"/>
          <a:ext cx="817828" cy="6050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000"/>
            <a:t>Uruchomienie makra Zapytania</a:t>
          </a:r>
        </a:p>
      </xdr:txBody>
    </xdr:sp>
    <xdr:clientData/>
  </xdr:twoCellAnchor>
  <xdr:twoCellAnchor>
    <xdr:from>
      <xdr:col>1</xdr:col>
      <xdr:colOff>617294</xdr:colOff>
      <xdr:row>4</xdr:row>
      <xdr:rowOff>157848</xdr:rowOff>
    </xdr:from>
    <xdr:to>
      <xdr:col>4</xdr:col>
      <xdr:colOff>520947</xdr:colOff>
      <xdr:row>6</xdr:row>
      <xdr:rowOff>150502</xdr:rowOff>
    </xdr:to>
    <xdr:grpSp>
      <xdr:nvGrpSpPr>
        <xdr:cNvPr id="3" name="Grupa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pSpPr/>
      </xdr:nvGrpSpPr>
      <xdr:grpSpPr>
        <a:xfrm>
          <a:off x="4248000" y="1289642"/>
          <a:ext cx="3668829" cy="373654"/>
          <a:chOff x="3772097" y="1156165"/>
          <a:chExt cx="3782178" cy="362239"/>
        </a:xfrm>
      </xdr:grpSpPr>
      <xdr:sp macro="[0]!odkryj_arkusze" textlink="">
        <xdr:nvSpPr>
          <xdr:cNvPr id="4" name="Prostokąt: zaokrąglone rogi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/>
        </xdr:nvSpPr>
        <xdr:spPr>
          <a:xfrm>
            <a:off x="3772097" y="1158404"/>
            <a:ext cx="1650221" cy="360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pl-PL" sz="1800"/>
              <a:t>Odkryj arkusze</a:t>
            </a:r>
          </a:p>
        </xdr:txBody>
      </xdr:sp>
      <xdr:sp macro="[0]!ukryj_arkusze" textlink="">
        <xdr:nvSpPr>
          <xdr:cNvPr id="5" name="Prostokąt: zaokrąglone rogi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/>
        </xdr:nvSpPr>
        <xdr:spPr>
          <a:xfrm>
            <a:off x="5632940" y="1156165"/>
            <a:ext cx="1921335" cy="3600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ctr"/>
            <a:r>
              <a:rPr lang="pl-PL" sz="1800"/>
              <a:t>Ukryj</a:t>
            </a:r>
            <a:r>
              <a:rPr lang="pl-PL" sz="1800" baseline="0"/>
              <a:t> </a:t>
            </a:r>
            <a:r>
              <a:rPr lang="pl-PL" sz="1800"/>
              <a:t>arkusze</a:t>
            </a:r>
          </a:p>
        </xdr:txBody>
      </xdr:sp>
    </xdr:grpSp>
    <xdr:clientData/>
  </xdr:twoCellAnchor>
  <xdr:twoCellAnchor>
    <xdr:from>
      <xdr:col>4</xdr:col>
      <xdr:colOff>725779</xdr:colOff>
      <xdr:row>4</xdr:row>
      <xdr:rowOff>148241</xdr:rowOff>
    </xdr:from>
    <xdr:to>
      <xdr:col>4</xdr:col>
      <xdr:colOff>2433810</xdr:colOff>
      <xdr:row>6</xdr:row>
      <xdr:rowOff>138907</xdr:rowOff>
    </xdr:to>
    <xdr:sp macro="[0]!Odżwież_query" textlink="">
      <xdr:nvSpPr>
        <xdr:cNvPr id="7" name="Prostokąt: zaokrąglone rogi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7647208" y="1244303"/>
          <a:ext cx="1708031" cy="3560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000"/>
            <a:t>Odśwież</a:t>
          </a:r>
          <a:r>
            <a:rPr lang="pl-PL" sz="2000" baseline="0"/>
            <a:t> query</a:t>
          </a:r>
          <a:endParaRPr lang="pl-PL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167471</xdr:colOff>
      <xdr:row>3</xdr:row>
      <xdr:rowOff>49495</xdr:rowOff>
    </xdr:from>
    <xdr:to>
      <xdr:col>11</xdr:col>
      <xdr:colOff>95135</xdr:colOff>
      <xdr:row>17</xdr:row>
      <xdr:rowOff>2075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</xdr:row>
      <xdr:rowOff>15241</xdr:rowOff>
    </xdr:from>
    <xdr:to>
      <xdr:col>6</xdr:col>
      <xdr:colOff>800100</xdr:colOff>
      <xdr:row>13</xdr:row>
      <xdr:rowOff>93346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13</xdr:row>
      <xdr:rowOff>102870</xdr:rowOff>
    </xdr:from>
    <xdr:to>
      <xdr:col>6</xdr:col>
      <xdr:colOff>590550</xdr:colOff>
      <xdr:row>23</xdr:row>
      <xdr:rowOff>173355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127634</xdr:colOff>
      <xdr:row>3</xdr:row>
      <xdr:rowOff>26670</xdr:rowOff>
    </xdr:from>
    <xdr:to>
      <xdr:col>22</xdr:col>
      <xdr:colOff>601979</xdr:colOff>
      <xdr:row>16</xdr:row>
      <xdr:rowOff>142875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22316</xdr:colOff>
      <xdr:row>3</xdr:row>
      <xdr:rowOff>17418</xdr:rowOff>
    </xdr:from>
    <xdr:to>
      <xdr:col>19</xdr:col>
      <xdr:colOff>95250</xdr:colOff>
      <xdr:row>13</xdr:row>
      <xdr:rowOff>123825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16872</xdr:colOff>
      <xdr:row>13</xdr:row>
      <xdr:rowOff>165461</xdr:rowOff>
    </xdr:from>
    <xdr:to>
      <xdr:col>19</xdr:col>
      <xdr:colOff>102870</xdr:colOff>
      <xdr:row>23</xdr:row>
      <xdr:rowOff>152400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506332</xdr:colOff>
      <xdr:row>1</xdr:row>
      <xdr:rowOff>897846</xdr:rowOff>
    </xdr:from>
    <xdr:to>
      <xdr:col>7</xdr:col>
      <xdr:colOff>92317</xdr:colOff>
      <xdr:row>2</xdr:row>
      <xdr:rowOff>1608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Budynek 1">
              <a:extLst>
                <a:ext uri="{FF2B5EF4-FFF2-40B4-BE49-F238E27FC236}">
                  <a16:creationId xmlns:a16="http://schemas.microsoft.com/office/drawing/2014/main" id="{00000000-0008-0000-0F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udynek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82620" y="1141415"/>
              <a:ext cx="1412756" cy="7985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506333</xdr:colOff>
      <xdr:row>1</xdr:row>
      <xdr:rowOff>17804</xdr:rowOff>
    </xdr:from>
    <xdr:to>
      <xdr:col>7</xdr:col>
      <xdr:colOff>98663</xdr:colOff>
      <xdr:row>1</xdr:row>
      <xdr:rowOff>894944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Wykonanie 1">
              <a:extLst>
                <a:ext uri="{FF2B5EF4-FFF2-40B4-BE49-F238E27FC236}">
                  <a16:creationId xmlns:a16="http://schemas.microsoft.com/office/drawing/2014/main" id="{00000000-0008-0000-0F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Wykonani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82621" y="261373"/>
              <a:ext cx="1419101" cy="8771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433547</xdr:colOff>
      <xdr:row>1</xdr:row>
      <xdr:rowOff>17606</xdr:rowOff>
    </xdr:from>
    <xdr:to>
      <xdr:col>12</xdr:col>
      <xdr:colOff>478676</xdr:colOff>
      <xdr:row>2</xdr:row>
      <xdr:rowOff>2103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Gniazdo - Ściany 1">
              <a:extLst>
                <a:ext uri="{FF2B5EF4-FFF2-40B4-BE49-F238E27FC236}">
                  <a16:creationId xmlns:a16="http://schemas.microsoft.com/office/drawing/2014/main" id="{00000000-0008-0000-0F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niazdo - Ściany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54453" y="261175"/>
              <a:ext cx="1902345" cy="16793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485180</xdr:colOff>
      <xdr:row>1</xdr:row>
      <xdr:rowOff>17735</xdr:rowOff>
    </xdr:from>
    <xdr:to>
      <xdr:col>14</xdr:col>
      <xdr:colOff>356097</xdr:colOff>
      <xdr:row>2</xdr:row>
      <xdr:rowOff>1802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Firma">
              <a:extLst>
                <a:ext uri="{FF2B5EF4-FFF2-40B4-BE49-F238E27FC236}">
                  <a16:creationId xmlns:a16="http://schemas.microsoft.com/office/drawing/2014/main" id="{00000000-0008-0000-0F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rm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63302" y="261304"/>
              <a:ext cx="1109061" cy="16789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98203</xdr:colOff>
      <xdr:row>1</xdr:row>
      <xdr:rowOff>17539</xdr:rowOff>
    </xdr:from>
    <xdr:to>
      <xdr:col>9</xdr:col>
      <xdr:colOff>440141</xdr:colOff>
      <xdr:row>2</xdr:row>
      <xdr:rowOff>1606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Harmonogram">
              <a:extLst>
                <a:ext uri="{FF2B5EF4-FFF2-40B4-BE49-F238E27FC236}">
                  <a16:creationId xmlns:a16="http://schemas.microsoft.com/office/drawing/2014/main" id="{00000000-0008-0000-0F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Harmonogra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01262" y="261108"/>
              <a:ext cx="1559785" cy="16789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348677</xdr:colOff>
      <xdr:row>1</xdr:row>
      <xdr:rowOff>17539</xdr:rowOff>
    </xdr:from>
    <xdr:to>
      <xdr:col>16</xdr:col>
      <xdr:colOff>402617</xdr:colOff>
      <xdr:row>2</xdr:row>
      <xdr:rowOff>1606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Typ firmy">
              <a:extLst>
                <a:ext uri="{FF2B5EF4-FFF2-40B4-BE49-F238E27FC236}">
                  <a16:creationId xmlns:a16="http://schemas.microsoft.com/office/drawing/2014/main" id="{00000000-0008-0000-0F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 firm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64943" y="261108"/>
              <a:ext cx="1292085" cy="16789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489453</xdr:colOff>
      <xdr:row>1</xdr:row>
      <xdr:rowOff>17143</xdr:rowOff>
    </xdr:from>
    <xdr:to>
      <xdr:col>4</xdr:col>
      <xdr:colOff>512182</xdr:colOff>
      <xdr:row>2</xdr:row>
      <xdr:rowOff>1210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MC">
              <a:extLst>
                <a:ext uri="{FF2B5EF4-FFF2-40B4-BE49-F238E27FC236}">
                  <a16:creationId xmlns:a16="http://schemas.microsoft.com/office/drawing/2014/main" id="{00000000-0008-0000-0F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8525" y="260712"/>
              <a:ext cx="1879945" cy="16789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31071</xdr:colOff>
      <xdr:row>1</xdr:row>
      <xdr:rowOff>17734</xdr:rowOff>
    </xdr:from>
    <xdr:to>
      <xdr:col>1</xdr:col>
      <xdr:colOff>466841</xdr:colOff>
      <xdr:row>2</xdr:row>
      <xdr:rowOff>10148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Rok">
              <a:extLst>
                <a:ext uri="{FF2B5EF4-FFF2-40B4-BE49-F238E27FC236}">
                  <a16:creationId xmlns:a16="http://schemas.microsoft.com/office/drawing/2014/main" id="{00000000-0008-0000-0F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ok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071" y="261303"/>
              <a:ext cx="1054842" cy="16872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422692</xdr:colOff>
      <xdr:row>1</xdr:row>
      <xdr:rowOff>19284</xdr:rowOff>
    </xdr:from>
    <xdr:to>
      <xdr:col>19</xdr:col>
      <xdr:colOff>314612</xdr:colOff>
      <xdr:row>2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Nazwa elementu">
              <a:extLst>
                <a:ext uri="{FF2B5EF4-FFF2-40B4-BE49-F238E27FC236}">
                  <a16:creationId xmlns:a16="http://schemas.microsoft.com/office/drawing/2014/main" id="{00000000-0008-0000-0F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azwa element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77103" y="262853"/>
              <a:ext cx="1749136" cy="16755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>
    <xdr:from>
      <xdr:col>23</xdr:col>
      <xdr:colOff>30448</xdr:colOff>
      <xdr:row>1</xdr:row>
      <xdr:rowOff>649517</xdr:rowOff>
    </xdr:from>
    <xdr:to>
      <xdr:col>25</xdr:col>
      <xdr:colOff>578477</xdr:colOff>
      <xdr:row>1</xdr:row>
      <xdr:rowOff>1203129</xdr:rowOff>
    </xdr:to>
    <xdr:sp macro="[0]!RefreshAllPivotTables.RefreshAllPivotTables" textlink="">
      <xdr:nvSpPr>
        <xdr:cNvPr id="17" name="Prostokąt: zaokrąglone rogi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>
        <a:xfrm>
          <a:off x="14229527" y="891057"/>
          <a:ext cx="3774308" cy="55361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000"/>
            <a:t>Odśwież tabele</a:t>
          </a:r>
        </a:p>
      </xdr:txBody>
    </xdr:sp>
    <xdr:clientData/>
  </xdr:twoCellAnchor>
  <xdr:twoCellAnchor>
    <xdr:from>
      <xdr:col>23</xdr:col>
      <xdr:colOff>10149</xdr:colOff>
      <xdr:row>1</xdr:row>
      <xdr:rowOff>40595</xdr:rowOff>
    </xdr:from>
    <xdr:to>
      <xdr:col>26</xdr:col>
      <xdr:colOff>10148</xdr:colOff>
      <xdr:row>1</xdr:row>
      <xdr:rowOff>594207</xdr:rowOff>
    </xdr:to>
    <xdr:sp macro="[0]!Odśwież_zapytanie.Odśwież_zapytanie" textlink="">
      <xdr:nvSpPr>
        <xdr:cNvPr id="18" name="Prostokąt: zaokrąglone rogi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/>
      </xdr:nvSpPr>
      <xdr:spPr>
        <a:xfrm>
          <a:off x="14209228" y="282135"/>
          <a:ext cx="4114799" cy="55361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000"/>
            <a:t>Odśwież zapytanie</a:t>
          </a:r>
        </a:p>
      </xdr:txBody>
    </xdr:sp>
    <xdr:clientData/>
  </xdr:twoCellAnchor>
  <xdr:twoCellAnchor>
    <xdr:from>
      <xdr:col>19</xdr:col>
      <xdr:colOff>456693</xdr:colOff>
      <xdr:row>1</xdr:row>
      <xdr:rowOff>20297</xdr:rowOff>
    </xdr:from>
    <xdr:to>
      <xdr:col>22</xdr:col>
      <xdr:colOff>537882</xdr:colOff>
      <xdr:row>1</xdr:row>
      <xdr:rowOff>923534</xdr:rowOff>
    </xdr:to>
    <xdr:sp macro="[0]!Czyszczenie_fragmentatorów.Czyszczenie_fragmentatorów" textlink="">
      <xdr:nvSpPr>
        <xdr:cNvPr id="19" name="Prostokąt: zaokrąglone rogi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/>
      </xdr:nvSpPr>
      <xdr:spPr>
        <a:xfrm>
          <a:off x="12171365" y="261837"/>
          <a:ext cx="1944494" cy="90323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000"/>
            <a:t>Usuń</a:t>
          </a:r>
          <a:r>
            <a:rPr lang="pl-PL" sz="2000" baseline="0"/>
            <a:t> fragmentatory</a:t>
          </a:r>
          <a:endParaRPr lang="pl-PL" sz="2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0</xdr:row>
      <xdr:rowOff>44569</xdr:rowOff>
    </xdr:from>
    <xdr:to>
      <xdr:col>6</xdr:col>
      <xdr:colOff>1066800</xdr:colOff>
      <xdr:row>4</xdr:row>
      <xdr:rowOff>152399</xdr:rowOff>
    </xdr:to>
    <xdr:sp macro="" textlink="">
      <xdr:nvSpPr>
        <xdr:cNvPr id="2" name="pole tekstow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5842240" y="44569"/>
          <a:ext cx="2065307" cy="92733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2000"/>
            <a:t>WYSYŁKA DO .... 2022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28575</xdr:rowOff>
        </xdr:from>
        <xdr:to>
          <xdr:col>9</xdr:col>
          <xdr:colOff>1000125</xdr:colOff>
          <xdr:row>2</xdr:row>
          <xdr:rowOff>304800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Usuń filtr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1</xdr:row>
          <xdr:rowOff>9525</xdr:rowOff>
        </xdr:from>
        <xdr:to>
          <xdr:col>13</xdr:col>
          <xdr:colOff>333375</xdr:colOff>
          <xdr:row>2</xdr:row>
          <xdr:rowOff>304800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Wyfiltruj dane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ł Bruj" refreshedDate="44519.671636342595" createdVersion="7" refreshedVersion="7" minRefreshableVersion="3" recordCount="1423" xr:uid="{00000000-000A-0000-FFFF-FFFF00000000}">
  <cacheSource type="worksheet">
    <worksheetSource name="BAZA_Raport"/>
  </cacheSource>
  <cacheFields count="16">
    <cacheField name="Kod elementu" numFmtId="0">
      <sharedItems containsBlank="1" count="1422">
        <s v="A-101X-EL-01"/>
        <s v="A-201X-EL-01"/>
        <s v="A-301X-EL-01"/>
        <s v="A-401X-EL-01"/>
        <s v="A-102X-EL-01"/>
        <s v="A-202X-EL-01"/>
        <s v="A-302X-EL-01"/>
        <s v="A-402Z-EL-01"/>
        <s v="A-102Y-EL-01"/>
        <s v="A-103Y-EL-01"/>
        <s v="B-101Y-EL-01"/>
        <s v="B-201Y-EL-01"/>
        <s v="B-301Y-EL-01"/>
        <s v="B-401Y-EL-01"/>
        <s v="B-102Y-EL-01"/>
        <s v="B-202Y-EL-01"/>
        <s v="B-302Y-EL-01"/>
        <s v="B-402Y-EL-01"/>
        <s v="C-101X-EL-01"/>
        <s v="C-201X-EL-01"/>
        <s v="C-301X-EL-01"/>
        <s v="C-401X-EL-01"/>
        <s v="C-201X-EL-02"/>
        <s v="C-301X-EL-02"/>
        <s v="C-401X-EL-02"/>
        <s v="C-105X-EL-01"/>
        <s v="C-205X-EL-01"/>
        <s v="C-304X-EL-01"/>
        <s v="C-402Y-EL-01"/>
        <s v="A-1-TJ-02"/>
        <s v="A-1-TJ-05"/>
        <s v="A-1-TJ-06"/>
        <s v="A-1-TJ-03"/>
        <s v="A-1-TJ-04"/>
        <s v="A-1-TJ-01"/>
        <s v="A-2-TJ-04"/>
        <s v="A-2-TJ-02"/>
        <s v="A-2-TJ-03"/>
        <s v="A-2-TJ-01"/>
        <s v="A-3-TJ-04"/>
        <s v="A-3-TJ-03"/>
        <s v="A-3-TJ-02"/>
        <s v="A-3-TJ-01"/>
        <s v="A-4-TJ-03"/>
        <s v="A-4-TJ-02"/>
        <s v="A-4-TJ-05"/>
        <s v="A-4-TJ-04"/>
        <s v="A-4-TJ-01"/>
        <s v="B-1-TJ-01"/>
        <s v="B-1-TJ-02"/>
        <s v="B-1-TJ-03"/>
        <s v="B-1-TJ-04"/>
        <s v="B-1-TJ-05"/>
        <s v="B-1-TJ-06"/>
        <s v="B-1-TJ-07"/>
        <s v="B-2-TJ-01"/>
        <s v="B-2-TJ-02"/>
        <s v="B-2-TJ-03"/>
        <s v="B-2-TJ-04"/>
        <s v="B-2-TJ-05"/>
        <s v="B-2-TJ-06"/>
        <s v="B-2-TJ-07"/>
        <s v="B-3-TJ-01"/>
        <s v="B-3-TJ-02"/>
        <s v="B-3-TJ-03"/>
        <s v="B-3-TJ-04"/>
        <s v="B-3-TJ-05"/>
        <s v="B-3-TJ-06"/>
        <s v="B-3-TJ-07"/>
        <s v="B-4-TJ-01"/>
        <s v="B-4-TJ-02"/>
        <s v="B-4-TJ-03"/>
        <s v="B-4-TJ-04"/>
        <s v="B-4-TJ-05"/>
        <s v="B-4-TJ-06"/>
        <s v="B-4-TJ-07"/>
        <s v="C-1-TJ-01"/>
        <s v="C-1-TJ-02"/>
        <s v="C-1-TJ-03"/>
        <s v="C-1-TJ-04"/>
        <s v="C-1-TJ-05"/>
        <s v="C-1-TJ-06"/>
        <s v="C-1-TJ-11"/>
        <s v="C-1-TJ-12"/>
        <s v="C-1-TJ-07"/>
        <s v="C-1-TJ-08"/>
        <s v="C-1-TJ-09"/>
        <s v="C-1-TJ-10"/>
        <s v="C-2-TJ-01"/>
        <s v="C-2-TJ-02"/>
        <s v="C-2-TJ-03"/>
        <s v="C-2-TJ-04"/>
        <s v="C-2-TJ-05"/>
        <s v="C-2-TJ-06"/>
        <s v="C-2-TJ-07"/>
        <s v="C-2-TJ-08"/>
        <s v="C-2-TJ-09"/>
        <s v="C-2-TJ-10"/>
        <s v="C-3-TJ-01"/>
        <s v="C-3-TJ-02"/>
        <s v="C-3-TJ-03"/>
        <s v="C-3-TJ-04"/>
        <s v="C-3-TJ-05"/>
        <s v="C-3-TJ-06"/>
        <s v="C-3-TJ-07"/>
        <s v="C-3-TJ-08"/>
        <s v="C-4-TJ-01"/>
        <s v="C-4-TJ-02"/>
        <s v="C-4-TJ-03"/>
        <s v="C-4-TJ-04"/>
        <s v="A-AT-402X-02"/>
        <s v="A-AT-402X-01"/>
        <s v="A-AT-402Z-01"/>
        <s v="A-AT-401Z-02"/>
        <s v="A-AT-401X-02"/>
        <s v="A-AT-401Y-02"/>
        <s v="A-AT-402X-03"/>
        <s v="A-AT-402Y-02"/>
        <s v="A-AT-402Z-02"/>
        <s v="A-AT-401Z-01"/>
        <s v="A-AT-401X-01"/>
        <s v="A-AT-401Y-01"/>
        <s v="A-AT-401Y-03"/>
        <s v="A-AT-402Y-01"/>
        <s v="B-AT-401X-01"/>
        <s v="B-AT-402X-01"/>
        <s v="B-AT-401X-02"/>
        <s v="B-AT-402X-02"/>
        <s v="B-AT-401Y-01"/>
        <s v="B-AT-402Y-01"/>
        <s v="B-AT-402Y-02"/>
        <s v="B-AT-401Y-02"/>
        <s v="B-AT-401Y-04"/>
        <s v="B-AT-402Y-04"/>
        <s v="B-AT-402Y-03"/>
        <s v="B-AT-401Y-03"/>
        <s v="C-AT-401Y-01"/>
        <s v="C-AT-401Z-01"/>
        <s v="C-AT-402X-01"/>
        <s v="C-AT-402Y-01"/>
        <s v="C-AT-401X-01"/>
        <s v="C-AT-402Z-01"/>
        <s v="C-AT-402Z-02"/>
        <s v="C-AT-402Z-03"/>
        <s v="C-AT-402Z-04"/>
        <s v="C-AT-401X-04"/>
        <s v="C-AT-401X-03"/>
        <s v="C-AT-401Y-02"/>
        <s v="C-AT-401Z-02"/>
        <s v="C-AT-402X-02"/>
        <s v="C-AT-402Y-02"/>
        <s v="C-AT-401X-02"/>
        <s v="A-AT-BU-402X-01"/>
        <s v="A-AT-BU-402Z-01"/>
        <s v="A-AT-BU-401X-02"/>
        <s v="A-AT-BU-402X-02"/>
        <s v="B-AT-BU-401Y-01"/>
        <s v="B-AT-BU-402Y-01"/>
        <s v="C-AT-BU-402Z-02"/>
        <s v="C-AT-BU-402Z-01"/>
        <s v="C-AT-BU-402Z-03"/>
        <s v="C-AT-BU-402Z-04"/>
        <s v="C-AT-BU-401X-04"/>
        <s v="C-AT-BU-401Y-01"/>
        <s v="C-AT-BU-401Z-01"/>
        <s v="C-AT-BU-402X-01"/>
        <s v="C-AT-BU-401X-03"/>
        <s v="C-AT-BU-402Y-01"/>
        <s v="1"/>
        <s v="2"/>
        <s v="3"/>
        <s v="4"/>
        <s v="5"/>
        <s v="6"/>
        <s v="7"/>
        <s v="8"/>
        <s v="9"/>
        <s v="10"/>
        <s v="11"/>
        <s v="12"/>
        <s v="13"/>
        <s v="14"/>
        <s v="15"/>
        <s v="16"/>
        <s v="17"/>
        <s v="18"/>
        <s v="19"/>
        <s v="20"/>
        <s v="21"/>
        <s v="22"/>
        <s v="23"/>
        <s v="24"/>
        <s v="25"/>
        <s v="26"/>
        <s v="27"/>
        <s v="28"/>
        <s v="29"/>
        <s v="30"/>
        <s v="31"/>
        <s v="32"/>
        <s v="33"/>
        <s v="34"/>
        <s v="35"/>
        <s v="36"/>
        <s v="37"/>
        <s v="38"/>
        <s v="39"/>
        <s v="40"/>
        <s v="41"/>
        <s v="42"/>
        <s v="43"/>
        <s v="44"/>
        <s v="45"/>
        <s v="46"/>
        <s v="47"/>
        <s v="48"/>
        <s v="49"/>
        <s v="50"/>
        <s v="51"/>
        <s v="52"/>
        <s v="53"/>
        <s v="54"/>
        <s v="55"/>
        <s v="56"/>
        <s v="57"/>
        <s v="58"/>
        <s v="59"/>
        <s v="60"/>
        <s v="61"/>
        <s v="62"/>
        <s v="63"/>
        <s v="64"/>
        <s v="65"/>
        <s v="66"/>
        <s v="67"/>
        <s v="68"/>
        <s v="69"/>
        <s v="70"/>
        <s v="71"/>
        <s v="72"/>
        <s v="73"/>
        <s v="74"/>
        <s v="75"/>
        <s v="76"/>
        <s v="77"/>
        <s v="78"/>
        <s v="79"/>
        <s v="80"/>
        <s v="81"/>
        <s v="82"/>
        <s v="83"/>
        <s v="89"/>
        <s v="90"/>
        <s v="91"/>
        <s v="92"/>
        <s v="93"/>
        <s v="94"/>
        <s v="95"/>
        <s v="96"/>
        <s v="97"/>
        <s v="98"/>
        <s v="104"/>
        <s v="105"/>
        <s v="106"/>
        <s v="107"/>
        <s v="108"/>
        <s v="109"/>
        <s v="110"/>
        <s v="111"/>
        <s v="112"/>
        <s v="113"/>
        <s v="120"/>
        <s v="121"/>
        <s v="122"/>
        <s v="123"/>
        <s v="124"/>
        <s v="125"/>
        <s v="126"/>
        <s v="127"/>
        <s v="128"/>
        <s v="129"/>
        <s v="130"/>
        <s v="131"/>
        <s v="139"/>
        <s v="140"/>
        <s v="141"/>
        <s v="142"/>
        <s v="143"/>
        <s v="144"/>
        <s v="145"/>
        <s v="146"/>
        <s v="147"/>
        <s v="148"/>
        <s v="156"/>
        <s v="157"/>
        <s v="158"/>
        <s v="159"/>
        <s v="160"/>
        <s v="161"/>
        <s v="162"/>
        <s v="163"/>
        <s v="164"/>
        <s v="165"/>
        <s v="173"/>
        <s v="174"/>
        <s v="175"/>
        <s v="176"/>
        <s v="177"/>
        <s v="178"/>
        <s v="179"/>
        <s v="180"/>
        <s v="181"/>
        <s v="182"/>
        <s v="183"/>
        <s v="184"/>
        <s v="185"/>
        <s v="186"/>
        <s v="187"/>
        <s v="188"/>
        <s v="189"/>
        <s v="190"/>
        <s v="191"/>
        <s v="192"/>
        <s v="193"/>
        <s v="194"/>
        <s v="195"/>
        <s v="196"/>
        <s v="197"/>
        <s v="198"/>
        <s v="199"/>
        <s v="200"/>
        <s v="201"/>
        <s v="202"/>
        <s v="203"/>
        <s v="204"/>
        <s v="205"/>
        <s v="206"/>
        <s v="207"/>
        <s v="208"/>
        <s v="209"/>
        <s v="210"/>
        <s v="211"/>
        <s v="212"/>
        <s v="213"/>
        <s v="214"/>
        <s v="215"/>
        <s v="216"/>
        <s v="217"/>
        <s v="218"/>
        <s v="219"/>
        <s v="220"/>
        <s v="221"/>
        <s v="222"/>
        <s v="223"/>
        <s v="224"/>
        <s v="225"/>
        <s v="226"/>
        <s v="227"/>
        <s v="228"/>
        <s v="229"/>
        <s v="230"/>
        <s v="231"/>
        <s v="232"/>
        <s v="233"/>
        <s v="234"/>
        <s v="235"/>
        <s v="236"/>
        <s v="237"/>
        <s v="238"/>
        <s v="239"/>
        <s v="240"/>
        <s v="241"/>
        <s v="242"/>
        <s v="243"/>
        <s v="244"/>
        <s v="245"/>
        <s v="246"/>
        <s v="247"/>
        <s v="248"/>
        <s v="249"/>
        <s v="250"/>
        <s v="251"/>
        <s v="252"/>
        <s v="253"/>
        <s v="254"/>
        <s v="255"/>
        <s v="256"/>
        <s v="257"/>
        <s v="258"/>
        <s v="259"/>
        <s v="260"/>
        <s v="261"/>
        <s v="262"/>
        <s v="263"/>
        <s v="264"/>
        <s v="265"/>
        <s v="266"/>
        <s v="267"/>
        <s v="268"/>
        <s v="269"/>
        <s v="270"/>
        <s v="271"/>
        <s v="272"/>
        <s v="273"/>
        <s v="274"/>
        <s v="275"/>
        <s v="276"/>
        <s v="277"/>
        <s v="278"/>
        <s v="279"/>
        <s v="280"/>
        <s v="A-2-BA-01"/>
        <s v="A-3-BA-01"/>
        <s v="A-4-BA-01"/>
        <s v="B-2-BA-01"/>
        <s v="B-2-BA-02"/>
        <s v="B-2-BA-03"/>
        <s v="B-2-BA-04"/>
        <s v="B-3-BA-01"/>
        <s v="B-3-BA-02"/>
        <s v="B-3-BA-03"/>
        <s v="B-3-BA-04"/>
        <s v="B-4-BA-01"/>
        <s v="B-4-BA-02"/>
        <s v="B-4-BA-03"/>
        <s v="B-4-BA-04"/>
        <s v="C-2-GA-02"/>
        <s v="C-2-GA-03"/>
        <s v="C-2-GA-04"/>
        <s v="C-2-GA-05"/>
        <s v="C-2-GA-06"/>
        <s v="C-3-GA-02"/>
        <s v="C-3-GA-03"/>
        <s v="C-3-GA-04"/>
        <s v="C-3-GA-05"/>
        <s v="C-3-GA-06"/>
        <s v="C-4-GA-02"/>
        <s v="C-4-GA-03"/>
        <s v="C-4-GA-04"/>
        <s v="C-4-GA-05"/>
        <s v="C-4-GA-06"/>
        <s v="C-4-GA-07"/>
        <s v="A-2-GA-01"/>
        <s v="A-2-GA-02"/>
        <s v="A-2-GA-03"/>
        <s v="A-2-GA-04"/>
        <s v="A-2-GA-05"/>
        <s v="A-2-GA-06"/>
        <s v="A-2-GA-07"/>
        <s v="A-3-GA-01"/>
        <s v="A-3-GA-02"/>
        <s v="A-3-GA-03"/>
        <s v="A-3-GA-04"/>
        <s v="A-3-GA-05"/>
        <s v="A-3-GA-06"/>
        <s v="A-3-GA-07"/>
        <s v="A-4-GA-01"/>
        <s v="A-4-GA-02"/>
        <s v="A-4-GA-03"/>
        <s v="A-4-GA-04"/>
        <s v="A-4-GA-05"/>
        <s v="A-4-GA-06"/>
        <s v="A-4-GA-07"/>
        <s v="C-DAB-01"/>
        <s v="C-DAB-02"/>
        <s v="C-DAB-03"/>
        <s v="C-DAB-04"/>
        <s v="C-DAB-05"/>
        <s v="B-DAB-01"/>
        <s v="B-DAB-02"/>
        <s v="B-DAB-03"/>
        <s v="B-DAB-04"/>
        <s v="A-DAB-01"/>
        <s v="A-DAB-02"/>
        <s v="A-DAB-03"/>
        <s v="C-DAG-01"/>
        <s v="C-DAG-02"/>
        <s v="C-DAG-03"/>
        <s v="C-DAG-04"/>
        <s v="C-DAG-05"/>
        <s v="C-DAG-06"/>
        <s v="C-DAG-07"/>
        <s v="C-DAG-08"/>
        <s v="A-DAG-01"/>
        <s v="A-DAG-02"/>
        <s v="A-DAG-03"/>
        <s v="A-DAG-04"/>
        <s v="A-DAG-05"/>
        <s v="A-DAG-06"/>
        <s v="A-DAG-07"/>
        <s v="A-DAG-08"/>
        <s v="A-DAG-09"/>
        <s v="A-DAG-10"/>
        <s v="A-DAG-11"/>
        <s v="A-DAG-12"/>
        <s v="C-DAG-08 klin"/>
        <s v="B-DAB-04 klin"/>
        <s v="B-DAB-03 klin"/>
        <s v="B-DAB-02 klin"/>
        <s v="B-DAB-01 klin"/>
        <s v="A-DAB-03 klin"/>
        <s v="A-DAB-02 klin"/>
        <s v="A-DAB-01 klin"/>
        <s v="C-DAB-01 klin"/>
        <s v="C-DAB-02 klin"/>
        <s v="C-DAB-03 klin"/>
        <s v="C-DAB-04 klin"/>
        <s v="C-DAB-05 klin"/>
        <s v="A-2-TRB-07 Klin 94"/>
        <s v="A-2-TRB-05 Klin 95"/>
        <s v="A-2-TRB-04 Klin 95"/>
        <s v="A-2-TRB-02 Klin 97"/>
        <s v="A-2-TRB-01 Klin 97"/>
        <s v="A-3-TRB-07 Klin 42"/>
        <s v="A-3-TRB-04 Klin 45"/>
        <s v="A-3-TRB-05 Klin 45"/>
        <s v="A-3-TRB-02 Klin 55"/>
        <s v="A-3-TRB-01 Klin 55"/>
        <s v="A-4-TRB-01 Klin 87"/>
        <s v="A-4-TRB-03 Klin 87"/>
        <s v="A-4-TRB-06 Klin 82"/>
        <s v="A-4-TRB-09 Klin 79"/>
        <s v="A-4-TRB-09 Klin 78"/>
        <s v="A-4-TRB-05 Klin 83"/>
        <s v="A-3-TRB-03 Klin 16"/>
        <s v="A-2-TRB-03 Klin 16"/>
        <s v="A-4-TRB-09 Klin 27"/>
        <s v="A-4-TRB-09 Klin 40"/>
        <s v="A-4-TRB-09 Klin 89"/>
        <s v="A-4-TRB-09 Klin 91"/>
        <s v="A-4-TRB-09 Klin 92"/>
        <s v="A-2-TRB-06 Klin 22"/>
        <s v="A-3-TRB-06 Klin 46"/>
        <s v="A-2-TRB-06 Klin 46"/>
        <s v="A-3-TRB-03 Klin 3"/>
        <s v="A-2-TRB-03 Klin 3"/>
        <s v="A-3-TRB-06 Klin 1"/>
        <s v="A-2-TRB-06 Klin 1"/>
        <s v="A-3-TRB-06 Klin 12"/>
        <s v="A-4-TRB-05 Klin 23"/>
        <s v="A-4-TRB-05 Klin 34"/>
        <s v="A-4-TRB-05 Klin 84"/>
        <s v="A-3-TRB-01 Klin 5"/>
        <s v="A-2-TRB-01 Klin 5"/>
        <s v="A-4-TRB-06 Klin 30"/>
        <s v="A-4-TRB-06 Klin 31"/>
        <s v="A-2-TRB-02 Klin 19"/>
        <s v="A-2-TRB-02 Klin 99"/>
        <s v="A-2-TRB-02 Klin 7"/>
        <s v="A-2-TRB-01 Klin 20"/>
        <s v="A-2-TRB-01 Klin 21"/>
        <s v="A-2-TRB-01 Klin 99"/>
        <s v="A-2-TRB-01 Klin 98"/>
        <s v="A-2-TRB-01 Klin 104"/>
        <s v="A-3-TRB-01 Klin 14"/>
        <s v="A-3-TRB-01 Klin 15"/>
        <s v="A-3-TRB-01 Klin 57"/>
        <s v="A-3-TRB-02 Klin 4"/>
        <s v="A-3-TRB-02 Klin 13"/>
        <s v="A-3-TRB-01 Klin 56"/>
        <s v="A-3-TRB-02 Klin 57"/>
        <s v="A-3-TRB-01 Klin 72"/>
        <s v="A-3-TRB-05 Klin 70"/>
        <s v="A-3-TRB-05 Klin 69"/>
        <s v="A-3-TRB-04 Klin 69"/>
        <s v="A-3-TRB-05 Klin 2"/>
        <s v="A-3-TRB-04 Klin 9"/>
        <s v="A-3-TRB-05 Klin 11"/>
        <s v="A-3-TRB-04 Klin 47"/>
        <s v="A-2-TRB-05 Klin 6"/>
        <s v="A-2-TRB-04 Klin 8"/>
        <s v="A-2-TRB-05 Klin 18"/>
        <s v="A-2-TRB-04 Klin 96"/>
        <s v="A-2-TRB-05 Klin 102"/>
        <s v="A-2-TRB-04 Klin 102"/>
        <s v="A-2-TRB-05 Klin 103"/>
        <s v="A-4-TRB-08 Klin 28"/>
        <s v="A-4-TRB-03 Klin 25"/>
        <s v="A-4-TRB-03 Klin 26"/>
        <s v="A-4-TRB-01 Klin 26"/>
        <s v="A-4-TRB-01 Klin 25"/>
        <s v="A-3-TRB-07 Klin 10"/>
        <s v="A-2-TRB-07 Klin 17"/>
        <s v="A-3-TRB-07 Klin 66"/>
        <s v="A-3-TRB-07 Klin 67"/>
        <s v="A-2-TRB-07 Klin 100"/>
        <s v="A-2-TRB-07 Klin 101"/>
        <s v="A-4-TRB-07 Klin 29"/>
        <s v="A-4-TRB-07 Klin 39"/>
        <s v="A-4-TRB-04 Klin 24"/>
        <s v="A-4-TRB-02 Klin 24"/>
        <s v="A-4-TRB-03 Klin 35"/>
        <s v="A-4-TRB-01 Klin 35"/>
        <s v="A-4-TRB-06 Klin 41"/>
        <s v="A-2-TRB-02 Klin 286"/>
        <s v="A-2-TRB-02 Klin 285"/>
        <s v="A-2-TRB-01 Klin 344"/>
        <s v="A-2-TRB-02 Klin 283"/>
        <s v="A-2-TRB-01 Klin 277"/>
        <s v="A-2-TRB-01 Klin 341"/>
        <s v="A-2-TRB-01 Klin 342"/>
        <s v="A-2-TRB-01 Klin 343"/>
        <s v="A-3-TRB-02 Klin 286"/>
        <s v="A-3-TRB-02 Klin 285"/>
        <s v="A-3-TRB-01 Klin 325"/>
        <s v="A-3-TRB-02 Klin 283"/>
        <s v="A-3-TRB-01 Klin 277"/>
        <s v="A-3-TRB-01 Klin 322"/>
        <s v="A-3-TRB-01 Klin 323"/>
        <s v="A-3-TRB-01 Klin 324"/>
        <s v="A-4-TRB-02 Klin 286"/>
        <s v="A-4-TRB-02 Klin 285"/>
        <s v="A-4-TRB-01 Klin 284"/>
        <s v="A-4-TRB-02 Klin 283"/>
        <s v="A-4-TRB-01 Klin 277"/>
        <s v="A-4-TRB-01 Klin 274"/>
        <s v="A-4-TRB-01 Klin 275"/>
        <s v="A-4-TRB-01 Klin 276"/>
        <s v="A-2-BA-01 Klin 334"/>
        <s v="A-3-BA-01 Klin 334"/>
        <s v="A-2-BA-01 Klin 50"/>
        <s v="A-3-BA-01 Klin 50"/>
        <s v="A-4-BA-01 Klin 47"/>
        <s v="A-4-BA-01 Klin 44"/>
        <s v="A-2-BA-01 Klin 40"/>
        <s v="A-3-BA-01 Klin 40"/>
        <s v="A-4-BA-01 Klin 39"/>
        <s v="A-2-BA-01 Klin 300"/>
        <s v="A-3-BA-01 Klin 300"/>
        <s v="A-4-BA-01 Klin 300"/>
        <s v="A-2-BA-01 Klin 299"/>
        <s v="A-3-BA-01 Klin 299"/>
        <s v="A-4-BA-01 Klin 299"/>
        <s v="A-2-BA-01 Klin 301"/>
        <s v="A-3-BA-01 Klin 301"/>
        <s v="A-4-BA-01 Klin 301"/>
        <s v="A-2-BA-01 Klin 298"/>
        <s v="A-2-BA-01 Klin 49"/>
        <s v="A-2-BA-01 Klin 48"/>
        <s v="A-2-BA-01 Klin 291"/>
        <s v="A-2-BA-01 Klin 335"/>
        <s v="A-3-BA-01 Klin 298"/>
        <s v="A-3-BA-01 Klin 49"/>
        <s v="A-3-BA-01 Klin 48"/>
        <s v="A-3-BA-01 Klin 291"/>
        <s v="A-3-BA-01 Klin 335"/>
        <s v="A-4-BA-01 Klin 298"/>
        <s v="A-4-BA-01 Klin 46"/>
        <s v="A-4-BA-01 Klin 45"/>
        <s v="A-4-BA-01 Klin 291"/>
        <s v="A-4-BA-01 Klin 297"/>
        <s v="A-2-BA-01 Klin 38"/>
        <s v="A-3-BA-01 Klin 38"/>
        <s v="A-4-BA-01 Klin 37"/>
        <s v="B-2-TRB-06 Klin 262"/>
        <s v="B-2-TRB-06 Klin 261"/>
        <s v="B-2-TRB-06 Klin 260"/>
        <s v="B-3-TRB-06 Klin 256"/>
        <s v="B-3-TRB-06 Klin 255"/>
        <s v="B-3-TRB-06 Klin 254"/>
        <s v="B-4-TRB-06 Klin 226"/>
        <s v="B-4-TRB-06 Klin 212"/>
        <s v="B-4-TRB-06 Klin 225"/>
        <s v="B-2-TRB-01 Klin 206"/>
        <s v="B-2-TRB-01 Klin 200"/>
        <s v="B-2-TRB-01 Klin 205"/>
        <s v="B-3-TRB-01 Klin 204"/>
        <s v="B-3-TRB-01 Klin 200"/>
        <s v="B-3-TRB-01 Klin 203"/>
        <s v="B-4-TRB-01 Klin 201"/>
        <s v="B-4-TRB-01 Klin 200"/>
        <s v="B-4-TRB-01 Klin 199"/>
        <s v="B-2-TRB-03 Klin 198"/>
        <s v="B-2-TRB-03 Klin 197"/>
        <s v="B-3-TRB-03 Klin 186"/>
        <s v="B-3-TRB-03 Klin 185"/>
        <s v="B-3-TRB-03 Klin 184"/>
        <s v="B-4-TRB-03 Klin 143"/>
        <s v="B-4-TRB-03 Klin 142"/>
        <s v="B-4-TRB-03 Klin 141"/>
        <s v="B-2-TRB-08 Klin 140"/>
        <s v="B-2-TRB-08 Klin 87"/>
        <s v="B-2-TRB-08 Klin 80"/>
        <s v="B-3-TRB-08 Klin 122"/>
        <s v="B-3-TRB-08 Klin 125"/>
        <s v="B-3-TRB-08 Klin 124"/>
        <s v="B-4-TRB-08 Klin 81"/>
        <s v="B-4-TRB-08 Klin 87"/>
        <s v="B-4-TRB-08 Klin 80"/>
        <s v="B-2-TRB-02 Klin 78"/>
        <s v="B-2-TRB-02 Klin 79"/>
        <s v="B-2-TRB-04 Klin 77"/>
        <s v="B-2-TRB-05 Klin 75"/>
        <s v="B-2-TRB-05 Klin 76"/>
        <s v="B-2-TRB-05 Klin 74"/>
        <s v="B-2-TRB-07 Klin 59"/>
        <s v="B-2-TRB-07 Klin 60"/>
        <s v="B-2-TRB-07 Klin 61"/>
        <s v="B-3-TRB-02 Klin 73"/>
        <s v="B-3-TRB-02 Klin 72"/>
        <s v="B-3-TRB-04 Klin 71"/>
        <s v="B-3-TRB-04 Klin 72"/>
        <s v="B-3-TRB-05 Klin 69"/>
        <s v="B-3-TRB-05 Klin 70"/>
        <s v="B-3-TRB-05 Klin 68"/>
        <s v="B-3-TRB-07 Klin 65"/>
        <s v="B-3-TRB-07 Klin 67"/>
        <s v="B-3-TRB-07 Klin 66"/>
        <s v="B-4-TRB-05 Klin 60"/>
        <s v="B-4-TRB-05 Klin 64"/>
        <s v="B-4-TRB-05 Klin 59"/>
        <s v="B-4-TRB-02 Klin 62"/>
        <s v="B-4-TRB-02 Klin 63"/>
        <s v="B-4-TRB-04 Klin 62"/>
        <s v="B-4-TRB-04 Klin 63"/>
        <s v="B-4-TRB-07 Klin 61"/>
        <s v="B-4-TRB-07 Klin 59"/>
        <s v="B-4-TRB-07 Klin 60"/>
        <s v="B-2-TRB-01 Klin 7"/>
        <s v="B-2-TRB-03 Klin 8"/>
        <s v="B-2-TRB-05 Klin 3"/>
        <s v="B-2-TRB-07 Klin 3"/>
        <s v="B-3-TRB-01 Klin 7"/>
        <s v="B-3-TRB-03 Klin 6"/>
        <s v="B-3-TRB-05 Klin 3"/>
        <s v="B-3-TRB-07 Klin 3"/>
        <s v="B-4-TRB-01 Klin 5"/>
        <s v="B-4-TRB-03 Klin 4"/>
        <s v="B-4-TRB-05 Klin 3"/>
        <s v="B-4-TRB-07 Klin 2"/>
        <s v="B-4-BA-01 Klin 153"/>
        <s v="B-4-BA-01 Klin 152"/>
        <s v="B-4-BA-01 Klin 148"/>
        <s v="B-4-BA-02 Klin 153"/>
        <s v="B-4-BA-02 Klin 152"/>
        <s v="B-4-BA-02 Klin 148"/>
        <s v="B-2-BA-01 Klin 187"/>
        <s v="B-2-BA-01 Klin 348"/>
        <s v="B-3-BA-01 Klin 187"/>
        <s v="B-3-BA-01 Klin 34"/>
        <s v="B-4-BA-01 Klin 170"/>
        <s v="B-2-BA-02 Klin 187"/>
        <s v="B-2-BA-02 Klin 34"/>
        <s v="B-3-BA-02 Klin 187"/>
        <s v="B-3-BA-02 Klin 34"/>
        <s v="B-4-BA-02 Klin 170"/>
        <s v="B-2-BA-01 Klin 195"/>
        <s v="B-2-BA-03 Klin 241"/>
        <s v="B-3-BA-03 Klin 241"/>
        <s v="B-4-BA-03 Klin 241"/>
        <s v="B-3-BA-01 Klin 195"/>
        <s v="B-2-BA-02 Klin 195"/>
        <s v="B-3-BA-02 Klin 195"/>
        <s v="B-2-BA-04 Klin 131"/>
        <s v="B-2-BA-04 Klin 104"/>
        <s v="B-2-BA-04 Klin 103"/>
        <s v="B-3-BA-04 Klin 131"/>
        <s v="B-3-BA-04 Klin 104"/>
        <s v="B-3-BA-04 Klin 103"/>
        <s v="B-4-BA-04 Klin 107"/>
        <s v="B-4-BA-04 Klin 104"/>
        <s v="B-4-BA-04 Klin 103"/>
        <s v="B-3-BA-01 Klin 1"/>
        <s v="B-3-BA-02 Klin 1"/>
        <s v="B-2-BA-02 Klin 22"/>
        <s v="B-2-BA-02 Klin 1"/>
        <s v="B-2-BA-01 Klin 194"/>
        <s v="B-3-BA-01 Klin 194"/>
        <s v="B-2-BA-02 Klin 194"/>
        <s v="B-3-BA-02 Klin 194"/>
        <s v="B-2-BA-01 Klin 36"/>
        <s v="B-2-BA-03 Klin 243"/>
        <s v="B-2-BA-03 Klin 242"/>
        <s v="B-3-BA-03 Klin 243"/>
        <s v="B-3-BA-03 Klin 242"/>
        <s v="B-4-BA-03 Klin 243"/>
        <s v="B-4-BA-03 Klin 242"/>
        <s v="B-2-BA-03 Klin 215"/>
        <s v="B-2-BA-03 Klin 214"/>
        <s v="B-2-BA-03 Klin 213"/>
        <s v="B-3-BA-03 Klin 215"/>
        <s v="B-3-BA-03 Klin 214"/>
        <s v="B-3-BA-03 Klin 213"/>
        <s v="B-4-BA-03 Klin 215"/>
        <s v="B-4-BA-03 Klin 214"/>
        <s v="B-4-BA-03 Klin 213"/>
        <s v="B-4-BA-01 Klin 172"/>
        <s v="B-4-BA-02 Klin 172"/>
        <s v="B-2-BA-04 Klin 132"/>
        <s v="B-2-BA-04 Klin 108"/>
        <s v="B-3-BA-04 Klin 132"/>
        <s v="B-3-BA-04 Klin 108"/>
        <s v="B-4-BA-04 Klin 109"/>
        <s v="B-4-BA-04 Klin 108"/>
        <s v="B-2-BA-03 Klin 35"/>
        <s v="B-2-BA-04 Klin 33"/>
        <s v="B-3-BA-04 Klin 33"/>
        <s v="B-3-BA-03 Klin 30"/>
        <s v="B-4-BA-01 Klin 32"/>
        <s v="B-4-BA-02 Klin 32"/>
        <s v="B-4-BA-04 Klin 31"/>
        <s v="B-4-BA-03 Klin 30"/>
        <s v="B-2-BA-01 Klin 173"/>
        <s v="B-2-BA-01 Klin 171"/>
        <s v="B-2-BA-01 Klin 19"/>
        <s v="B-2-BA-03 Klin 245"/>
        <s v="B-2-BA-03 Klin 272"/>
        <s v="B-2-BA-03 Klin 240"/>
        <s v="B-2-BA-03 Klin 263"/>
        <s v="B-3-BA-03 Klin 245"/>
        <s v="B-3-BA-03 Klin 239"/>
        <s v="B-3-BA-03 Klin 240"/>
        <s v="B-3-BA-03 Klin 227"/>
        <s v="B-4-BA-03 Klin 245"/>
        <s v="B-4-BA-03 Klin 239"/>
        <s v="B-4-BA-03 Klin 240"/>
        <s v="B-4-BA-03 Klin 227"/>
        <s v="B-3-BA-01 Klin 173"/>
        <s v="B-3-BA-01 Klin 171"/>
        <s v="B-3-BA-01 Klin 19"/>
        <s v="B-4-BA-01 Klin 173"/>
        <s v="B-4-BA-01 Klin 171"/>
        <s v="B-4-BA-01 Klin 149"/>
        <s v="B-2-BA-02 Klin 173"/>
        <s v="B-2-BA-02 Klin 171"/>
        <s v="B-2-BA-02 Klin 19"/>
        <s v="B-3-BA-02 Klin 173"/>
        <s v="B-3-BA-02 Klin 171"/>
        <s v="B-3-BA-02 Klin 19"/>
        <s v="B-4-BA-02 Klin 173"/>
        <s v="B-4-BA-02 Klin 171"/>
        <s v="B-4-BA-02 Klin 149"/>
        <s v="B-2-BA-04 Klin 130"/>
        <s v="B-2-BA-04 Klin 105"/>
        <s v="B-2-BA-04 Klin 18"/>
        <s v="B-3-BA-04 Klin 130"/>
        <s v="B-3-BA-04 Klin 105"/>
        <s v="B-3-BA-04 Klin 18"/>
        <s v="B-4-BA-04 Klin 106"/>
        <s v="B-4-BA-04 Klin 105"/>
        <s v="B-4-BA-04 Klin 17"/>
        <s v="B-2-BA-01 Klin 20"/>
        <s v="B-2-BA-01 Klin 353"/>
        <s v="B-2-BA-01 Klin 193"/>
        <s v="B-2-BA-01 Klin 168"/>
        <s v="B-2-BA-01 Klin 352"/>
        <s v="B-2-BA-03 Klin 273"/>
        <s v="B-2-BA-03 Klin 271"/>
        <s v="B-3-BA-03 Klin 244"/>
        <s v="B-3-BA-03 Klin 12"/>
        <s v="B-4-BA-03 Klin 244"/>
        <s v="B-4-BA-03 Klin 12"/>
        <s v="B-2-BA-03 Klin 217"/>
        <s v="B-3-BA-03 Klin 216"/>
        <s v="B-4-BA-03 Klin 216"/>
        <s v="B-3-BA-01 Klin 20"/>
        <s v="B-3-BA-01 Klin 193"/>
        <s v="B-3-BA-01 Klin 168"/>
        <s v="B-4-BA-01 Klin 202"/>
        <s v="B-4-BA-01 Klin 169"/>
        <s v="B-4-BA-01 Klin 168"/>
        <s v="B-4-BA-01 Klin 151"/>
        <s v="B-2-BA-02 Klin 20"/>
        <s v="B-2-BA-02 Klin 193"/>
        <s v="B-2-BA-02 Klin 168"/>
        <s v="B-3-BA-02 Klin 20"/>
        <s v="B-3-BA-02 Klin 193"/>
        <s v="B-3-BA-02 Klin 168"/>
        <s v="B-4-BA-02 Klin 150"/>
        <s v="B-4-BA-02 Klin 169"/>
        <s v="B-4-BA-02 Klin 168"/>
        <s v="B-4-BA-02 Klin 151"/>
        <s v="B-2-BA-04 Klin 12"/>
        <s v="B-3-BA-04 Klin 12"/>
        <s v="B-4-BA-04 Klin 12"/>
        <s v="B-3-BA-01 Klin 21"/>
        <s v="C-205X-TRB-01 Klin 136"/>
        <s v="C-201X-TRB-01 Klin 84"/>
        <s v="C-203X-TRB-01 Klin 84"/>
        <s v="C-202X-TRB-01 Klin 74"/>
        <s v="C-204X-TRB-01 Klin 161"/>
        <s v="C-402Y-TRB-01 Klin 7"/>
        <s v="C-402Y-TRB-01 Klin 96"/>
        <s v="C-402X-TRB-01 Klin 24"/>
        <s v="C-401Z-TRB-01 Klin 33"/>
        <s v="C-304X-TRB-01 Klin 90"/>
        <s v="C-401Y-TRB-01 Klin 104"/>
        <s v="C-401X-TRB-01 Klin 54"/>
        <s v="C-302X-TRB-01 Klin 118"/>
        <s v="C-302X-TRB-01 Klin 105"/>
        <s v="C-301Y-TRB-01 Klin 13"/>
        <s v="C-303X-TRB-01 Klin 13"/>
        <s v="C-301X-TRB-01 Klin 117"/>
        <s v="C-205X-TRB-02 Klin 132"/>
        <s v="C-401Z-TRB-02 Klin 47"/>
        <s v="C-402X-TRB-02 Klin 102"/>
        <s v="C-304X-TRB-02 Klin 86"/>
        <s v="C-201X-TRB-02 Klin 168"/>
        <s v="C-203X-TRB-02 Klin 169"/>
        <s v="C-204X-TRB-02 Klin 152"/>
        <s v="C-202X-TRB-02 Klin 83"/>
        <s v="C-303X-TRB-02 Klin 145"/>
        <s v="C-302X-TRB-02 Klin 115"/>
        <s v="C-301Y-TRB-02 Klin 115"/>
        <s v="C-402X-TRB-02 Klin 28"/>
        <s v="C-402X-TRB-02 Klin 22"/>
        <s v="C-402X-TRB-02 Klin 19"/>
        <s v="C-205X-TRB-02 Klin 139"/>
        <s v="C-205X-TRB-02 Klin 137"/>
        <s v="C-205X-TRB-02 Klin 135"/>
        <s v="C-205X-TRB-02 Klin 133"/>
        <s v="C-304X-TRB-02 Klin 97"/>
        <s v="C-304X-TRB-02 Klin 89"/>
        <s v="C-304X-TRB-02 Klin 87"/>
        <s v="C-304X-TRB-02 Klin 95"/>
        <s v="C-402Y-TRB-02 Klin 2"/>
        <s v="C-402Y-TRB-02 Klin 14"/>
        <s v="C-402Y-TRB-02 Klin 6"/>
        <s v="C-402Y-TRB-02 Klin 12"/>
        <s v="C-402Y-TRB-02 Klin 4"/>
        <s v="C-301X-TRB-02 Klin 157"/>
        <s v="C-301X-TRB-02 Klin 72"/>
        <s v="C-201X-TRB-02 Klin 71"/>
        <s v="C-201X-TRB-02 Klin 155"/>
        <s v="C-401X-TRB-02 Klin 62"/>
        <s v="C-401X-TRB-02 Klin 63"/>
        <s v="C-204X-TRB-02 Klin 162"/>
        <s v="C-204X-TRB-02 Klin 164"/>
        <s v="C-401Z-TRB-02 Klin 35"/>
        <s v="C-401Z-TRB-02 Klin 43"/>
        <s v="C-401Z-TRB-02 Klin 41"/>
        <s v="C-401Y-TRB-02 Klin 51"/>
        <s v="C-401Y-TRB-02 Klin 58"/>
        <s v="C-301Y-TRB-02 Klin 68"/>
        <s v="C-301Y-TRB-02 Klin 80"/>
        <s v="C-301Y-TRB-02 Klin 78"/>
        <s v="C-303X-TRB-02 Klin 111"/>
        <s v="C-303X-TRB-02 Klin 109"/>
        <s v="C-202X-TRB-02 Klin 126"/>
        <s v="C-202X-TRB-02 Klin 128"/>
        <s v="C-203X-TRB-02 Klin 148"/>
        <s v="C-203X-TRB-02 Klin 144"/>
        <s v="C-203X-TRB-02 Klin 146"/>
        <s v="C-302X-TRB-02 Klin 121"/>
        <s v="C-302X-TRB-02 Klin 119"/>
        <s v="C-205X-TRB-01 Klin 142"/>
        <s v="C-205X-TRB-01 Klin 140"/>
        <s v="C-205X-TRB-01 Klin 138"/>
        <s v="C-205X-TRB-01 Klin 134"/>
        <s v="C-205X-TRB-01 Klin 143"/>
        <s v="C-205X-TRB-01 Klin 141"/>
        <s v="C-402X-TRB-01 Klin 32"/>
        <s v="C-402X-TRB-01 Klin 30"/>
        <s v="C-402X-TRB-01 Klin 29"/>
        <s v="C-402X-TRB-01 Klin 20"/>
        <s v="C-304X-TRB-01 Klin 101"/>
        <s v="C-304X-TRB-01 Klin 100"/>
        <s v="C-304X-TRB-01 Klin 99"/>
        <s v="C-304X-TRB-01 Klin 98"/>
        <s v="C-304X-TRB-01 Klin 88"/>
        <s v="C-402Y-TRB-01 Klin 3"/>
        <s v="C-402Y-TRB-01 Klin 17"/>
        <s v="C-402Y-TRB-01 Klin 16"/>
        <s v="C-402Y-TRB-01 Klin 15"/>
        <s v="C-402Y-TRB-01 Klin 5"/>
        <s v="C-401Y-TRB-01 Klin 52"/>
        <s v="C-401Y-TRB-01 Klin 50"/>
        <s v="C-401Y-TRB-01 Klin 60"/>
        <s v="C-401Y-TRB-01 Klin 59"/>
        <s v="C-202X-TRB-01 Klin 131"/>
        <s v="C-202X-TRB-01 Klin 127"/>
        <s v="C-202X-TRB-01 Klin 130"/>
        <s v="C-202X-TRB-01 Klin 129"/>
        <s v="C-204X-TRB-01 Klin 167"/>
        <s v="C-204X-TRB-01 Klin 166"/>
        <s v="C-204X-TRB-01 Klin 165"/>
        <s v="C-204X-TRB-01 Klin 163"/>
        <s v="C-301Y-TRB-01 Klin 69"/>
        <s v="C-301Y-TRB-01 Klin 79"/>
        <s v="C-301Y-TRB-01 Klin 82"/>
        <s v="C-301Y-TRB-01 Klin 81"/>
        <s v="C-301Y-TRB-01 Klin 106"/>
        <s v="C-401Z-TRB-01 Klin 42"/>
        <s v="C-401Z-TRB-01 Klin 46"/>
        <s v="C-401Z-TRB-01 Klin 45"/>
        <s v="C-401Z-TRB-01 Klin 44"/>
        <s v="C-303X-TRB-01 Klin 114"/>
        <s v="C-303X-TRB-01 Klin 113"/>
        <s v="C-303X-TRB-01 Klin 112"/>
        <s v="C-303X-TRB-01 Klin 110"/>
        <s v="C-203X-TRB-01 Klin 151"/>
        <s v="C-203X-TRB-01 Klin 149"/>
        <s v="C-203X-TRB-01 Klin 147"/>
        <s v="C-201X-TRB-01 Klin 70"/>
        <s v="C-201X-TRB-01 Klin 85"/>
        <s v="C-302X-TRB-01 Klin 124"/>
        <s v="C-302X-TRB-01 Klin 123"/>
        <s v="C-302X-TRB-01 Klin 122"/>
        <s v="C-302X-TRB-01 Klin 120"/>
        <s v="C-301X-TRB-01 Klin 156"/>
        <s v="C-301X-TRB-01 Klin 158"/>
        <s v="C-401X-TRB-01 Klin 61"/>
        <s v="C-401X-TRB-01 Klin 67"/>
        <s v="A-DAB-03 Klin 52"/>
        <s v="A-DAB-02 Klin 52"/>
        <s v="A-DAB-01 Klin 52"/>
        <s v="C-4-TRG-12 Klin 45"/>
        <s v="C-2-TRG-11 Klin 45"/>
        <s v="C-3-TRG-11 Klin 45"/>
        <s v="C-4-TRG-08 Klin 46"/>
        <s v="C-4-TRG-06 Klin 46"/>
        <s v="C-2-TRG-07 Klin 46"/>
        <s v="C-2-TRG-05 Klin 46"/>
        <s v="C-3-TRG-07 Klin 46"/>
        <s v="C-3-TRG-05 Klin 46"/>
        <s v="C-4-TRG-10 Klin 47"/>
        <s v="C-4-TRG-10 Klin 48"/>
        <s v="C-4-TRG-08 Klin 47"/>
        <s v="C-4-TRG-08 Klin 48"/>
        <s v="C-4-TRG-06 Klin 47"/>
        <s v="C-4-TRG-06 Klin 48"/>
        <s v="C-4-TRG-04 Klin 47"/>
        <s v="C-4-TRG-04 Klin 48"/>
        <s v="C-4-TRG-02 Klin 47"/>
        <s v="C-4-TRG-02 Klin 48"/>
        <s v="C-4-TRG-12 Klin 53"/>
        <s v="C-4-TRG-12 Klin 52"/>
        <s v="C-4-TRG-10 Klin 49"/>
        <s v="C-4-TRG-12 Klin 48"/>
        <s v="C-4-TRG-12 Klin 47"/>
        <s v="C-4-TRG-08 Klin 49"/>
        <s v="C-4-TRG-08 Klin 51"/>
        <s v="C-4-TRG-06 Klin 49"/>
        <s v="C-2-TRG-09 Klin 47"/>
        <s v="C-2-TRG-09 Klin 48"/>
        <s v="C-2-TRG-07 Klin 47"/>
        <s v="C-2-TRG-07 Klin 48"/>
        <s v="C-2-TRG-05 Klin 47"/>
        <s v="C-2-TRG-05 Klin 48"/>
        <s v="C-2-TRG-03 Klin 47"/>
        <s v="C-2-TRG-03 Klin 48"/>
        <s v="C-2-TRG-11 Klin 53"/>
        <s v="C-2-TRG-11 Klin 52"/>
        <s v="C-2-TRG-09 Klin 49"/>
        <s v="C-2-TRG-11 Klin 47"/>
        <s v="C-2-TRG-07 Klin 49"/>
        <s v="C-2-TRG-05 Klin 49"/>
        <s v="C-2-TRG-11 Klin 48"/>
        <s v="C-2-TRG-07 Klin 51"/>
        <s v="C-3-TRG-09 Klin 47"/>
        <s v="C-3-TRG-09 Klin 48"/>
        <s v="C-3-TRG-07 Klin 47"/>
        <s v="C-3-TRG-07 Klin 48"/>
        <s v="C-3-TRG-05 Klin 47"/>
        <s v="C-3-TRG-05 Klin 48"/>
        <s v="C-3-TRG-03 Klin 47"/>
        <s v="C-3-TRG-03 Klin 48"/>
        <s v="C-3-TRG-11 Klin 53"/>
        <s v="C-3-TRG-11 Klin 52"/>
        <s v="C-3-TRG-09 Klin 49"/>
        <s v="C-3-TRG-11 Klin 48"/>
        <s v="C-3-TRG-11 Klin 47"/>
        <s v="C-3-TRG-07 Klin 49"/>
        <s v="C-3-TRG-07 Klin 51"/>
        <s v="C-3-TRG-05 Klin 49"/>
        <s v="C-4-TRG-04 Klin 50"/>
        <s v="C-4-TRG-04 Klin 49"/>
        <s v="C-2-TRG-03 Klin 50"/>
        <s v="C-2-TRG-03 Klin 49"/>
        <s v="C-3-TRG-03 Klin 50"/>
        <s v="C-3-TRG-03 Klin 49"/>
        <s v="C-4-TRG-11 Klin 85"/>
        <s v="C-4-TRG-07 Klin 131"/>
        <s v="C-2-TRG-06 Klin 174"/>
        <s v="C-3-TRG-06 Klin 174"/>
        <s v="C-2-TRG-06 Klin 204"/>
        <s v="C-3-TRG-06 Klin 204"/>
        <s v="C-4-TRG-03 Klin 162"/>
        <s v="C-2-TRG-06 Klin 203"/>
        <s v="C-3-TRG-06 Klin 203"/>
        <s v="C-2-TRG-10 Klin 183"/>
        <s v="C-3-TRG-10 Klin 183"/>
        <s v="C-4-TRG-03 Klin 163"/>
        <s v="C-4-TRG-03 Klin 164"/>
        <s v="C-4-TRG-07 Klin 130"/>
        <s v="C-4-TRG-11 Klin 84"/>
        <s v="C-2-TRG-10 Klin 172"/>
        <s v="C-3-TRG-10 Klin 172"/>
        <s v="C-2-TRG-10 Klin 184"/>
        <s v="C-3-TRG-10 Klin 184"/>
        <s v="C-4-TRG-11 Klin 86"/>
        <s v="C-4-TRG-07 Klin 132"/>
        <s v="C-2-TRG-10 Klin 185"/>
        <s v="C-3-TRG-10 Klin 185"/>
        <s v="C-2-TRG-06 Klin 205"/>
        <s v="C-3-TRG-06 Klin 205"/>
        <s v="C-4-TRG-03 Klin 161"/>
        <s v="C-2-TRG-06 Klin 202"/>
        <s v="C-3-TRG-06 Klin 202"/>
        <s v="C-2-TRG-10 Klin 182"/>
        <s v="C-3-TRG-10 Klin 182"/>
        <s v="C-4-TRG-07 Klin 129"/>
        <s v="C-4-TRG-11 Klin 83"/>
        <s v="C-4-TRG-11 Klin 87"/>
        <s v="C-4-TRG-07 Klin 133"/>
        <s v="C-2-TRG-10 Klin 186"/>
        <s v="C-3-TRG-10 Klin 186"/>
        <s v="C-2-TRG-06 Klin 206"/>
        <s v="C-3-TRG-06 Klin 206"/>
        <s v="C-4-TRG-03 Klin 160"/>
        <s v="C-2-TRG-06 Klin 201"/>
        <s v="C-3-TRG-06 Klin 201"/>
        <s v="C-2-TRG-10 Klin 181"/>
        <s v="C-3-TRG-10 Klin 181"/>
        <s v="C-4-TRG-07 Klin 128"/>
        <s v="C-4-TRG-11 Klin 82"/>
        <s v="C-4-TRG-11 Klin 88"/>
        <s v="C-4-TRG-07 Klin 134"/>
        <s v="C-2-TRG-10 Klin 187"/>
        <s v="C-3-TRG-10 Klin 187"/>
        <s v="C-2-TRG-06 Klin 207"/>
        <s v="C-3-TRG-06 Klin 207"/>
        <s v="C-4-TRG-03 Klin 159"/>
        <s v="C-4-TRG-07 Klin 79"/>
        <s v="C-4-TRG-11 Klin 79"/>
        <s v="C-2-TRG-06 Klin 198"/>
        <s v="C-2-TRG-10 Klin 178"/>
        <s v="C-3-TRG-06 Klin 198"/>
        <s v="C-3-TRG-10 Klin 178"/>
        <s v="C-2-TRG-06 Klin 200"/>
        <s v="C-3-TRG-06 Klin 200"/>
        <s v="C-2-TRG-10 Klin 180"/>
        <s v="C-3-TRG-10 Klin 180"/>
        <s v="C-4-TRG-07 Klin 127"/>
        <s v="C-4-TRG-11 Klin 81"/>
        <s v="C-4-TRG-07 Klin 93"/>
        <s v="C-4-TRG-11 Klin 93"/>
        <s v="C-2-TRG-06 Klin 93"/>
        <s v="C-2-TRG-10 Klin 93"/>
        <s v="C-3-TRG-06 Klin 93"/>
        <s v="C-3-TRG-10 Klin 93"/>
        <s v="C-4-TRG-07 Klin 92"/>
        <s v="C-4-TRG-11 Klin 92"/>
        <s v="C-2-TRG-06 Klin 92"/>
        <s v="C-2-TRG-10 Klin 92"/>
        <s v="C-3-TRG-06 Klin 92"/>
        <s v="C-3-TRG-10 Klin 92"/>
        <s v="C-4-TRG-11 Klin 80"/>
        <s v="C-4-TRG-07 Klin 80"/>
        <s v="C-2-TRG-06 Klin 199"/>
        <s v="C-2-TRG-10 Klin 179"/>
        <s v="C-3-TRG-06 Klin 199"/>
        <s v="C-3-TRG-10 Klin 179"/>
        <s v="C-4-TRG-03 Klin 158"/>
        <s v="C-4-TRG-09 Klin 123"/>
        <s v="C-2-TRG-08 Klin 123"/>
        <s v="C-3-TRG-08 Klin 123"/>
        <s v="C-4-TRG-05 Klin 166"/>
        <s v="C-2-TRG-04 Klin 166"/>
        <s v="C-3-TRG-04 Klin 166"/>
        <s v="C-4-TRG-09 Klin 122"/>
        <s v="C-2-TRG-08 Klin 122"/>
        <s v="C-3-TRG-08 Klin 122"/>
        <s v="C-4-TRG-05 Klin 165"/>
        <s v="C-2-TRG-04 Klin 165"/>
        <s v="C-3-TRG-04 Klin 165"/>
        <s v="C-4-TRG-09 Klin 114"/>
        <s v="C-4-TRG-05 Klin 145"/>
        <s v="C-2-TRG-04 Klin 145"/>
        <s v="C-3-TRG-04 Klin 145"/>
        <s v="C-2-TRG-08 Klin 190"/>
        <s v="C-3-TRG-08 Klin 190"/>
        <s v="C-4-TRG-07 Klin 90"/>
        <s v="C-4-TRG-11 Klin 90"/>
        <s v="C-2-TRG-06 Klin 90"/>
        <s v="C-2-TRG-10 Klin 90"/>
        <s v="C-3-TRG-06 Klin 90"/>
        <s v="C-3-TRG-10 Klin 90"/>
        <s v="C-4-TRG-03 Klin 169"/>
        <s v="C-4-TRG-13 Klin 68"/>
        <s v="C-2-TRG-12 Klin 68"/>
        <s v="C-3-TRG-12 Klin 68"/>
        <s v="C-4-TRG-03 Klin 170"/>
        <s v="C-4-TRG-07 Klin 91"/>
        <s v="C-4-TRG-11 Klin 91"/>
        <s v="C-2-TRG-06 Klin 91"/>
        <s v="C-2-TRG-10 Klin 91"/>
        <s v="C-3-TRG-06 Klin 91"/>
        <s v="C-3-TRG-10 Klin 91"/>
        <s v="C-4-TRG-13 Klin 105"/>
        <s v="C-2-TRG-12 Klin 105"/>
        <s v="C-3-TRG-12 Klin 105"/>
        <s v="C-4-TRG-09 Klin 124"/>
        <s v="C-2-TRG-08 Klin 124"/>
        <s v="C-3-TRG-08 Klin 124"/>
        <s v="C-4-TRG-05 Klin 167"/>
        <s v="C-2-TRG-04 Klin 167"/>
        <s v="C-3-TRG-04 Klin 167"/>
        <s v="C-2-TRG-08 Klin 197"/>
        <s v="C-3-TRG-08 Klin 197"/>
        <s v="C-2-TRG-04 Klin 213"/>
        <s v="C-3-TRG-04 Klin 213"/>
        <s v="C-4-TRG-09 Klin 121"/>
        <s v="C-4-TRG-05 Klin 152"/>
        <s v="C-4-TRG-13 Klin 106"/>
        <s v="C-2-TRG-12 Klin 106"/>
        <s v="C-3-TRG-12 Klin 106"/>
        <s v="C-4-TRG-09 Klin 125"/>
        <s v="C-2-TRG-08 Klin 125"/>
        <s v="C-3-TRG-08 Klin 125"/>
        <s v="C-4-TRG-05 Klin 168"/>
        <s v="C-2-TRG-04 Klin 168"/>
        <s v="C-3-TRG-04 Klin 168"/>
        <s v="C-4-TRG-13 Klin 72"/>
        <s v="C-2-TRG-12 Klin 72"/>
        <s v="C-3-TRG-12 Klin 72"/>
        <s v="C-4-TRG-09 Klin 115"/>
        <s v="C-4-TRG-05 Klin 146"/>
        <s v="C-2-TRG-04 Klin 146"/>
        <s v="C-3-TRG-04 Klin 146"/>
        <s v="C-2-TRG-08 Klin 191"/>
        <s v="C-3-TRG-08 Klin 191"/>
        <s v="C-2-TRG-08 Klin 196"/>
        <s v="C-3-TRG-08 Klin 196"/>
        <s v="C-2-TRG-04 Klin 212"/>
        <s v="C-3-TRG-04 Klin 212"/>
        <s v="C-4-TRG-09 Klin 120"/>
        <s v="C-4-TRG-05 Klin 151"/>
        <s v="C-4-TRG-13 Klin 71"/>
        <s v="C-2-TRG-12 Klin 71"/>
        <s v="C-3-TRG-12 Klin 71"/>
        <s v="C-4-TRG-09 Klin 116"/>
        <s v="C-4-TRG-05 Klin 147"/>
        <s v="C-2-TRG-04 Klin 147"/>
        <s v="C-3-TRG-04 Klin 147"/>
        <s v="C-2-TRG-08 Klin 192"/>
        <s v="C-3-TRG-08 Klin 192"/>
        <s v="C-2-TRG-12 Klin 177"/>
        <s v="C-3-TRG-12 Klin 177"/>
        <s v="C-2-TRG-08 Klin 195"/>
        <s v="C-3-TRG-08 Klin 195"/>
        <s v="C-2-TRG-04 Klin 211"/>
        <s v="C-3-TRG-04 Klin 211"/>
        <s v="C-4-TRG-09 Klin 119"/>
        <s v="C-4-TRG-05 Klin 150"/>
        <s v="C-4-TRG-13 Klin 70"/>
        <s v="C-2-TRG-12 Klin 70"/>
        <s v="C-3-TRG-12 Klin 70"/>
        <s v="C-4-TRG-09 Klin 117"/>
        <s v="C-4-TRG-05 Klin 148"/>
        <s v="C-2-TRG-04 Klin 148"/>
        <s v="C-3-TRG-04 Klin 148"/>
        <s v="C-2-TRG-08 Klin 193"/>
        <s v="C-3-TRG-08 Klin 193"/>
        <s v="C-2-TRG-08 Klin 189"/>
        <s v="C-3-TRG-08 Klin 189"/>
        <s v="C-2-TRG-08 Klin 188"/>
        <s v="C-3-TRG-08 Klin 188"/>
        <s v="C-2-TRG-04 Klin 209"/>
        <s v="C-3-TRG-04 Klin 209"/>
        <s v="C-2-TRG-04 Klin 208"/>
        <s v="C-3-TRG-04 Klin 208"/>
        <s v="C-4-TRG-09 Klin 118"/>
        <s v="C-4-TRG-05 Klin 149"/>
        <s v="C-4-TRG-09 Klin 113"/>
        <s v="C-4-TRG-05 Klin 144"/>
        <s v="C-4-TRG-09 Klin 112"/>
        <s v="C-4-TRG-05 Klin 143"/>
        <s v="C-4-TRG-13 Klin 69"/>
        <s v="C-2-TRG-12 Klin 69"/>
        <s v="C-3-TRG-12 Klin 69"/>
        <s v="C-2-TRG-08 Klin 173"/>
        <s v="C-3-TRG-08 Klin 173"/>
        <s v="C-2-TRG-08 Klin 194"/>
        <s v="C-3-TRG-08 Klin 194"/>
        <s v="C-2-TRG-04 Klin 175"/>
        <s v="C-3-TRG-04 Klin 175"/>
        <s v="C-2-TRG-04 Klin 210"/>
        <s v="C-3-TRG-04 Klin 210"/>
        <s v="C-2-TRG-12 Klin 171"/>
        <s v="C-3-TRG-12 Klin 171"/>
        <s v="C-4-TRG-13 Klin 73"/>
        <s v="C-2-TRG-12 Klin 103"/>
        <s v="C-3-TRG-12 Klin 103"/>
        <s v="C-4-TRG-13 Klin 103"/>
        <s v="C-4-TRG-13 Klin 104"/>
        <s v="C-2-TRG-12 Klin 104"/>
        <s v="C-3-TRG-12 Klin 104"/>
        <s v="B-DAB-04 Klin 84"/>
        <s v="B-DAB-03 Klin 80"/>
        <s v="B-DAB-02 Klin 99"/>
        <s v="B-DAB-01 Klin 99"/>
        <s v="B-DAB-02 Klin 105"/>
        <s v="B-DAB-01 Klin 105"/>
        <s v="C-DAB-01 Klin 29"/>
        <s v="C-DAB-02 Klin 29"/>
        <s v="C-DAB-03 Klin 29"/>
        <s v="C-DAB-04 Klin 29"/>
        <s v="C-DAB-05 Klin 29"/>
        <s v="A-3-TRG-06 Klin 132"/>
        <s v="A-3-TRG-05 Klin 132"/>
        <s v="A-3-TRG-05 Klin 130"/>
        <s v="A-2-TRG-06 Klin 132"/>
        <s v="A-2-TRG-05 Klin 132"/>
        <s v="A-2-TRG-05 Klin 130"/>
        <s v="A-2-TRG-03 Klin 123"/>
        <s v="A-2-TRG-02 Klin 123"/>
        <s v="A-3-TRG-03 Klin 123"/>
        <s v="A-3-TRG-02 Klin 123"/>
        <s v="A-2-TRG-03 Klin 57"/>
        <s v="A-2-TRG-03 Klin 56"/>
        <s v="A-2-TRG-03 Klin 127"/>
        <s v="A-3-TRG-03 Klin 57"/>
        <s v="A-3-TRG-03 Klin 56"/>
        <s v="A-3-TRG-03 Klin 127"/>
        <s v="A-4-TRG-03 Klin 57"/>
        <s v="A-4-TRG-03 Klin 56"/>
        <s v="A-4-TRG-03 Klin 55"/>
        <s v="A-4-TRG-03 Klin 6"/>
        <s v="A-4-TRG-03 Klin 8"/>
        <s v="A-3-TRG-06 Klin 64"/>
        <s v="A-3-TRG-06 Klin 136"/>
        <s v="A-3-TRG-06 Klin 135"/>
        <s v="A-4-TRG-06 Klin 64"/>
        <s v="A-2-TRG-06 Klin 64"/>
        <s v="A-2-TRG-06 Klin 135"/>
        <s v="A-3-TRG-05 Klin 131"/>
        <s v="A-4-TRG-06 Klin 65"/>
        <s v="A-2-TRG-05 Klin 131"/>
        <s v="A-2-TRG-02 Klin 125"/>
        <s v="A-3-TRG-02 Klin 125"/>
        <s v="A-4-TRG-03 Klin 110"/>
        <s v="A-2-TRG-02 Klin 124"/>
        <s v="A-2-TRG-02 Klin 53"/>
        <s v="A-3-TRG-02 Klin 124"/>
        <s v="A-3-TRG-02 Klin 53"/>
        <s v="A-4-TRG-02 Klin 53"/>
        <s v="A-4-TRG-05 Klin 62"/>
        <s v="A-3-TRG-05 Klin 129"/>
        <s v="A-3-TRG-05 Klin 60"/>
        <s v="A-4-TRG-05 Klin 60"/>
        <s v="A-2-TRG-05 Klin 129"/>
        <s v="A-2-TRG-05 Klin 60"/>
        <s v="A-4-TRG-05 Klin 61"/>
        <s v="A-4-TRG-02 Klin 112"/>
        <s v="A-4-TRG-02 Klin 54"/>
        <s v="A-4-TRG-02 Klin 111"/>
        <s v="A-4-TRG-01 Klin 45"/>
        <s v="A-2-TRG-08 Klin 139"/>
        <s v="A-3-TRG-08 Klin 139"/>
        <s v="A-2-TRG-08 Klin 166"/>
        <s v="A-3-TRG-08 Klin 166"/>
        <s v="A-2-TRG-09 Klin 166"/>
        <s v="A-3-TRG-09 Klin 166"/>
        <s v="A-2-TRG-08 Klin 141"/>
        <s v="A-3-TRG-08 Klin 141"/>
        <s v="A-4-TRG-09 Klin 102"/>
        <s v="A-2-TRG-09 Klin 173"/>
        <s v="A-2-TRG-09 Klin 99"/>
        <s v="A-2-TRG-09 Klin 100"/>
        <s v="A-2-TRG-09 Klin 98"/>
        <s v="A-3-TRG-09 Klin 173"/>
        <s v="A-3-TRG-09 Klin 99"/>
        <s v="A-3-TRG-09 Klin 100"/>
        <s v="A-3-TRG-09 Klin 172"/>
        <s v="A-3-TRG-09 Klin 98"/>
        <s v="A-4-TRG-09 Klin 99"/>
        <s v="A-4-TRG-09 Klin 100"/>
        <s v="A-4-TRG-09 Klin 98"/>
        <s v="A-4-TRG-09 Klin 103"/>
        <s v="A-4-TRG-09 Klin 4"/>
        <s v="A-4-TRG-08 Klin 97"/>
        <s v="A-2-TRG-08 Klin 69"/>
        <s v="A-2-TRG-08 Klin 140"/>
        <s v="A-3-TRG-08 Klin 69"/>
        <s v="A-3-TRG-08 Klin 140"/>
        <s v="A-4-TRG-08 Klin 69"/>
        <s v="A-4-TRG-08 Klin 70"/>
        <s v="A-3-TRG-07 Klin 119"/>
        <s v="A-2-TRG-07 Klin 119"/>
        <s v="A-3-TRG-07 Klin 120"/>
        <s v="A-2-TRG-07 Klin 120"/>
        <s v="A-2-TRG-04 Klin 118"/>
        <s v="A-3-TRG-04 Klin 118"/>
        <s v="A-2-TRG-04 Klin 117"/>
        <s v="A-3-TRG-04 Klin 117"/>
        <s v="A-4-TRG-06 Klin 5"/>
        <s v="A-2-TRG-10 Klin 167"/>
        <s v="A-3-TRG-10 Klin 167"/>
        <s v="A-2-TRG-10 Klin 169"/>
        <s v="A-3-TRG-10 Klin 169"/>
        <s v="A-4-TRG-04 Klin 48"/>
        <s v="A-3-TRG-07 Klin 63"/>
        <s v="A-3-TRG-07 Klin 134"/>
        <s v="A-4-TRG-07 Klin 63"/>
        <s v="A-4-TRG-07 Klin 66"/>
        <s v="A-2-TRG-07 Klin 63"/>
        <s v="A-2-TRG-07 Klin 134"/>
        <s v="A-2-TRG-04 Klin 7"/>
        <s v="A-2-TRG-04 Klin 128"/>
        <s v="A-3-TRG-04 Klin 7"/>
        <s v="A-3-TRG-04 Klin 128"/>
        <s v="A-4-TRG-04 Klin 7"/>
        <s v="A-4-TRG-04 Klin 47"/>
        <s v="A-2-TRG-10 Klin 101"/>
        <s v="A-2-TRG-10 Klin 168"/>
        <s v="A-3-TRG-10 Klin 101"/>
        <s v="A-3-TRG-10 Klin 168"/>
        <s v="A-4-TRG-10 Klin 101"/>
        <s v="A-3-TRG-01 Klin 185"/>
        <s v="A-2-TRG-01 Klin 185"/>
        <s v="A-3-TRG-01 Klin 186"/>
        <s v="A-2-TRG-01 Klin 186"/>
        <s v="A-4-TRG-01 Klin 49"/>
        <s v="A-4-TRG-01 Klin 115"/>
        <s v="A-4-TRG-01 Klin 113"/>
        <s v="A-4-TRG-01 Klin 114"/>
        <s v="A-3-TRG-01 Klin 122"/>
        <s v="A-3-TRG-01 Klin 121"/>
        <s v="A-2-TRG-01 Klin 122"/>
        <s v="A-2-TRG-01 Klin 121"/>
        <m u="1"/>
      </sharedItems>
    </cacheField>
    <cacheField name="Nazwa elementu" numFmtId="0">
      <sharedItems count="18">
        <s v="Dobitki budowa"/>
        <s v="Trejaże"/>
        <s v="-"/>
        <s v="Trap balkonu w module"/>
        <s v="Trap balkonu"/>
        <s v="Trap galerii"/>
        <s v="Tarasy galerie na gruncie"/>
        <s v="Trapy tarasu / balkonu na gruncie"/>
        <s v="Tarasy balkony na gruncie"/>
        <s v="Balkony"/>
        <s v="Galerie"/>
        <s v="Daszki nad balkonami"/>
        <s v="Daszki nad galeriami"/>
        <s v="Klin - Daszki nad galeriami"/>
        <s v="Klin Trap balkonu"/>
        <s v="Klin Balkony"/>
        <s v="Klin Daszki nad balkonami"/>
        <s v="Klin Trap galerii"/>
      </sharedItems>
    </cacheField>
    <cacheField name="Budynek" numFmtId="0">
      <sharedItems containsBlank="1" count="4">
        <s v="A"/>
        <s v="B"/>
        <s v="C"/>
        <m u="1"/>
      </sharedItems>
    </cacheField>
    <cacheField name="Data wykonania" numFmtId="14">
      <sharedItems containsNonDate="0" containsDate="1" containsString="0" containsBlank="1" minDate="2021-11-05T00:00:00" maxDate="2021-11-30T00:00:00" count="5">
        <m/>
        <d v="2021-11-06T00:00:00"/>
        <d v="2021-11-29T00:00:00"/>
        <d v="2021-11-05T00:00:00"/>
        <d v="2021-11-08T00:00:00"/>
      </sharedItems>
    </cacheField>
    <cacheField name="Wykonanie" numFmtId="0">
      <sharedItems count="2">
        <s v="NIEWYKONANE"/>
        <s v="WYKONANE"/>
      </sharedItems>
    </cacheField>
    <cacheField name="Nr skrzyni" numFmtId="0">
      <sharedItems containsBlank="1"/>
    </cacheField>
    <cacheField name="Gniazdo - Ściany" numFmtId="0">
      <sharedItems count="2">
        <s v="Mobi One"/>
        <s v="-"/>
      </sharedItems>
    </cacheField>
    <cacheField name="Realizacja data pakowania" numFmtId="14">
      <sharedItems containsNonDate="0" containsString="0" containsBlank="1"/>
    </cacheField>
    <cacheField name="Ilość" numFmtId="0">
      <sharedItems containsSemiMixedTypes="0" containsString="0" containsNumber="1" containsInteger="1" minValue="1" maxValue="1"/>
    </cacheField>
    <cacheField name="Firma" numFmtId="0">
      <sharedItems count="5">
        <s v="Unihouse"/>
        <s v="MK  Format"/>
        <s v="Izumrud"/>
        <s v="Izumrud "/>
        <s v="Dąb Gaj" u="1"/>
      </sharedItems>
    </cacheField>
    <cacheField name="Harmonogram" numFmtId="0">
      <sharedItems count="8">
        <s v="Harm_sciany"/>
        <s v="Harm_el_zewn"/>
        <s v="Harm_prod_stolarnia"/>
        <s v="Harm_podwyk"/>
        <s v="Harm_prod_stolarnia_kliny"/>
        <s v="Stolarnia/kliny" u="1"/>
        <s v="Ściany" u="1"/>
        <s v="Elementy zewnętrzne" u="1"/>
      </sharedItems>
    </cacheField>
    <cacheField name="Powierzchnia" numFmtId="0">
      <sharedItems containsString="0" containsBlank="1" containsNumber="1" minValue="0.32999865423249997" maxValue="15.889889622667035"/>
    </cacheField>
    <cacheField name="Typ firmy" numFmtId="0">
      <sharedItems count="2">
        <s v="Unihouse"/>
        <s v="Podwykonawca"/>
      </sharedItems>
    </cacheField>
    <cacheField name="MC" numFmtId="0">
      <sharedItems count="7">
        <s v=". "/>
        <s v="11. listopad"/>
        <s v="6. czerwiec" u="1"/>
        <s v="7. lipiec" u="1"/>
        <s v="8. sierpień" u="1"/>
        <s v="9. wrzesień" u="1"/>
        <s v="10. październik" u="1"/>
      </sharedItems>
      <fieldGroup par="15"/>
    </cacheField>
    <cacheField name="Rok" numFmtId="0">
      <sharedItems containsString="0" containsBlank="1" containsNumber="1" containsInteger="1" minValue="2021" maxValue="2021" count="2">
        <m/>
        <n v="2021"/>
      </sharedItems>
    </cacheField>
    <cacheField name="MC2" numFmtId="0" databaseField="0">
      <fieldGroup base="13">
        <discretePr count="7">
          <x v="0"/>
          <x v="1"/>
          <x v="0"/>
          <x v="0"/>
          <x v="0"/>
          <x v="0"/>
          <x v="0"/>
        </discretePr>
        <groupItems count="2">
          <s v="Grupuj1"/>
          <s v="11. listopad"/>
        </groupItems>
      </fieldGroup>
    </cacheField>
  </cacheFields>
  <extLst>
    <ext xmlns:x14="http://schemas.microsoft.com/office/spreadsheetml/2009/9/main" uri="{725AE2AE-9491-48be-B2B4-4EB974FC3084}">
      <x14:pivotCacheDefinition pivotCacheId="30936574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3">
  <r>
    <x v="0"/>
    <x v="0"/>
    <x v="0"/>
    <x v="0"/>
    <x v="0"/>
    <s v="1"/>
    <x v="0"/>
    <m/>
    <n v="1"/>
    <x v="0"/>
    <x v="0"/>
    <n v="4.3874997857232607"/>
    <x v="0"/>
    <x v="0"/>
    <x v="0"/>
  </r>
  <r>
    <x v="1"/>
    <x v="0"/>
    <x v="0"/>
    <x v="0"/>
    <x v="0"/>
    <s v="1"/>
    <x v="0"/>
    <m/>
    <n v="1"/>
    <x v="0"/>
    <x v="0"/>
    <n v="4.2120776392098689"/>
    <x v="0"/>
    <x v="0"/>
    <x v="0"/>
  </r>
  <r>
    <x v="2"/>
    <x v="0"/>
    <x v="0"/>
    <x v="0"/>
    <x v="0"/>
    <s v="1"/>
    <x v="0"/>
    <m/>
    <n v="1"/>
    <x v="0"/>
    <x v="0"/>
    <n v="4.2120019820508698"/>
    <x v="0"/>
    <x v="0"/>
    <x v="0"/>
  </r>
  <r>
    <x v="3"/>
    <x v="0"/>
    <x v="0"/>
    <x v="0"/>
    <x v="0"/>
    <s v="1"/>
    <x v="0"/>
    <m/>
    <n v="1"/>
    <x v="0"/>
    <x v="0"/>
    <n v="4.2348972947659878"/>
    <x v="0"/>
    <x v="0"/>
    <x v="0"/>
  </r>
  <r>
    <x v="4"/>
    <x v="0"/>
    <x v="0"/>
    <x v="0"/>
    <x v="0"/>
    <s v="2"/>
    <x v="0"/>
    <m/>
    <n v="1"/>
    <x v="0"/>
    <x v="0"/>
    <n v="4.3888501166012004"/>
    <x v="0"/>
    <x v="0"/>
    <x v="0"/>
  </r>
  <r>
    <x v="5"/>
    <x v="0"/>
    <x v="0"/>
    <x v="0"/>
    <x v="0"/>
    <s v="2"/>
    <x v="0"/>
    <m/>
    <n v="1"/>
    <x v="0"/>
    <x v="0"/>
    <n v="4.2120776392085197"/>
    <x v="0"/>
    <x v="0"/>
    <x v="0"/>
  </r>
  <r>
    <x v="6"/>
    <x v="0"/>
    <x v="0"/>
    <x v="0"/>
    <x v="0"/>
    <s v="2"/>
    <x v="0"/>
    <m/>
    <n v="1"/>
    <x v="0"/>
    <x v="0"/>
    <n v="4.2120019820643693"/>
    <x v="0"/>
    <x v="0"/>
    <x v="0"/>
  </r>
  <r>
    <x v="7"/>
    <x v="0"/>
    <x v="0"/>
    <x v="0"/>
    <x v="0"/>
    <s v="2"/>
    <x v="0"/>
    <m/>
    <n v="1"/>
    <x v="0"/>
    <x v="0"/>
    <n v="4.2334715538394789"/>
    <x v="0"/>
    <x v="0"/>
    <x v="0"/>
  </r>
  <r>
    <x v="8"/>
    <x v="0"/>
    <x v="0"/>
    <x v="0"/>
    <x v="0"/>
    <s v="3"/>
    <x v="0"/>
    <m/>
    <n v="1"/>
    <x v="0"/>
    <x v="0"/>
    <n v="4.1589518230493008"/>
    <x v="0"/>
    <x v="0"/>
    <x v="0"/>
  </r>
  <r>
    <x v="9"/>
    <x v="0"/>
    <x v="0"/>
    <x v="0"/>
    <x v="0"/>
    <s v="3"/>
    <x v="0"/>
    <m/>
    <n v="1"/>
    <x v="0"/>
    <x v="0"/>
    <n v="4.2565494307046272"/>
    <x v="0"/>
    <x v="0"/>
    <x v="0"/>
  </r>
  <r>
    <x v="10"/>
    <x v="0"/>
    <x v="1"/>
    <x v="0"/>
    <x v="0"/>
    <s v="4"/>
    <x v="0"/>
    <m/>
    <n v="1"/>
    <x v="0"/>
    <x v="0"/>
    <n v="3.2078410898587699"/>
    <x v="0"/>
    <x v="0"/>
    <x v="0"/>
  </r>
  <r>
    <x v="11"/>
    <x v="0"/>
    <x v="1"/>
    <x v="0"/>
    <x v="0"/>
    <s v="4"/>
    <x v="0"/>
    <m/>
    <n v="1"/>
    <x v="0"/>
    <x v="0"/>
    <n v="3.0795845195840554"/>
    <x v="0"/>
    <x v="0"/>
    <x v="0"/>
  </r>
  <r>
    <x v="12"/>
    <x v="0"/>
    <x v="1"/>
    <x v="0"/>
    <x v="0"/>
    <s v="4"/>
    <x v="0"/>
    <m/>
    <n v="1"/>
    <x v="0"/>
    <x v="0"/>
    <n v="3.079584519584055"/>
    <x v="0"/>
    <x v="0"/>
    <x v="0"/>
  </r>
  <r>
    <x v="13"/>
    <x v="0"/>
    <x v="1"/>
    <x v="0"/>
    <x v="0"/>
    <s v="4"/>
    <x v="0"/>
    <m/>
    <n v="1"/>
    <x v="0"/>
    <x v="0"/>
    <n v="3.0960844469763078"/>
    <x v="0"/>
    <x v="0"/>
    <x v="0"/>
  </r>
  <r>
    <x v="14"/>
    <x v="0"/>
    <x v="1"/>
    <x v="0"/>
    <x v="0"/>
    <s v="5"/>
    <x v="0"/>
    <m/>
    <n v="1"/>
    <x v="0"/>
    <x v="0"/>
    <n v="2.4364026504885712"/>
    <x v="0"/>
    <x v="0"/>
    <x v="0"/>
  </r>
  <r>
    <x v="15"/>
    <x v="0"/>
    <x v="1"/>
    <x v="0"/>
    <x v="0"/>
    <s v="5"/>
    <x v="0"/>
    <m/>
    <n v="1"/>
    <x v="0"/>
    <x v="0"/>
    <n v="2.3389898926067993"/>
    <x v="0"/>
    <x v="0"/>
    <x v="0"/>
  </r>
  <r>
    <x v="16"/>
    <x v="0"/>
    <x v="1"/>
    <x v="0"/>
    <x v="0"/>
    <s v="5"/>
    <x v="0"/>
    <m/>
    <n v="1"/>
    <x v="0"/>
    <x v="0"/>
    <n v="2.3389898924975601"/>
    <x v="0"/>
    <x v="0"/>
    <x v="0"/>
  </r>
  <r>
    <x v="17"/>
    <x v="0"/>
    <x v="1"/>
    <x v="0"/>
    <x v="0"/>
    <s v="5"/>
    <x v="0"/>
    <m/>
    <n v="1"/>
    <x v="0"/>
    <x v="0"/>
    <n v="2.3515230036076979"/>
    <x v="0"/>
    <x v="0"/>
    <x v="0"/>
  </r>
  <r>
    <x v="18"/>
    <x v="0"/>
    <x v="2"/>
    <x v="0"/>
    <x v="0"/>
    <s v="6"/>
    <x v="0"/>
    <m/>
    <n v="1"/>
    <x v="0"/>
    <x v="0"/>
    <n v="7.438233567273155"/>
    <x v="0"/>
    <x v="0"/>
    <x v="0"/>
  </r>
  <r>
    <x v="19"/>
    <x v="0"/>
    <x v="2"/>
    <x v="0"/>
    <x v="0"/>
    <s v="6"/>
    <x v="0"/>
    <m/>
    <n v="1"/>
    <x v="0"/>
    <x v="0"/>
    <n v="7.1408358052471756"/>
    <x v="0"/>
    <x v="0"/>
    <x v="0"/>
  </r>
  <r>
    <x v="20"/>
    <x v="0"/>
    <x v="2"/>
    <x v="0"/>
    <x v="0"/>
    <s v="6"/>
    <x v="0"/>
    <m/>
    <n v="1"/>
    <x v="0"/>
    <x v="0"/>
    <n v="7.1408358052380194"/>
    <x v="0"/>
    <x v="0"/>
    <x v="0"/>
  </r>
  <r>
    <x v="21"/>
    <x v="0"/>
    <x v="2"/>
    <x v="0"/>
    <x v="0"/>
    <s v="6"/>
    <x v="0"/>
    <m/>
    <n v="1"/>
    <x v="0"/>
    <x v="0"/>
    <n v="7.1794358133708274"/>
    <x v="0"/>
    <x v="0"/>
    <x v="0"/>
  </r>
  <r>
    <x v="22"/>
    <x v="0"/>
    <x v="2"/>
    <x v="0"/>
    <x v="0"/>
    <s v="7"/>
    <x v="0"/>
    <m/>
    <n v="1"/>
    <x v="0"/>
    <x v="0"/>
    <n v="6.4892466309052326"/>
    <x v="0"/>
    <x v="0"/>
    <x v="0"/>
  </r>
  <r>
    <x v="23"/>
    <x v="0"/>
    <x v="2"/>
    <x v="0"/>
    <x v="0"/>
    <s v="7"/>
    <x v="0"/>
    <m/>
    <n v="1"/>
    <x v="0"/>
    <x v="0"/>
    <n v="6.4892466306029482"/>
    <x v="0"/>
    <x v="0"/>
    <x v="0"/>
  </r>
  <r>
    <x v="24"/>
    <x v="0"/>
    <x v="2"/>
    <x v="0"/>
    <x v="0"/>
    <s v="7"/>
    <x v="0"/>
    <m/>
    <n v="1"/>
    <x v="0"/>
    <x v="0"/>
    <n v="5.932304952885568"/>
    <x v="0"/>
    <x v="0"/>
    <x v="0"/>
  </r>
  <r>
    <x v="25"/>
    <x v="0"/>
    <x v="2"/>
    <x v="0"/>
    <x v="0"/>
    <s v="8"/>
    <x v="0"/>
    <m/>
    <n v="1"/>
    <x v="0"/>
    <x v="0"/>
    <n v="7.371000003943843"/>
    <x v="0"/>
    <x v="0"/>
    <x v="0"/>
  </r>
  <r>
    <x v="26"/>
    <x v="0"/>
    <x v="2"/>
    <x v="0"/>
    <x v="0"/>
    <s v="8"/>
    <x v="0"/>
    <m/>
    <n v="1"/>
    <x v="0"/>
    <x v="0"/>
    <n v="7.0762907977146181"/>
    <x v="0"/>
    <x v="0"/>
    <x v="0"/>
  </r>
  <r>
    <x v="27"/>
    <x v="0"/>
    <x v="2"/>
    <x v="0"/>
    <x v="0"/>
    <s v="8"/>
    <x v="0"/>
    <m/>
    <n v="1"/>
    <x v="0"/>
    <x v="0"/>
    <n v="7.0762907957314107"/>
    <x v="0"/>
    <x v="0"/>
    <x v="0"/>
  </r>
  <r>
    <x v="28"/>
    <x v="0"/>
    <x v="2"/>
    <x v="0"/>
    <x v="0"/>
    <s v="8"/>
    <x v="0"/>
    <m/>
    <n v="1"/>
    <x v="0"/>
    <x v="0"/>
    <n v="6.3840778556194175"/>
    <x v="0"/>
    <x v="0"/>
    <x v="0"/>
  </r>
  <r>
    <x v="29"/>
    <x v="1"/>
    <x v="0"/>
    <x v="0"/>
    <x v="0"/>
    <s v="1"/>
    <x v="0"/>
    <m/>
    <n v="1"/>
    <x v="0"/>
    <x v="0"/>
    <n v="2.6316639353419418"/>
    <x v="0"/>
    <x v="0"/>
    <x v="0"/>
  </r>
  <r>
    <x v="30"/>
    <x v="1"/>
    <x v="0"/>
    <x v="0"/>
    <x v="0"/>
    <s v="1"/>
    <x v="0"/>
    <m/>
    <n v="1"/>
    <x v="0"/>
    <x v="0"/>
    <n v="3.2519446386353641"/>
    <x v="0"/>
    <x v="0"/>
    <x v="0"/>
  </r>
  <r>
    <x v="31"/>
    <x v="1"/>
    <x v="0"/>
    <x v="0"/>
    <x v="0"/>
    <s v="1"/>
    <x v="0"/>
    <m/>
    <n v="1"/>
    <x v="0"/>
    <x v="0"/>
    <n v="3.2245258569452688"/>
    <x v="0"/>
    <x v="0"/>
    <x v="0"/>
  </r>
  <r>
    <x v="32"/>
    <x v="1"/>
    <x v="0"/>
    <x v="0"/>
    <x v="0"/>
    <s v="1"/>
    <x v="0"/>
    <m/>
    <n v="1"/>
    <x v="0"/>
    <x v="0"/>
    <n v="2.5906100575301925"/>
    <x v="0"/>
    <x v="0"/>
    <x v="0"/>
  </r>
  <r>
    <x v="33"/>
    <x v="1"/>
    <x v="0"/>
    <x v="0"/>
    <x v="0"/>
    <s v="1"/>
    <x v="0"/>
    <m/>
    <n v="1"/>
    <x v="0"/>
    <x v="0"/>
    <n v="2.4812128366778881"/>
    <x v="0"/>
    <x v="0"/>
    <x v="0"/>
  </r>
  <r>
    <x v="34"/>
    <x v="1"/>
    <x v="0"/>
    <x v="0"/>
    <x v="0"/>
    <s v="1"/>
    <x v="0"/>
    <m/>
    <n v="1"/>
    <x v="0"/>
    <x v="0"/>
    <n v="3.2772762114740726"/>
    <x v="0"/>
    <x v="0"/>
    <x v="0"/>
  </r>
  <r>
    <x v="35"/>
    <x v="1"/>
    <x v="0"/>
    <x v="0"/>
    <x v="0"/>
    <s v="2"/>
    <x v="0"/>
    <m/>
    <n v="1"/>
    <x v="0"/>
    <x v="0"/>
    <n v="3.6161834985000012"/>
    <x v="0"/>
    <x v="0"/>
    <x v="0"/>
  </r>
  <r>
    <x v="36"/>
    <x v="1"/>
    <x v="0"/>
    <x v="0"/>
    <x v="0"/>
    <s v="2"/>
    <x v="0"/>
    <m/>
    <n v="1"/>
    <x v="0"/>
    <x v="0"/>
    <n v="2.636060414789879"/>
    <x v="0"/>
    <x v="0"/>
    <x v="0"/>
  </r>
  <r>
    <x v="37"/>
    <x v="1"/>
    <x v="0"/>
    <x v="0"/>
    <x v="0"/>
    <s v="2"/>
    <x v="0"/>
    <m/>
    <n v="1"/>
    <x v="0"/>
    <x v="0"/>
    <n v="3.2591526130653627"/>
    <x v="0"/>
    <x v="0"/>
    <x v="0"/>
  </r>
  <r>
    <x v="38"/>
    <x v="1"/>
    <x v="0"/>
    <x v="0"/>
    <x v="0"/>
    <s v="2"/>
    <x v="0"/>
    <m/>
    <n v="1"/>
    <x v="0"/>
    <x v="0"/>
    <n v="3.4678664262610872"/>
    <x v="0"/>
    <x v="0"/>
    <x v="0"/>
  </r>
  <r>
    <x v="39"/>
    <x v="1"/>
    <x v="0"/>
    <x v="0"/>
    <x v="0"/>
    <s v="3"/>
    <x v="0"/>
    <m/>
    <n v="1"/>
    <x v="0"/>
    <x v="0"/>
    <n v="3.6161834984652264"/>
    <x v="0"/>
    <x v="0"/>
    <x v="0"/>
  </r>
  <r>
    <x v="40"/>
    <x v="1"/>
    <x v="0"/>
    <x v="0"/>
    <x v="0"/>
    <s v="3"/>
    <x v="0"/>
    <m/>
    <n v="1"/>
    <x v="0"/>
    <x v="0"/>
    <n v="3.2591550797142905"/>
    <x v="0"/>
    <x v="0"/>
    <x v="0"/>
  </r>
  <r>
    <x v="41"/>
    <x v="1"/>
    <x v="0"/>
    <x v="0"/>
    <x v="0"/>
    <s v="3"/>
    <x v="0"/>
    <m/>
    <n v="1"/>
    <x v="0"/>
    <x v="0"/>
    <n v="2.6360721495268438"/>
    <x v="0"/>
    <x v="0"/>
    <x v="0"/>
  </r>
  <r>
    <x v="42"/>
    <x v="1"/>
    <x v="0"/>
    <x v="0"/>
    <x v="0"/>
    <s v="3"/>
    <x v="0"/>
    <m/>
    <n v="1"/>
    <x v="0"/>
    <x v="0"/>
    <n v="3.4678664262721974"/>
    <x v="0"/>
    <x v="0"/>
    <x v="0"/>
  </r>
  <r>
    <x v="43"/>
    <x v="1"/>
    <x v="0"/>
    <x v="0"/>
    <x v="0"/>
    <s v="4"/>
    <x v="0"/>
    <m/>
    <n v="1"/>
    <x v="0"/>
    <x v="0"/>
    <n v="2.4822171491322265"/>
    <x v="0"/>
    <x v="0"/>
    <x v="0"/>
  </r>
  <r>
    <x v="44"/>
    <x v="1"/>
    <x v="0"/>
    <x v="0"/>
    <x v="0"/>
    <s v="4"/>
    <x v="0"/>
    <m/>
    <n v="1"/>
    <x v="0"/>
    <x v="0"/>
    <n v="2.469622349505364"/>
    <x v="0"/>
    <x v="0"/>
    <x v="0"/>
  </r>
  <r>
    <x v="45"/>
    <x v="1"/>
    <x v="0"/>
    <x v="0"/>
    <x v="0"/>
    <s v="4"/>
    <x v="0"/>
    <m/>
    <n v="1"/>
    <x v="0"/>
    <x v="0"/>
    <n v="3.4812666879221799"/>
    <x v="0"/>
    <x v="0"/>
    <x v="0"/>
  </r>
  <r>
    <x v="46"/>
    <x v="1"/>
    <x v="0"/>
    <x v="0"/>
    <x v="0"/>
    <s v="4"/>
    <x v="0"/>
    <m/>
    <n v="1"/>
    <x v="0"/>
    <x v="0"/>
    <n v="3.1230626867623577"/>
    <x v="0"/>
    <x v="0"/>
    <x v="0"/>
  </r>
  <r>
    <x v="47"/>
    <x v="1"/>
    <x v="0"/>
    <x v="0"/>
    <x v="0"/>
    <s v="4"/>
    <x v="0"/>
    <m/>
    <n v="1"/>
    <x v="0"/>
    <x v="0"/>
    <n v="3.4449193676974472"/>
    <x v="0"/>
    <x v="0"/>
    <x v="0"/>
  </r>
  <r>
    <x v="48"/>
    <x v="1"/>
    <x v="1"/>
    <x v="0"/>
    <x v="0"/>
    <s v="5"/>
    <x v="0"/>
    <m/>
    <n v="1"/>
    <x v="0"/>
    <x v="0"/>
    <n v="3.9275140488751799"/>
    <x v="0"/>
    <x v="0"/>
    <x v="0"/>
  </r>
  <r>
    <x v="49"/>
    <x v="1"/>
    <x v="1"/>
    <x v="0"/>
    <x v="0"/>
    <s v="5"/>
    <x v="0"/>
    <m/>
    <n v="1"/>
    <x v="0"/>
    <x v="0"/>
    <n v="3.4414756765684298"/>
    <x v="0"/>
    <x v="0"/>
    <x v="0"/>
  </r>
  <r>
    <x v="50"/>
    <x v="1"/>
    <x v="1"/>
    <x v="0"/>
    <x v="0"/>
    <s v="5"/>
    <x v="0"/>
    <m/>
    <n v="1"/>
    <x v="0"/>
    <x v="0"/>
    <n v="4.2661997573721901"/>
    <x v="0"/>
    <x v="0"/>
    <x v="0"/>
  </r>
  <r>
    <x v="51"/>
    <x v="1"/>
    <x v="1"/>
    <x v="0"/>
    <x v="0"/>
    <s v="5"/>
    <x v="0"/>
    <m/>
    <n v="1"/>
    <x v="0"/>
    <x v="0"/>
    <n v="4.9050869872664213"/>
    <x v="0"/>
    <x v="0"/>
    <x v="0"/>
  </r>
  <r>
    <x v="52"/>
    <x v="1"/>
    <x v="1"/>
    <x v="0"/>
    <x v="0"/>
    <s v="5"/>
    <x v="0"/>
    <m/>
    <n v="1"/>
    <x v="0"/>
    <x v="0"/>
    <n v="4.8181195470052911"/>
    <x v="0"/>
    <x v="0"/>
    <x v="0"/>
  </r>
  <r>
    <x v="53"/>
    <x v="1"/>
    <x v="1"/>
    <x v="0"/>
    <x v="0"/>
    <s v="5"/>
    <x v="0"/>
    <m/>
    <n v="1"/>
    <x v="0"/>
    <x v="0"/>
    <n v="4.8181195470052911"/>
    <x v="0"/>
    <x v="0"/>
    <x v="0"/>
  </r>
  <r>
    <x v="54"/>
    <x v="1"/>
    <x v="1"/>
    <x v="0"/>
    <x v="0"/>
    <s v="5"/>
    <x v="0"/>
    <m/>
    <n v="1"/>
    <x v="0"/>
    <x v="0"/>
    <n v="4.9050869872664213"/>
    <x v="0"/>
    <x v="0"/>
    <x v="0"/>
  </r>
  <r>
    <x v="55"/>
    <x v="1"/>
    <x v="1"/>
    <x v="0"/>
    <x v="0"/>
    <s v="6"/>
    <x v="0"/>
    <m/>
    <n v="1"/>
    <x v="0"/>
    <x v="0"/>
    <n v="3.9687148918565209"/>
    <x v="0"/>
    <x v="0"/>
    <x v="0"/>
  </r>
  <r>
    <x v="56"/>
    <x v="1"/>
    <x v="1"/>
    <x v="0"/>
    <x v="0"/>
    <s v="6"/>
    <x v="0"/>
    <m/>
    <n v="1"/>
    <x v="0"/>
    <x v="0"/>
    <n v="3.4781873920132869"/>
    <x v="0"/>
    <x v="0"/>
    <x v="0"/>
  </r>
  <r>
    <x v="57"/>
    <x v="1"/>
    <x v="1"/>
    <x v="0"/>
    <x v="0"/>
    <s v="6"/>
    <x v="0"/>
    <m/>
    <n v="1"/>
    <x v="0"/>
    <x v="0"/>
    <n v="4.303871599117886"/>
    <x v="0"/>
    <x v="0"/>
    <x v="0"/>
  </r>
  <r>
    <x v="58"/>
    <x v="1"/>
    <x v="1"/>
    <x v="0"/>
    <x v="0"/>
    <s v="6"/>
    <x v="0"/>
    <m/>
    <n v="1"/>
    <x v="0"/>
    <x v="0"/>
    <n v="5.0928992072197419"/>
    <x v="0"/>
    <x v="0"/>
    <x v="0"/>
  </r>
  <r>
    <x v="59"/>
    <x v="1"/>
    <x v="1"/>
    <x v="0"/>
    <x v="0"/>
    <s v="6"/>
    <x v="0"/>
    <m/>
    <n v="1"/>
    <x v="0"/>
    <x v="0"/>
    <n v="4.8240862892183811"/>
    <x v="0"/>
    <x v="0"/>
    <x v="0"/>
  </r>
  <r>
    <x v="60"/>
    <x v="1"/>
    <x v="1"/>
    <x v="0"/>
    <x v="0"/>
    <s v="6"/>
    <x v="0"/>
    <m/>
    <n v="1"/>
    <x v="0"/>
    <x v="0"/>
    <n v="4.8240862892183811"/>
    <x v="0"/>
    <x v="0"/>
    <x v="0"/>
  </r>
  <r>
    <x v="61"/>
    <x v="1"/>
    <x v="1"/>
    <x v="0"/>
    <x v="0"/>
    <s v="6"/>
    <x v="0"/>
    <m/>
    <n v="1"/>
    <x v="0"/>
    <x v="0"/>
    <n v="5.0928992072197419"/>
    <x v="0"/>
    <x v="0"/>
    <x v="0"/>
  </r>
  <r>
    <x v="62"/>
    <x v="1"/>
    <x v="1"/>
    <x v="0"/>
    <x v="0"/>
    <s v="7"/>
    <x v="0"/>
    <m/>
    <n v="1"/>
    <x v="0"/>
    <x v="0"/>
    <n v="3.9687148918149195"/>
    <x v="0"/>
    <x v="0"/>
    <x v="0"/>
  </r>
  <r>
    <x v="63"/>
    <x v="1"/>
    <x v="1"/>
    <x v="0"/>
    <x v="0"/>
    <s v="7"/>
    <x v="0"/>
    <m/>
    <n v="1"/>
    <x v="0"/>
    <x v="0"/>
    <n v="3.478187392050395"/>
    <x v="0"/>
    <x v="0"/>
    <x v="0"/>
  </r>
  <r>
    <x v="64"/>
    <x v="1"/>
    <x v="1"/>
    <x v="0"/>
    <x v="0"/>
    <s v="7"/>
    <x v="0"/>
    <m/>
    <n v="1"/>
    <x v="0"/>
    <x v="0"/>
    <n v="4.303871599163787"/>
    <x v="0"/>
    <x v="0"/>
    <x v="0"/>
  </r>
  <r>
    <x v="65"/>
    <x v="1"/>
    <x v="1"/>
    <x v="0"/>
    <x v="0"/>
    <s v="7"/>
    <x v="0"/>
    <m/>
    <n v="1"/>
    <x v="0"/>
    <x v="0"/>
    <n v="5.0928992072890225"/>
    <x v="0"/>
    <x v="0"/>
    <x v="0"/>
  </r>
  <r>
    <x v="66"/>
    <x v="1"/>
    <x v="1"/>
    <x v="0"/>
    <x v="0"/>
    <s v="7"/>
    <x v="0"/>
    <m/>
    <n v="1"/>
    <x v="0"/>
    <x v="0"/>
    <n v="4.8240862891491059"/>
    <x v="0"/>
    <x v="0"/>
    <x v="0"/>
  </r>
  <r>
    <x v="67"/>
    <x v="1"/>
    <x v="1"/>
    <x v="0"/>
    <x v="0"/>
    <s v="7"/>
    <x v="0"/>
    <m/>
    <n v="1"/>
    <x v="0"/>
    <x v="0"/>
    <n v="4.8240862891491059"/>
    <x v="0"/>
    <x v="0"/>
    <x v="0"/>
  </r>
  <r>
    <x v="68"/>
    <x v="1"/>
    <x v="1"/>
    <x v="0"/>
    <x v="0"/>
    <s v="7"/>
    <x v="0"/>
    <m/>
    <n v="1"/>
    <x v="0"/>
    <x v="0"/>
    <n v="5.0928992072890225"/>
    <x v="0"/>
    <x v="0"/>
    <x v="0"/>
  </r>
  <r>
    <x v="69"/>
    <x v="1"/>
    <x v="1"/>
    <x v="0"/>
    <x v="0"/>
    <s v="8"/>
    <x v="0"/>
    <m/>
    <n v="1"/>
    <x v="0"/>
    <x v="0"/>
    <n v="3.0175016784478381"/>
    <x v="0"/>
    <x v="0"/>
    <x v="0"/>
  </r>
  <r>
    <x v="70"/>
    <x v="1"/>
    <x v="1"/>
    <x v="0"/>
    <x v="0"/>
    <s v="8"/>
    <x v="0"/>
    <m/>
    <n v="1"/>
    <x v="0"/>
    <x v="0"/>
    <n v="3.0180285440053884"/>
    <x v="0"/>
    <x v="0"/>
    <x v="0"/>
  </r>
  <r>
    <x v="71"/>
    <x v="1"/>
    <x v="1"/>
    <x v="0"/>
    <x v="0"/>
    <s v="8"/>
    <x v="0"/>
    <m/>
    <n v="1"/>
    <x v="0"/>
    <x v="0"/>
    <n v="4.2453008789060442"/>
    <x v="0"/>
    <x v="0"/>
    <x v="0"/>
  </r>
  <r>
    <x v="72"/>
    <x v="1"/>
    <x v="1"/>
    <x v="0"/>
    <x v="0"/>
    <s v="8"/>
    <x v="0"/>
    <m/>
    <n v="1"/>
    <x v="0"/>
    <x v="0"/>
    <n v="4.7855982534632835"/>
    <x v="0"/>
    <x v="0"/>
    <x v="0"/>
  </r>
  <r>
    <x v="73"/>
    <x v="1"/>
    <x v="1"/>
    <x v="0"/>
    <x v="0"/>
    <s v="8"/>
    <x v="0"/>
    <m/>
    <n v="1"/>
    <x v="0"/>
    <x v="0"/>
    <n v="4.6034355575332828"/>
    <x v="0"/>
    <x v="0"/>
    <x v="0"/>
  </r>
  <r>
    <x v="74"/>
    <x v="1"/>
    <x v="1"/>
    <x v="0"/>
    <x v="0"/>
    <s v="8"/>
    <x v="0"/>
    <m/>
    <n v="1"/>
    <x v="0"/>
    <x v="0"/>
    <n v="4.6034355575332828"/>
    <x v="0"/>
    <x v="0"/>
    <x v="0"/>
  </r>
  <r>
    <x v="75"/>
    <x v="1"/>
    <x v="1"/>
    <x v="0"/>
    <x v="0"/>
    <s v="8"/>
    <x v="0"/>
    <m/>
    <n v="1"/>
    <x v="0"/>
    <x v="0"/>
    <n v="4.7855982534632835"/>
    <x v="0"/>
    <x v="0"/>
    <x v="0"/>
  </r>
  <r>
    <x v="76"/>
    <x v="1"/>
    <x v="2"/>
    <x v="0"/>
    <x v="0"/>
    <s v="9"/>
    <x v="0"/>
    <m/>
    <n v="1"/>
    <x v="0"/>
    <x v="0"/>
    <n v="2.3201113601358245"/>
    <x v="0"/>
    <x v="0"/>
    <x v="0"/>
  </r>
  <r>
    <x v="77"/>
    <x v="1"/>
    <x v="2"/>
    <x v="0"/>
    <x v="0"/>
    <s v="9"/>
    <x v="0"/>
    <m/>
    <n v="1"/>
    <x v="0"/>
    <x v="0"/>
    <n v="2.3201113601358245"/>
    <x v="0"/>
    <x v="0"/>
    <x v="0"/>
  </r>
  <r>
    <x v="78"/>
    <x v="1"/>
    <x v="2"/>
    <x v="0"/>
    <x v="0"/>
    <s v="9"/>
    <x v="0"/>
    <m/>
    <n v="1"/>
    <x v="0"/>
    <x v="0"/>
    <n v="2.3201113601358245"/>
    <x v="0"/>
    <x v="0"/>
    <x v="0"/>
  </r>
  <r>
    <x v="79"/>
    <x v="1"/>
    <x v="2"/>
    <x v="0"/>
    <x v="0"/>
    <s v="9"/>
    <x v="0"/>
    <m/>
    <n v="1"/>
    <x v="0"/>
    <x v="0"/>
    <n v="2.3201113601358245"/>
    <x v="0"/>
    <x v="0"/>
    <x v="0"/>
  </r>
  <r>
    <x v="80"/>
    <x v="1"/>
    <x v="2"/>
    <x v="0"/>
    <x v="0"/>
    <s v="9"/>
    <x v="0"/>
    <m/>
    <n v="1"/>
    <x v="0"/>
    <x v="0"/>
    <n v="2.3201113601358245"/>
    <x v="0"/>
    <x v="0"/>
    <x v="0"/>
  </r>
  <r>
    <x v="81"/>
    <x v="1"/>
    <x v="2"/>
    <x v="0"/>
    <x v="0"/>
    <s v="10"/>
    <x v="0"/>
    <m/>
    <n v="1"/>
    <x v="0"/>
    <x v="0"/>
    <n v="5.4613786267882078"/>
    <x v="0"/>
    <x v="0"/>
    <x v="0"/>
  </r>
  <r>
    <x v="82"/>
    <x v="1"/>
    <x v="2"/>
    <x v="0"/>
    <x v="0"/>
    <s v="10"/>
    <x v="0"/>
    <m/>
    <n v="1"/>
    <x v="0"/>
    <x v="0"/>
    <n v="4.9113417246236502"/>
    <x v="0"/>
    <x v="0"/>
    <x v="0"/>
  </r>
  <r>
    <x v="83"/>
    <x v="1"/>
    <x v="2"/>
    <x v="0"/>
    <x v="0"/>
    <s v="10"/>
    <x v="0"/>
    <m/>
    <n v="1"/>
    <x v="0"/>
    <x v="0"/>
    <n v="6.1450425015673344"/>
    <x v="0"/>
    <x v="0"/>
    <x v="0"/>
  </r>
  <r>
    <x v="84"/>
    <x v="1"/>
    <x v="2"/>
    <x v="0"/>
    <x v="0"/>
    <s v="11"/>
    <x v="0"/>
    <m/>
    <n v="1"/>
    <x v="0"/>
    <x v="0"/>
    <n v="4.7148044659283155"/>
    <x v="0"/>
    <x v="0"/>
    <x v="0"/>
  </r>
  <r>
    <x v="85"/>
    <x v="1"/>
    <x v="2"/>
    <x v="0"/>
    <x v="0"/>
    <s v="11"/>
    <x v="0"/>
    <m/>
    <n v="1"/>
    <x v="0"/>
    <x v="0"/>
    <n v="4.7148044659255799"/>
    <x v="0"/>
    <x v="0"/>
    <x v="0"/>
  </r>
  <r>
    <x v="86"/>
    <x v="1"/>
    <x v="2"/>
    <x v="0"/>
    <x v="0"/>
    <s v="11"/>
    <x v="0"/>
    <m/>
    <n v="1"/>
    <x v="0"/>
    <x v="0"/>
    <n v="4.7148044659255799"/>
    <x v="0"/>
    <x v="0"/>
    <x v="0"/>
  </r>
  <r>
    <x v="87"/>
    <x v="1"/>
    <x v="2"/>
    <x v="0"/>
    <x v="0"/>
    <s v="11"/>
    <x v="0"/>
    <m/>
    <n v="1"/>
    <x v="0"/>
    <x v="0"/>
    <n v="4.7148044659283155"/>
    <x v="0"/>
    <x v="0"/>
    <x v="0"/>
  </r>
  <r>
    <x v="88"/>
    <x v="1"/>
    <x v="2"/>
    <x v="0"/>
    <x v="0"/>
    <s v="12"/>
    <x v="0"/>
    <m/>
    <n v="1"/>
    <x v="0"/>
    <x v="0"/>
    <n v="2.3202279297663573"/>
    <x v="0"/>
    <x v="0"/>
    <x v="0"/>
  </r>
  <r>
    <x v="89"/>
    <x v="1"/>
    <x v="2"/>
    <x v="0"/>
    <x v="0"/>
    <s v="12"/>
    <x v="0"/>
    <m/>
    <n v="1"/>
    <x v="0"/>
    <x v="0"/>
    <n v="2.3202279297663573"/>
    <x v="0"/>
    <x v="0"/>
    <x v="0"/>
  </r>
  <r>
    <x v="90"/>
    <x v="1"/>
    <x v="2"/>
    <x v="0"/>
    <x v="0"/>
    <s v="12"/>
    <x v="0"/>
    <m/>
    <n v="1"/>
    <x v="0"/>
    <x v="0"/>
    <n v="2.3202279297663573"/>
    <x v="0"/>
    <x v="0"/>
    <x v="0"/>
  </r>
  <r>
    <x v="91"/>
    <x v="1"/>
    <x v="2"/>
    <x v="0"/>
    <x v="0"/>
    <s v="12"/>
    <x v="0"/>
    <m/>
    <n v="1"/>
    <x v="0"/>
    <x v="0"/>
    <n v="2.3202279297663573"/>
    <x v="0"/>
    <x v="0"/>
    <x v="0"/>
  </r>
  <r>
    <x v="92"/>
    <x v="1"/>
    <x v="2"/>
    <x v="0"/>
    <x v="0"/>
    <s v="12"/>
    <x v="0"/>
    <m/>
    <n v="1"/>
    <x v="0"/>
    <x v="0"/>
    <n v="2.3202279297663573"/>
    <x v="0"/>
    <x v="0"/>
    <x v="0"/>
  </r>
  <r>
    <x v="93"/>
    <x v="1"/>
    <x v="2"/>
    <x v="0"/>
    <x v="0"/>
    <s v="13"/>
    <x v="0"/>
    <m/>
    <n v="1"/>
    <x v="0"/>
    <x v="0"/>
    <n v="5.7939521868145807"/>
    <x v="0"/>
    <x v="0"/>
    <x v="0"/>
  </r>
  <r>
    <x v="94"/>
    <x v="1"/>
    <x v="2"/>
    <x v="0"/>
    <x v="0"/>
    <s v="13"/>
    <x v="0"/>
    <m/>
    <n v="1"/>
    <x v="0"/>
    <x v="0"/>
    <n v="4.8010795452875641"/>
    <x v="0"/>
    <x v="0"/>
    <x v="0"/>
  </r>
  <r>
    <x v="95"/>
    <x v="1"/>
    <x v="2"/>
    <x v="0"/>
    <x v="0"/>
    <s v="13"/>
    <x v="0"/>
    <m/>
    <n v="1"/>
    <x v="0"/>
    <x v="0"/>
    <n v="4.8010795452847788"/>
    <x v="0"/>
    <x v="0"/>
    <x v="0"/>
  </r>
  <r>
    <x v="96"/>
    <x v="1"/>
    <x v="2"/>
    <x v="0"/>
    <x v="0"/>
    <s v="13"/>
    <x v="0"/>
    <m/>
    <n v="1"/>
    <x v="0"/>
    <x v="0"/>
    <n v="4.8010795452847788"/>
    <x v="0"/>
    <x v="0"/>
    <x v="0"/>
  </r>
  <r>
    <x v="97"/>
    <x v="1"/>
    <x v="2"/>
    <x v="0"/>
    <x v="0"/>
    <s v="13"/>
    <x v="0"/>
    <m/>
    <n v="1"/>
    <x v="0"/>
    <x v="0"/>
    <n v="4.8010795452875641"/>
    <x v="0"/>
    <x v="0"/>
    <x v="0"/>
  </r>
  <r>
    <x v="98"/>
    <x v="1"/>
    <x v="2"/>
    <x v="0"/>
    <x v="0"/>
    <s v="14"/>
    <x v="0"/>
    <m/>
    <n v="1"/>
    <x v="0"/>
    <x v="0"/>
    <n v="2.3202279297230151"/>
    <x v="0"/>
    <x v="0"/>
    <x v="0"/>
  </r>
  <r>
    <x v="99"/>
    <x v="1"/>
    <x v="2"/>
    <x v="0"/>
    <x v="0"/>
    <s v="14"/>
    <x v="0"/>
    <m/>
    <n v="1"/>
    <x v="0"/>
    <x v="0"/>
    <n v="2.3202279297230151"/>
    <x v="0"/>
    <x v="0"/>
    <x v="0"/>
  </r>
  <r>
    <x v="100"/>
    <x v="1"/>
    <x v="2"/>
    <x v="0"/>
    <x v="0"/>
    <s v="14"/>
    <x v="0"/>
    <m/>
    <n v="1"/>
    <x v="0"/>
    <x v="0"/>
    <n v="2.3202279297230151"/>
    <x v="0"/>
    <x v="0"/>
    <x v="0"/>
  </r>
  <r>
    <x v="101"/>
    <x v="1"/>
    <x v="2"/>
    <x v="0"/>
    <x v="0"/>
    <s v="14"/>
    <x v="0"/>
    <m/>
    <n v="1"/>
    <x v="0"/>
    <x v="0"/>
    <n v="2.3202279297230151"/>
    <x v="0"/>
    <x v="0"/>
    <x v="0"/>
  </r>
  <r>
    <x v="102"/>
    <x v="1"/>
    <x v="2"/>
    <x v="0"/>
    <x v="0"/>
    <s v="15"/>
    <x v="0"/>
    <m/>
    <n v="1"/>
    <x v="0"/>
    <x v="0"/>
    <n v="5.7939521868331507"/>
    <x v="0"/>
    <x v="0"/>
    <x v="0"/>
  </r>
  <r>
    <x v="103"/>
    <x v="1"/>
    <x v="2"/>
    <x v="0"/>
    <x v="0"/>
    <s v="15"/>
    <x v="0"/>
    <m/>
    <n v="1"/>
    <x v="0"/>
    <x v="0"/>
    <n v="4.8010795453020174"/>
    <x v="0"/>
    <x v="0"/>
    <x v="0"/>
  </r>
  <r>
    <x v="104"/>
    <x v="1"/>
    <x v="2"/>
    <x v="0"/>
    <x v="0"/>
    <s v="15"/>
    <x v="0"/>
    <m/>
    <n v="1"/>
    <x v="0"/>
    <x v="0"/>
    <n v="4.8010795453020174"/>
    <x v="0"/>
    <x v="0"/>
    <x v="0"/>
  </r>
  <r>
    <x v="105"/>
    <x v="1"/>
    <x v="2"/>
    <x v="0"/>
    <x v="0"/>
    <s v="15"/>
    <x v="0"/>
    <m/>
    <n v="1"/>
    <x v="0"/>
    <x v="0"/>
    <n v="4.8010795453020174"/>
    <x v="0"/>
    <x v="0"/>
    <x v="0"/>
  </r>
  <r>
    <x v="106"/>
    <x v="1"/>
    <x v="2"/>
    <x v="0"/>
    <x v="0"/>
    <s v="16"/>
    <x v="0"/>
    <m/>
    <n v="1"/>
    <x v="0"/>
    <x v="0"/>
    <n v="2.1955872046925298"/>
    <x v="0"/>
    <x v="0"/>
    <x v="0"/>
  </r>
  <r>
    <x v="107"/>
    <x v="1"/>
    <x v="2"/>
    <x v="0"/>
    <x v="0"/>
    <s v="16"/>
    <x v="0"/>
    <m/>
    <n v="1"/>
    <x v="0"/>
    <x v="0"/>
    <n v="2.1955872046925298"/>
    <x v="0"/>
    <x v="0"/>
    <x v="0"/>
  </r>
  <r>
    <x v="108"/>
    <x v="1"/>
    <x v="2"/>
    <x v="0"/>
    <x v="0"/>
    <s v="16"/>
    <x v="0"/>
    <m/>
    <n v="1"/>
    <x v="0"/>
    <x v="0"/>
    <n v="5.0541035667395704"/>
    <x v="0"/>
    <x v="0"/>
    <x v="0"/>
  </r>
  <r>
    <x v="109"/>
    <x v="1"/>
    <x v="2"/>
    <x v="0"/>
    <x v="0"/>
    <s v="16"/>
    <x v="0"/>
    <m/>
    <n v="1"/>
    <x v="0"/>
    <x v="0"/>
    <n v="4.6490947051971139"/>
    <x v="0"/>
    <x v="0"/>
    <x v="0"/>
  </r>
  <r>
    <x v="110"/>
    <x v="2"/>
    <x v="0"/>
    <x v="1"/>
    <x v="1"/>
    <m/>
    <x v="1"/>
    <m/>
    <n v="1"/>
    <x v="0"/>
    <x v="1"/>
    <n v="1.8637941130268252"/>
    <x v="0"/>
    <x v="1"/>
    <x v="1"/>
  </r>
  <r>
    <x v="111"/>
    <x v="2"/>
    <x v="0"/>
    <x v="1"/>
    <x v="1"/>
    <m/>
    <x v="1"/>
    <m/>
    <n v="1"/>
    <x v="0"/>
    <x v="1"/>
    <n v="2.3830340708601998"/>
    <x v="0"/>
    <x v="1"/>
    <x v="1"/>
  </r>
  <r>
    <x v="112"/>
    <x v="2"/>
    <x v="0"/>
    <x v="1"/>
    <x v="1"/>
    <m/>
    <x v="1"/>
    <m/>
    <n v="1"/>
    <x v="0"/>
    <x v="1"/>
    <n v="2.3389009253576902"/>
    <x v="0"/>
    <x v="1"/>
    <x v="1"/>
  </r>
  <r>
    <x v="113"/>
    <x v="2"/>
    <x v="0"/>
    <x v="1"/>
    <x v="1"/>
    <m/>
    <x v="1"/>
    <m/>
    <n v="1"/>
    <x v="0"/>
    <x v="1"/>
    <n v="2.7490263304238205"/>
    <x v="0"/>
    <x v="1"/>
    <x v="1"/>
  </r>
  <r>
    <x v="114"/>
    <x v="2"/>
    <x v="0"/>
    <x v="1"/>
    <x v="1"/>
    <m/>
    <x v="1"/>
    <m/>
    <n v="1"/>
    <x v="0"/>
    <x v="1"/>
    <n v="2.4195501328326898"/>
    <x v="0"/>
    <x v="1"/>
    <x v="1"/>
  </r>
  <r>
    <x v="115"/>
    <x v="2"/>
    <x v="0"/>
    <x v="1"/>
    <x v="1"/>
    <m/>
    <x v="1"/>
    <m/>
    <n v="1"/>
    <x v="0"/>
    <x v="1"/>
    <n v="2.7118348383337425"/>
    <x v="0"/>
    <x v="1"/>
    <x v="1"/>
  </r>
  <r>
    <x v="116"/>
    <x v="2"/>
    <x v="0"/>
    <x v="1"/>
    <x v="1"/>
    <m/>
    <x v="1"/>
    <m/>
    <n v="1"/>
    <x v="0"/>
    <x v="1"/>
    <n v="2.3831839730040416"/>
    <x v="0"/>
    <x v="1"/>
    <x v="1"/>
  </r>
  <r>
    <x v="117"/>
    <x v="2"/>
    <x v="0"/>
    <x v="1"/>
    <x v="1"/>
    <m/>
    <x v="1"/>
    <m/>
    <n v="1"/>
    <x v="0"/>
    <x v="1"/>
    <n v="2.6239783744312226"/>
    <x v="0"/>
    <x v="1"/>
    <x v="1"/>
  </r>
  <r>
    <x v="118"/>
    <x v="2"/>
    <x v="0"/>
    <x v="1"/>
    <x v="1"/>
    <m/>
    <x v="1"/>
    <m/>
    <n v="1"/>
    <x v="0"/>
    <x v="1"/>
    <n v="2.3835593598760885"/>
    <x v="0"/>
    <x v="1"/>
    <x v="1"/>
  </r>
  <r>
    <x v="119"/>
    <x v="2"/>
    <x v="0"/>
    <x v="1"/>
    <x v="1"/>
    <m/>
    <x v="1"/>
    <m/>
    <n v="1"/>
    <x v="0"/>
    <x v="1"/>
    <n v="2.6240674889478086"/>
    <x v="0"/>
    <x v="1"/>
    <x v="1"/>
  </r>
  <r>
    <x v="120"/>
    <x v="2"/>
    <x v="0"/>
    <x v="1"/>
    <x v="1"/>
    <m/>
    <x v="1"/>
    <m/>
    <n v="1"/>
    <x v="0"/>
    <x v="1"/>
    <n v="2.3835593598760885"/>
    <x v="0"/>
    <x v="1"/>
    <x v="1"/>
  </r>
  <r>
    <x v="121"/>
    <x v="2"/>
    <x v="0"/>
    <x v="1"/>
    <x v="1"/>
    <m/>
    <x v="1"/>
    <m/>
    <n v="1"/>
    <x v="0"/>
    <x v="1"/>
    <n v="2.6189935694599535"/>
    <x v="0"/>
    <x v="1"/>
    <x v="1"/>
  </r>
  <r>
    <x v="122"/>
    <x v="2"/>
    <x v="0"/>
    <x v="1"/>
    <x v="1"/>
    <m/>
    <x v="1"/>
    <m/>
    <n v="1"/>
    <x v="0"/>
    <x v="1"/>
    <n v="0.96104967032897382"/>
    <x v="0"/>
    <x v="1"/>
    <x v="1"/>
  </r>
  <r>
    <x v="123"/>
    <x v="2"/>
    <x v="0"/>
    <x v="1"/>
    <x v="1"/>
    <m/>
    <x v="1"/>
    <m/>
    <n v="1"/>
    <x v="0"/>
    <x v="1"/>
    <n v="2.6573607312059897"/>
    <x v="0"/>
    <x v="1"/>
    <x v="1"/>
  </r>
  <r>
    <x v="124"/>
    <x v="2"/>
    <x v="1"/>
    <x v="2"/>
    <x v="1"/>
    <m/>
    <x v="1"/>
    <m/>
    <n v="1"/>
    <x v="0"/>
    <x v="1"/>
    <n v="2.2712754864319971"/>
    <x v="0"/>
    <x v="1"/>
    <x v="1"/>
  </r>
  <r>
    <x v="125"/>
    <x v="2"/>
    <x v="1"/>
    <x v="2"/>
    <x v="1"/>
    <m/>
    <x v="1"/>
    <m/>
    <n v="1"/>
    <x v="0"/>
    <x v="1"/>
    <n v="2.2712754800520205"/>
    <x v="0"/>
    <x v="1"/>
    <x v="1"/>
  </r>
  <r>
    <x v="126"/>
    <x v="2"/>
    <x v="1"/>
    <x v="2"/>
    <x v="1"/>
    <m/>
    <x v="1"/>
    <m/>
    <n v="1"/>
    <x v="0"/>
    <x v="1"/>
    <n v="2.2712754864319971"/>
    <x v="0"/>
    <x v="1"/>
    <x v="1"/>
  </r>
  <r>
    <x v="127"/>
    <x v="2"/>
    <x v="1"/>
    <x v="2"/>
    <x v="1"/>
    <m/>
    <x v="1"/>
    <m/>
    <n v="1"/>
    <x v="0"/>
    <x v="1"/>
    <n v="2.2712754800520205"/>
    <x v="0"/>
    <x v="1"/>
    <x v="1"/>
  </r>
  <r>
    <x v="128"/>
    <x v="2"/>
    <x v="1"/>
    <x v="2"/>
    <x v="1"/>
    <m/>
    <x v="1"/>
    <m/>
    <n v="1"/>
    <x v="0"/>
    <x v="1"/>
    <n v="1.3325354781122114"/>
    <x v="0"/>
    <x v="1"/>
    <x v="1"/>
  </r>
  <r>
    <x v="129"/>
    <x v="2"/>
    <x v="1"/>
    <x v="2"/>
    <x v="1"/>
    <m/>
    <x v="1"/>
    <m/>
    <n v="1"/>
    <x v="0"/>
    <x v="1"/>
    <n v="1.3325310118527001"/>
    <x v="0"/>
    <x v="1"/>
    <x v="1"/>
  </r>
  <r>
    <x v="130"/>
    <x v="2"/>
    <x v="1"/>
    <x v="2"/>
    <x v="1"/>
    <m/>
    <x v="1"/>
    <m/>
    <n v="1"/>
    <x v="0"/>
    <x v="1"/>
    <n v="2.1812779292937545"/>
    <x v="0"/>
    <x v="1"/>
    <x v="1"/>
  </r>
  <r>
    <x v="131"/>
    <x v="2"/>
    <x v="1"/>
    <x v="2"/>
    <x v="1"/>
    <m/>
    <x v="1"/>
    <m/>
    <n v="1"/>
    <x v="0"/>
    <x v="1"/>
    <n v="2.1813724755449853"/>
    <x v="0"/>
    <x v="1"/>
    <x v="1"/>
  </r>
  <r>
    <x v="132"/>
    <x v="2"/>
    <x v="1"/>
    <x v="2"/>
    <x v="1"/>
    <m/>
    <x v="1"/>
    <m/>
    <n v="1"/>
    <x v="0"/>
    <x v="1"/>
    <n v="2.0545102943016422"/>
    <x v="0"/>
    <x v="1"/>
    <x v="1"/>
  </r>
  <r>
    <x v="133"/>
    <x v="2"/>
    <x v="1"/>
    <x v="2"/>
    <x v="1"/>
    <m/>
    <x v="1"/>
    <m/>
    <n v="1"/>
    <x v="0"/>
    <x v="1"/>
    <n v="2.1014389530447604"/>
    <x v="0"/>
    <x v="1"/>
    <x v="1"/>
  </r>
  <r>
    <x v="134"/>
    <x v="2"/>
    <x v="1"/>
    <x v="2"/>
    <x v="1"/>
    <m/>
    <x v="1"/>
    <m/>
    <n v="1"/>
    <x v="0"/>
    <x v="1"/>
    <n v="1.014415863110705"/>
    <x v="0"/>
    <x v="1"/>
    <x v="1"/>
  </r>
  <r>
    <x v="135"/>
    <x v="2"/>
    <x v="1"/>
    <x v="2"/>
    <x v="1"/>
    <m/>
    <x v="1"/>
    <m/>
    <n v="1"/>
    <x v="0"/>
    <x v="1"/>
    <n v="1.014415863110705"/>
    <x v="0"/>
    <x v="1"/>
    <x v="1"/>
  </r>
  <r>
    <x v="136"/>
    <x v="2"/>
    <x v="2"/>
    <x v="3"/>
    <x v="1"/>
    <m/>
    <x v="1"/>
    <m/>
    <n v="1"/>
    <x v="0"/>
    <x v="1"/>
    <n v="2.6543365946926607"/>
    <x v="0"/>
    <x v="1"/>
    <x v="1"/>
  </r>
  <r>
    <x v="137"/>
    <x v="2"/>
    <x v="2"/>
    <x v="3"/>
    <x v="1"/>
    <m/>
    <x v="1"/>
    <m/>
    <n v="1"/>
    <x v="0"/>
    <x v="1"/>
    <n v="2.6543365946926607"/>
    <x v="0"/>
    <x v="1"/>
    <x v="1"/>
  </r>
  <r>
    <x v="138"/>
    <x v="2"/>
    <x v="2"/>
    <x v="3"/>
    <x v="1"/>
    <m/>
    <x v="1"/>
    <m/>
    <n v="1"/>
    <x v="0"/>
    <x v="1"/>
    <n v="2.6543365946926607"/>
    <x v="0"/>
    <x v="1"/>
    <x v="1"/>
  </r>
  <r>
    <x v="139"/>
    <x v="2"/>
    <x v="2"/>
    <x v="3"/>
    <x v="1"/>
    <m/>
    <x v="1"/>
    <m/>
    <n v="1"/>
    <x v="0"/>
    <x v="1"/>
    <n v="2.6543365988364553"/>
    <x v="0"/>
    <x v="1"/>
    <x v="1"/>
  </r>
  <r>
    <x v="140"/>
    <x v="2"/>
    <x v="2"/>
    <x v="3"/>
    <x v="1"/>
    <m/>
    <x v="1"/>
    <m/>
    <n v="1"/>
    <x v="0"/>
    <x v="1"/>
    <n v="2.4499186249810707"/>
    <x v="0"/>
    <x v="1"/>
    <x v="1"/>
  </r>
  <r>
    <x v="141"/>
    <x v="2"/>
    <x v="2"/>
    <x v="3"/>
    <x v="1"/>
    <m/>
    <x v="1"/>
    <m/>
    <n v="1"/>
    <x v="0"/>
    <x v="1"/>
    <n v="1.9790725300886696"/>
    <x v="0"/>
    <x v="1"/>
    <x v="1"/>
  </r>
  <r>
    <x v="142"/>
    <x v="2"/>
    <x v="2"/>
    <x v="3"/>
    <x v="1"/>
    <m/>
    <x v="1"/>
    <m/>
    <n v="1"/>
    <x v="0"/>
    <x v="1"/>
    <n v="1.7972394852170612"/>
    <x v="0"/>
    <x v="1"/>
    <x v="1"/>
  </r>
  <r>
    <x v="143"/>
    <x v="2"/>
    <x v="2"/>
    <x v="3"/>
    <x v="1"/>
    <m/>
    <x v="1"/>
    <m/>
    <n v="1"/>
    <x v="0"/>
    <x v="1"/>
    <n v="2.2612514543399413"/>
    <x v="0"/>
    <x v="1"/>
    <x v="1"/>
  </r>
  <r>
    <x v="144"/>
    <x v="2"/>
    <x v="2"/>
    <x v="3"/>
    <x v="1"/>
    <m/>
    <x v="1"/>
    <m/>
    <n v="1"/>
    <x v="0"/>
    <x v="1"/>
    <n v="1.528004461162535"/>
    <x v="0"/>
    <x v="1"/>
    <x v="1"/>
  </r>
  <r>
    <x v="145"/>
    <x v="2"/>
    <x v="2"/>
    <x v="3"/>
    <x v="1"/>
    <m/>
    <x v="1"/>
    <m/>
    <n v="1"/>
    <x v="0"/>
    <x v="1"/>
    <n v="1.4529882809521748"/>
    <x v="0"/>
    <x v="1"/>
    <x v="1"/>
  </r>
  <r>
    <x v="146"/>
    <x v="2"/>
    <x v="2"/>
    <x v="3"/>
    <x v="1"/>
    <m/>
    <x v="1"/>
    <m/>
    <n v="1"/>
    <x v="0"/>
    <x v="1"/>
    <n v="1.2846867288474542"/>
    <x v="0"/>
    <x v="1"/>
    <x v="1"/>
  </r>
  <r>
    <x v="147"/>
    <x v="2"/>
    <x v="2"/>
    <x v="3"/>
    <x v="1"/>
    <m/>
    <x v="1"/>
    <m/>
    <n v="1"/>
    <x v="0"/>
    <x v="1"/>
    <n v="2.4367079467166093"/>
    <x v="0"/>
    <x v="1"/>
    <x v="1"/>
  </r>
  <r>
    <x v="148"/>
    <x v="2"/>
    <x v="2"/>
    <x v="3"/>
    <x v="1"/>
    <m/>
    <x v="1"/>
    <m/>
    <n v="1"/>
    <x v="0"/>
    <x v="1"/>
    <n v="2.4367456217455667"/>
    <x v="0"/>
    <x v="1"/>
    <x v="1"/>
  </r>
  <r>
    <x v="149"/>
    <x v="2"/>
    <x v="2"/>
    <x v="3"/>
    <x v="1"/>
    <m/>
    <x v="1"/>
    <m/>
    <n v="1"/>
    <x v="0"/>
    <x v="1"/>
    <n v="2.4367043151672192"/>
    <x v="0"/>
    <x v="1"/>
    <x v="1"/>
  </r>
  <r>
    <x v="150"/>
    <x v="2"/>
    <x v="2"/>
    <x v="3"/>
    <x v="1"/>
    <m/>
    <x v="1"/>
    <m/>
    <n v="1"/>
    <x v="0"/>
    <x v="1"/>
    <n v="1.994509565054414"/>
    <x v="0"/>
    <x v="1"/>
    <x v="1"/>
  </r>
  <r>
    <x v="151"/>
    <x v="2"/>
    <x v="2"/>
    <x v="3"/>
    <x v="1"/>
    <m/>
    <x v="1"/>
    <m/>
    <n v="1"/>
    <x v="0"/>
    <x v="1"/>
    <n v="2.0156009305219373"/>
    <x v="0"/>
    <x v="1"/>
    <x v="1"/>
  </r>
  <r>
    <x v="152"/>
    <x v="2"/>
    <x v="0"/>
    <x v="1"/>
    <x v="1"/>
    <s v="SK-2"/>
    <x v="1"/>
    <m/>
    <n v="1"/>
    <x v="0"/>
    <x v="1"/>
    <n v="2.2248849574279994"/>
    <x v="0"/>
    <x v="1"/>
    <x v="1"/>
  </r>
  <r>
    <x v="153"/>
    <x v="2"/>
    <x v="0"/>
    <x v="1"/>
    <x v="1"/>
    <s v="SK-2"/>
    <x v="1"/>
    <m/>
    <n v="1"/>
    <x v="0"/>
    <x v="1"/>
    <n v="0.92228698497267492"/>
    <x v="0"/>
    <x v="1"/>
    <x v="1"/>
  </r>
  <r>
    <x v="154"/>
    <x v="2"/>
    <x v="0"/>
    <x v="1"/>
    <x v="1"/>
    <s v="SK-2"/>
    <x v="1"/>
    <m/>
    <n v="1"/>
    <x v="0"/>
    <x v="1"/>
    <n v="0.92228698520554409"/>
    <x v="0"/>
    <x v="1"/>
    <x v="1"/>
  </r>
  <r>
    <x v="155"/>
    <x v="2"/>
    <x v="0"/>
    <x v="1"/>
    <x v="1"/>
    <s v="SK-2"/>
    <x v="1"/>
    <m/>
    <n v="1"/>
    <x v="0"/>
    <x v="1"/>
    <n v="1.8980451059024761"/>
    <x v="0"/>
    <x v="1"/>
    <x v="1"/>
  </r>
  <r>
    <x v="156"/>
    <x v="2"/>
    <x v="1"/>
    <x v="1"/>
    <x v="1"/>
    <s v="SK-1"/>
    <x v="1"/>
    <m/>
    <n v="1"/>
    <x v="0"/>
    <x v="1"/>
    <n v="0.62238959433412966"/>
    <x v="0"/>
    <x v="1"/>
    <x v="1"/>
  </r>
  <r>
    <x v="157"/>
    <x v="2"/>
    <x v="1"/>
    <x v="1"/>
    <x v="1"/>
    <s v="SK-1"/>
    <x v="1"/>
    <m/>
    <n v="1"/>
    <x v="0"/>
    <x v="1"/>
    <n v="0.47063183741781983"/>
    <x v="0"/>
    <x v="1"/>
    <x v="1"/>
  </r>
  <r>
    <x v="158"/>
    <x v="2"/>
    <x v="2"/>
    <x v="1"/>
    <x v="1"/>
    <s v="SK-3"/>
    <x v="1"/>
    <m/>
    <n v="1"/>
    <x v="0"/>
    <x v="1"/>
    <n v="0.95699653099950011"/>
    <x v="0"/>
    <x v="1"/>
    <x v="1"/>
  </r>
  <r>
    <x v="159"/>
    <x v="2"/>
    <x v="2"/>
    <x v="1"/>
    <x v="1"/>
    <s v="SK-3"/>
    <x v="1"/>
    <m/>
    <n v="1"/>
    <x v="0"/>
    <x v="1"/>
    <n v="0.95699653099950011"/>
    <x v="0"/>
    <x v="1"/>
    <x v="1"/>
  </r>
  <r>
    <x v="160"/>
    <x v="2"/>
    <x v="2"/>
    <x v="1"/>
    <x v="1"/>
    <s v="SK-3"/>
    <x v="1"/>
    <m/>
    <n v="1"/>
    <x v="0"/>
    <x v="1"/>
    <n v="1.6011474993063177"/>
    <x v="0"/>
    <x v="1"/>
    <x v="1"/>
  </r>
  <r>
    <x v="161"/>
    <x v="2"/>
    <x v="2"/>
    <x v="1"/>
    <x v="1"/>
    <s v="SK-3"/>
    <x v="1"/>
    <m/>
    <n v="1"/>
    <x v="0"/>
    <x v="1"/>
    <n v="1.604119483656427"/>
    <x v="0"/>
    <x v="1"/>
    <x v="1"/>
  </r>
  <r>
    <x v="162"/>
    <x v="2"/>
    <x v="2"/>
    <x v="1"/>
    <x v="1"/>
    <s v="SK-3"/>
    <x v="1"/>
    <m/>
    <n v="1"/>
    <x v="0"/>
    <x v="1"/>
    <n v="0.32999865423249997"/>
    <x v="0"/>
    <x v="1"/>
    <x v="1"/>
  </r>
  <r>
    <x v="163"/>
    <x v="2"/>
    <x v="2"/>
    <x v="4"/>
    <x v="1"/>
    <s v="SK-3"/>
    <x v="1"/>
    <m/>
    <n v="1"/>
    <x v="0"/>
    <x v="1"/>
    <n v="0.32999865423249997"/>
    <x v="0"/>
    <x v="1"/>
    <x v="1"/>
  </r>
  <r>
    <x v="164"/>
    <x v="2"/>
    <x v="2"/>
    <x v="4"/>
    <x v="1"/>
    <s v="SK-3"/>
    <x v="1"/>
    <m/>
    <n v="1"/>
    <x v="0"/>
    <x v="1"/>
    <n v="0.32999865423249997"/>
    <x v="0"/>
    <x v="1"/>
    <x v="1"/>
  </r>
  <r>
    <x v="165"/>
    <x v="2"/>
    <x v="2"/>
    <x v="4"/>
    <x v="1"/>
    <s v="SK-3"/>
    <x v="1"/>
    <m/>
    <n v="1"/>
    <x v="0"/>
    <x v="1"/>
    <n v="0.32999865423249997"/>
    <x v="0"/>
    <x v="1"/>
    <x v="1"/>
  </r>
  <r>
    <x v="166"/>
    <x v="2"/>
    <x v="2"/>
    <x v="4"/>
    <x v="1"/>
    <s v="SK-3"/>
    <x v="1"/>
    <m/>
    <n v="1"/>
    <x v="0"/>
    <x v="1"/>
    <n v="0.59399757761850003"/>
    <x v="0"/>
    <x v="1"/>
    <x v="1"/>
  </r>
  <r>
    <x v="167"/>
    <x v="2"/>
    <x v="2"/>
    <x v="4"/>
    <x v="1"/>
    <s v="SK-3"/>
    <x v="1"/>
    <m/>
    <n v="1"/>
    <x v="0"/>
    <x v="1"/>
    <n v="0.59399757761850003"/>
    <x v="0"/>
    <x v="1"/>
    <x v="1"/>
  </r>
  <r>
    <x v="168"/>
    <x v="3"/>
    <x v="0"/>
    <x v="0"/>
    <x v="0"/>
    <m/>
    <x v="1"/>
    <m/>
    <n v="1"/>
    <x v="0"/>
    <x v="2"/>
    <n v="5.868274722673271"/>
    <x v="0"/>
    <x v="0"/>
    <x v="0"/>
  </r>
  <r>
    <x v="169"/>
    <x v="3"/>
    <x v="0"/>
    <x v="0"/>
    <x v="0"/>
    <m/>
    <x v="1"/>
    <m/>
    <n v="1"/>
    <x v="0"/>
    <x v="2"/>
    <n v="5.7409707681460773"/>
    <x v="0"/>
    <x v="0"/>
    <x v="0"/>
  </r>
  <r>
    <x v="170"/>
    <x v="3"/>
    <x v="0"/>
    <x v="0"/>
    <x v="0"/>
    <m/>
    <x v="1"/>
    <m/>
    <n v="1"/>
    <x v="0"/>
    <x v="2"/>
    <n v="3.889994609831843"/>
    <x v="0"/>
    <x v="0"/>
    <x v="0"/>
  </r>
  <r>
    <x v="171"/>
    <x v="3"/>
    <x v="0"/>
    <x v="4"/>
    <x v="1"/>
    <m/>
    <x v="1"/>
    <m/>
    <n v="1"/>
    <x v="0"/>
    <x v="2"/>
    <n v="5.1821483026081836"/>
    <x v="0"/>
    <x v="1"/>
    <x v="1"/>
  </r>
  <r>
    <x v="172"/>
    <x v="3"/>
    <x v="0"/>
    <x v="4"/>
    <x v="1"/>
    <m/>
    <x v="1"/>
    <m/>
    <n v="1"/>
    <x v="0"/>
    <x v="2"/>
    <n v="5.7373639604012006"/>
    <x v="0"/>
    <x v="1"/>
    <x v="1"/>
  </r>
  <r>
    <x v="173"/>
    <x v="3"/>
    <x v="0"/>
    <x v="4"/>
    <x v="1"/>
    <m/>
    <x v="1"/>
    <m/>
    <n v="1"/>
    <x v="0"/>
    <x v="2"/>
    <n v="4.1000866958935678"/>
    <x v="0"/>
    <x v="1"/>
    <x v="1"/>
  </r>
  <r>
    <x v="174"/>
    <x v="3"/>
    <x v="0"/>
    <x v="0"/>
    <x v="0"/>
    <m/>
    <x v="1"/>
    <m/>
    <n v="1"/>
    <x v="0"/>
    <x v="2"/>
    <n v="5.017872141649474"/>
    <x v="0"/>
    <x v="0"/>
    <x v="0"/>
  </r>
  <r>
    <x v="175"/>
    <x v="3"/>
    <x v="0"/>
    <x v="0"/>
    <x v="0"/>
    <m/>
    <x v="1"/>
    <m/>
    <n v="1"/>
    <x v="0"/>
    <x v="2"/>
    <n v="5.868274722673271"/>
    <x v="0"/>
    <x v="0"/>
    <x v="0"/>
  </r>
  <r>
    <x v="176"/>
    <x v="3"/>
    <x v="0"/>
    <x v="0"/>
    <x v="0"/>
    <m/>
    <x v="1"/>
    <m/>
    <n v="1"/>
    <x v="0"/>
    <x v="2"/>
    <n v="5.7409707681457585"/>
    <x v="0"/>
    <x v="0"/>
    <x v="0"/>
  </r>
  <r>
    <x v="177"/>
    <x v="3"/>
    <x v="0"/>
    <x v="0"/>
    <x v="0"/>
    <m/>
    <x v="1"/>
    <m/>
    <n v="1"/>
    <x v="0"/>
    <x v="2"/>
    <n v="3.889994609831843"/>
    <x v="0"/>
    <x v="0"/>
    <x v="0"/>
  </r>
  <r>
    <x v="178"/>
    <x v="3"/>
    <x v="0"/>
    <x v="0"/>
    <x v="0"/>
    <m/>
    <x v="1"/>
    <m/>
    <n v="1"/>
    <x v="0"/>
    <x v="2"/>
    <n v="5.1821482715398037"/>
    <x v="0"/>
    <x v="0"/>
    <x v="0"/>
  </r>
  <r>
    <x v="179"/>
    <x v="3"/>
    <x v="0"/>
    <x v="0"/>
    <x v="0"/>
    <m/>
    <x v="1"/>
    <m/>
    <n v="1"/>
    <x v="0"/>
    <x v="2"/>
    <n v="5.7373639607080351"/>
    <x v="0"/>
    <x v="0"/>
    <x v="0"/>
  </r>
  <r>
    <x v="180"/>
    <x v="3"/>
    <x v="0"/>
    <x v="0"/>
    <x v="0"/>
    <m/>
    <x v="1"/>
    <m/>
    <n v="1"/>
    <x v="0"/>
    <x v="2"/>
    <n v="4.1000866958935678"/>
    <x v="0"/>
    <x v="0"/>
    <x v="0"/>
  </r>
  <r>
    <x v="181"/>
    <x v="3"/>
    <x v="0"/>
    <x v="0"/>
    <x v="0"/>
    <m/>
    <x v="1"/>
    <m/>
    <n v="1"/>
    <x v="0"/>
    <x v="2"/>
    <n v="5.0178624906990601"/>
    <x v="0"/>
    <x v="0"/>
    <x v="0"/>
  </r>
  <r>
    <x v="182"/>
    <x v="3"/>
    <x v="0"/>
    <x v="0"/>
    <x v="0"/>
    <m/>
    <x v="1"/>
    <m/>
    <n v="1"/>
    <x v="0"/>
    <x v="2"/>
    <n v="11.493980925309828"/>
    <x v="0"/>
    <x v="0"/>
    <x v="0"/>
  </r>
  <r>
    <x v="183"/>
    <x v="3"/>
    <x v="0"/>
    <x v="0"/>
    <x v="0"/>
    <m/>
    <x v="1"/>
    <m/>
    <n v="1"/>
    <x v="0"/>
    <x v="2"/>
    <n v="6.2537001746663607"/>
    <x v="0"/>
    <x v="0"/>
    <x v="0"/>
  </r>
  <r>
    <x v="184"/>
    <x v="3"/>
    <x v="0"/>
    <x v="0"/>
    <x v="0"/>
    <m/>
    <x v="1"/>
    <m/>
    <n v="1"/>
    <x v="0"/>
    <x v="2"/>
    <n v="12.519012397726836"/>
    <x v="0"/>
    <x v="0"/>
    <x v="0"/>
  </r>
  <r>
    <x v="185"/>
    <x v="3"/>
    <x v="0"/>
    <x v="0"/>
    <x v="0"/>
    <m/>
    <x v="1"/>
    <m/>
    <n v="1"/>
    <x v="0"/>
    <x v="2"/>
    <n v="6.6204482257006259"/>
    <x v="0"/>
    <x v="0"/>
    <x v="0"/>
  </r>
  <r>
    <x v="186"/>
    <x v="3"/>
    <x v="0"/>
    <x v="0"/>
    <x v="0"/>
    <m/>
    <x v="1"/>
    <m/>
    <n v="1"/>
    <x v="0"/>
    <x v="2"/>
    <n v="5.2891245957845898"/>
    <x v="0"/>
    <x v="0"/>
    <x v="0"/>
  </r>
  <r>
    <x v="187"/>
    <x v="3"/>
    <x v="0"/>
    <x v="0"/>
    <x v="0"/>
    <m/>
    <x v="1"/>
    <m/>
    <n v="1"/>
    <x v="0"/>
    <x v="2"/>
    <n v="5.9000884614032776"/>
    <x v="0"/>
    <x v="0"/>
    <x v="0"/>
  </r>
  <r>
    <x v="188"/>
    <x v="3"/>
    <x v="0"/>
    <x v="0"/>
    <x v="0"/>
    <m/>
    <x v="1"/>
    <m/>
    <n v="1"/>
    <x v="0"/>
    <x v="2"/>
    <n v="10.154489420185607"/>
    <x v="0"/>
    <x v="0"/>
    <x v="0"/>
  </r>
  <r>
    <x v="189"/>
    <x v="3"/>
    <x v="0"/>
    <x v="0"/>
    <x v="0"/>
    <m/>
    <x v="1"/>
    <m/>
    <n v="1"/>
    <x v="0"/>
    <x v="2"/>
    <n v="5.0297605810850552"/>
    <x v="0"/>
    <x v="0"/>
    <x v="0"/>
  </r>
  <r>
    <x v="190"/>
    <x v="3"/>
    <x v="0"/>
    <x v="0"/>
    <x v="0"/>
    <m/>
    <x v="1"/>
    <m/>
    <n v="1"/>
    <x v="0"/>
    <x v="2"/>
    <n v="5.1996767572218117"/>
    <x v="0"/>
    <x v="0"/>
    <x v="0"/>
  </r>
  <r>
    <x v="191"/>
    <x v="4"/>
    <x v="0"/>
    <x v="0"/>
    <x v="0"/>
    <m/>
    <x v="1"/>
    <m/>
    <n v="1"/>
    <x v="0"/>
    <x v="2"/>
    <n v="4.9678571554090993"/>
    <x v="0"/>
    <x v="0"/>
    <x v="0"/>
  </r>
  <r>
    <x v="192"/>
    <x v="4"/>
    <x v="0"/>
    <x v="0"/>
    <x v="0"/>
    <m/>
    <x v="1"/>
    <m/>
    <n v="1"/>
    <x v="0"/>
    <x v="2"/>
    <n v="4.2467532013434672"/>
    <x v="0"/>
    <x v="0"/>
    <x v="0"/>
  </r>
  <r>
    <x v="193"/>
    <x v="4"/>
    <x v="0"/>
    <x v="0"/>
    <x v="0"/>
    <m/>
    <x v="1"/>
    <m/>
    <n v="1"/>
    <x v="0"/>
    <x v="2"/>
    <n v="4.9678576733834259"/>
    <x v="0"/>
    <x v="0"/>
    <x v="0"/>
  </r>
  <r>
    <x v="194"/>
    <x v="4"/>
    <x v="0"/>
    <x v="0"/>
    <x v="0"/>
    <m/>
    <x v="1"/>
    <m/>
    <n v="1"/>
    <x v="0"/>
    <x v="2"/>
    <n v="4.2467532013434672"/>
    <x v="0"/>
    <x v="0"/>
    <x v="0"/>
  </r>
  <r>
    <x v="195"/>
    <x v="4"/>
    <x v="0"/>
    <x v="0"/>
    <x v="0"/>
    <m/>
    <x v="1"/>
    <m/>
    <n v="1"/>
    <x v="0"/>
    <x v="2"/>
    <n v="4.9678576733834259"/>
    <x v="0"/>
    <x v="0"/>
    <x v="0"/>
  </r>
  <r>
    <x v="196"/>
    <x v="4"/>
    <x v="0"/>
    <x v="0"/>
    <x v="0"/>
    <m/>
    <x v="1"/>
    <m/>
    <n v="1"/>
    <x v="0"/>
    <x v="2"/>
    <n v="4.2467532013434672"/>
    <x v="0"/>
    <x v="0"/>
    <x v="0"/>
  </r>
  <r>
    <x v="197"/>
    <x v="4"/>
    <x v="1"/>
    <x v="0"/>
    <x v="0"/>
    <m/>
    <x v="1"/>
    <m/>
    <n v="1"/>
    <x v="0"/>
    <x v="2"/>
    <n v="5.146293622246592"/>
    <x v="0"/>
    <x v="0"/>
    <x v="0"/>
  </r>
  <r>
    <x v="198"/>
    <x v="4"/>
    <x v="1"/>
    <x v="0"/>
    <x v="0"/>
    <m/>
    <x v="1"/>
    <m/>
    <n v="1"/>
    <x v="0"/>
    <x v="2"/>
    <n v="3.0995310315939752"/>
    <x v="0"/>
    <x v="0"/>
    <x v="0"/>
  </r>
  <r>
    <x v="199"/>
    <x v="4"/>
    <x v="1"/>
    <x v="0"/>
    <x v="0"/>
    <m/>
    <x v="1"/>
    <m/>
    <n v="1"/>
    <x v="0"/>
    <x v="2"/>
    <n v="5.0975003575400608"/>
    <x v="0"/>
    <x v="0"/>
    <x v="0"/>
  </r>
  <r>
    <x v="200"/>
    <x v="4"/>
    <x v="1"/>
    <x v="0"/>
    <x v="0"/>
    <m/>
    <x v="1"/>
    <m/>
    <n v="1"/>
    <x v="0"/>
    <x v="2"/>
    <n v="3.0993559185266428"/>
    <x v="0"/>
    <x v="0"/>
    <x v="0"/>
  </r>
  <r>
    <x v="201"/>
    <x v="4"/>
    <x v="1"/>
    <x v="0"/>
    <x v="0"/>
    <m/>
    <x v="1"/>
    <m/>
    <n v="1"/>
    <x v="0"/>
    <x v="2"/>
    <n v="2.7135464424239384"/>
    <x v="0"/>
    <x v="0"/>
    <x v="0"/>
  </r>
  <r>
    <x v="202"/>
    <x v="4"/>
    <x v="1"/>
    <x v="0"/>
    <x v="0"/>
    <m/>
    <x v="1"/>
    <m/>
    <n v="1"/>
    <x v="0"/>
    <x v="2"/>
    <n v="4.0211415209276593"/>
    <x v="0"/>
    <x v="0"/>
    <x v="0"/>
  </r>
  <r>
    <x v="203"/>
    <x v="4"/>
    <x v="1"/>
    <x v="0"/>
    <x v="0"/>
    <m/>
    <x v="1"/>
    <m/>
    <n v="1"/>
    <x v="0"/>
    <x v="2"/>
    <n v="2.5501551566322025"/>
    <x v="0"/>
    <x v="0"/>
    <x v="0"/>
  </r>
  <r>
    <x v="204"/>
    <x v="4"/>
    <x v="1"/>
    <x v="0"/>
    <x v="0"/>
    <m/>
    <x v="1"/>
    <m/>
    <n v="1"/>
    <x v="0"/>
    <x v="2"/>
    <n v="3.6399489679151444"/>
    <x v="0"/>
    <x v="0"/>
    <x v="0"/>
  </r>
  <r>
    <x v="205"/>
    <x v="4"/>
    <x v="1"/>
    <x v="0"/>
    <x v="0"/>
    <m/>
    <x v="1"/>
    <m/>
    <n v="1"/>
    <x v="0"/>
    <x v="2"/>
    <n v="4.8523154463603895"/>
    <x v="0"/>
    <x v="0"/>
    <x v="0"/>
  </r>
  <r>
    <x v="206"/>
    <x v="4"/>
    <x v="1"/>
    <x v="0"/>
    <x v="0"/>
    <m/>
    <x v="1"/>
    <m/>
    <n v="1"/>
    <x v="0"/>
    <x v="2"/>
    <n v="3.4567101871538437"/>
    <x v="0"/>
    <x v="0"/>
    <x v="0"/>
  </r>
  <r>
    <x v="207"/>
    <x v="4"/>
    <x v="1"/>
    <x v="0"/>
    <x v="0"/>
    <m/>
    <x v="1"/>
    <m/>
    <n v="1"/>
    <x v="0"/>
    <x v="2"/>
    <n v="4.8526926298572599"/>
    <x v="0"/>
    <x v="0"/>
    <x v="0"/>
  </r>
  <r>
    <x v="208"/>
    <x v="4"/>
    <x v="1"/>
    <x v="0"/>
    <x v="0"/>
    <m/>
    <x v="1"/>
    <m/>
    <n v="1"/>
    <x v="0"/>
    <x v="2"/>
    <n v="3.4567101844176031"/>
    <x v="0"/>
    <x v="0"/>
    <x v="0"/>
  </r>
  <r>
    <x v="209"/>
    <x v="4"/>
    <x v="1"/>
    <x v="0"/>
    <x v="0"/>
    <m/>
    <x v="1"/>
    <m/>
    <n v="1"/>
    <x v="0"/>
    <x v="2"/>
    <n v="2.5240440635645194"/>
    <x v="0"/>
    <x v="0"/>
    <x v="0"/>
  </r>
  <r>
    <x v="210"/>
    <x v="4"/>
    <x v="1"/>
    <x v="0"/>
    <x v="0"/>
    <m/>
    <x v="1"/>
    <m/>
    <n v="1"/>
    <x v="0"/>
    <x v="2"/>
    <n v="4.1777424095496425"/>
    <x v="0"/>
    <x v="0"/>
    <x v="0"/>
  </r>
  <r>
    <x v="211"/>
    <x v="4"/>
    <x v="1"/>
    <x v="0"/>
    <x v="0"/>
    <m/>
    <x v="1"/>
    <m/>
    <n v="1"/>
    <x v="0"/>
    <x v="2"/>
    <n v="2.8809967158280503"/>
    <x v="0"/>
    <x v="0"/>
    <x v="0"/>
  </r>
  <r>
    <x v="212"/>
    <x v="4"/>
    <x v="1"/>
    <x v="0"/>
    <x v="0"/>
    <m/>
    <x v="1"/>
    <m/>
    <n v="1"/>
    <x v="0"/>
    <x v="2"/>
    <n v="3.5065465324203395"/>
    <x v="0"/>
    <x v="0"/>
    <x v="0"/>
  </r>
  <r>
    <x v="213"/>
    <x v="4"/>
    <x v="1"/>
    <x v="0"/>
    <x v="0"/>
    <m/>
    <x v="1"/>
    <m/>
    <n v="1"/>
    <x v="0"/>
    <x v="2"/>
    <n v="5.4402730482869872"/>
    <x v="0"/>
    <x v="0"/>
    <x v="0"/>
  </r>
  <r>
    <x v="214"/>
    <x v="4"/>
    <x v="1"/>
    <x v="0"/>
    <x v="0"/>
    <m/>
    <x v="1"/>
    <m/>
    <n v="1"/>
    <x v="0"/>
    <x v="2"/>
    <n v="3.0995310315937248"/>
    <x v="0"/>
    <x v="0"/>
    <x v="0"/>
  </r>
  <r>
    <x v="215"/>
    <x v="4"/>
    <x v="1"/>
    <x v="0"/>
    <x v="0"/>
    <m/>
    <x v="1"/>
    <m/>
    <n v="1"/>
    <x v="0"/>
    <x v="2"/>
    <n v="5.4571895667849706"/>
    <x v="0"/>
    <x v="0"/>
    <x v="0"/>
  </r>
  <r>
    <x v="216"/>
    <x v="4"/>
    <x v="1"/>
    <x v="0"/>
    <x v="0"/>
    <m/>
    <x v="1"/>
    <m/>
    <n v="1"/>
    <x v="0"/>
    <x v="2"/>
    <n v="2.7585557999612114"/>
    <x v="0"/>
    <x v="0"/>
    <x v="0"/>
  </r>
  <r>
    <x v="217"/>
    <x v="4"/>
    <x v="1"/>
    <x v="0"/>
    <x v="0"/>
    <m/>
    <x v="1"/>
    <m/>
    <n v="1"/>
    <x v="0"/>
    <x v="2"/>
    <n v="2.8089858437794852"/>
    <x v="0"/>
    <x v="0"/>
    <x v="0"/>
  </r>
  <r>
    <x v="218"/>
    <x v="4"/>
    <x v="1"/>
    <x v="0"/>
    <x v="0"/>
    <m/>
    <x v="1"/>
    <m/>
    <n v="1"/>
    <x v="0"/>
    <x v="2"/>
    <n v="4.0093897403317884"/>
    <x v="0"/>
    <x v="0"/>
    <x v="0"/>
  </r>
  <r>
    <x v="219"/>
    <x v="4"/>
    <x v="1"/>
    <x v="0"/>
    <x v="0"/>
    <m/>
    <x v="1"/>
    <m/>
    <n v="1"/>
    <x v="0"/>
    <x v="2"/>
    <n v="2.8030694017425866"/>
    <x v="0"/>
    <x v="0"/>
    <x v="0"/>
  </r>
  <r>
    <x v="220"/>
    <x v="4"/>
    <x v="1"/>
    <x v="0"/>
    <x v="0"/>
    <m/>
    <x v="1"/>
    <m/>
    <n v="1"/>
    <x v="0"/>
    <x v="2"/>
    <n v="3.976393293025092"/>
    <x v="0"/>
    <x v="0"/>
    <x v="0"/>
  </r>
  <r>
    <x v="221"/>
    <x v="3"/>
    <x v="2"/>
    <x v="0"/>
    <x v="0"/>
    <m/>
    <x v="1"/>
    <m/>
    <n v="1"/>
    <x v="0"/>
    <x v="2"/>
    <n v="4.4390412083610808"/>
    <x v="0"/>
    <x v="0"/>
    <x v="0"/>
  </r>
  <r>
    <x v="222"/>
    <x v="3"/>
    <x v="2"/>
    <x v="0"/>
    <x v="0"/>
    <m/>
    <x v="1"/>
    <m/>
    <n v="1"/>
    <x v="0"/>
    <x v="2"/>
    <n v="3.6558491197690208"/>
    <x v="0"/>
    <x v="0"/>
    <x v="0"/>
  </r>
  <r>
    <x v="223"/>
    <x v="3"/>
    <x v="2"/>
    <x v="0"/>
    <x v="0"/>
    <m/>
    <x v="1"/>
    <m/>
    <n v="1"/>
    <x v="0"/>
    <x v="2"/>
    <n v="4.7369922802855067"/>
    <x v="0"/>
    <x v="0"/>
    <x v="0"/>
  </r>
  <r>
    <x v="224"/>
    <x v="3"/>
    <x v="2"/>
    <x v="0"/>
    <x v="0"/>
    <m/>
    <x v="1"/>
    <m/>
    <n v="1"/>
    <x v="0"/>
    <x v="2"/>
    <n v="3.9022094189030589"/>
    <x v="0"/>
    <x v="0"/>
    <x v="0"/>
  </r>
  <r>
    <x v="225"/>
    <x v="3"/>
    <x v="2"/>
    <x v="0"/>
    <x v="0"/>
    <m/>
    <x v="1"/>
    <m/>
    <n v="1"/>
    <x v="0"/>
    <x v="2"/>
    <n v="4.7381737795061003"/>
    <x v="0"/>
    <x v="0"/>
    <x v="0"/>
  </r>
  <r>
    <x v="226"/>
    <x v="3"/>
    <x v="2"/>
    <x v="0"/>
    <x v="0"/>
    <m/>
    <x v="1"/>
    <m/>
    <n v="1"/>
    <x v="0"/>
    <x v="2"/>
    <n v="3.9022043019355688"/>
    <x v="0"/>
    <x v="0"/>
    <x v="0"/>
  </r>
  <r>
    <x v="227"/>
    <x v="3"/>
    <x v="2"/>
    <x v="0"/>
    <x v="0"/>
    <m/>
    <x v="1"/>
    <m/>
    <n v="1"/>
    <x v="0"/>
    <x v="2"/>
    <n v="4.7369860194343323"/>
    <x v="0"/>
    <x v="0"/>
    <x v="0"/>
  </r>
  <r>
    <x v="228"/>
    <x v="3"/>
    <x v="2"/>
    <x v="0"/>
    <x v="0"/>
    <m/>
    <x v="1"/>
    <m/>
    <n v="1"/>
    <x v="0"/>
    <x v="2"/>
    <n v="3.9021998955018544"/>
    <x v="0"/>
    <x v="0"/>
    <x v="0"/>
  </r>
  <r>
    <x v="229"/>
    <x v="3"/>
    <x v="2"/>
    <x v="0"/>
    <x v="0"/>
    <m/>
    <x v="1"/>
    <m/>
    <n v="1"/>
    <x v="0"/>
    <x v="2"/>
    <n v="4.6552696167838548"/>
    <x v="0"/>
    <x v="0"/>
    <x v="0"/>
  </r>
  <r>
    <x v="230"/>
    <x v="3"/>
    <x v="2"/>
    <x v="0"/>
    <x v="0"/>
    <m/>
    <x v="1"/>
    <m/>
    <n v="1"/>
    <x v="0"/>
    <x v="2"/>
    <n v="3.835043762321781"/>
    <x v="0"/>
    <x v="0"/>
    <x v="0"/>
  </r>
  <r>
    <x v="231"/>
    <x v="3"/>
    <x v="2"/>
    <x v="0"/>
    <x v="0"/>
    <m/>
    <x v="1"/>
    <m/>
    <n v="1"/>
    <x v="0"/>
    <x v="2"/>
    <n v="4.5116501882633164"/>
    <x v="0"/>
    <x v="0"/>
    <x v="0"/>
  </r>
  <r>
    <x v="232"/>
    <x v="3"/>
    <x v="2"/>
    <x v="0"/>
    <x v="0"/>
    <m/>
    <x v="1"/>
    <m/>
    <n v="1"/>
    <x v="0"/>
    <x v="2"/>
    <n v="7.7495235019832522"/>
    <x v="0"/>
    <x v="0"/>
    <x v="0"/>
  </r>
  <r>
    <x v="233"/>
    <x v="3"/>
    <x v="2"/>
    <x v="0"/>
    <x v="0"/>
    <m/>
    <x v="1"/>
    <m/>
    <n v="1"/>
    <x v="0"/>
    <x v="2"/>
    <n v="4.8124474921891256"/>
    <x v="0"/>
    <x v="0"/>
    <x v="0"/>
  </r>
  <r>
    <x v="234"/>
    <x v="3"/>
    <x v="2"/>
    <x v="0"/>
    <x v="0"/>
    <m/>
    <x v="1"/>
    <m/>
    <n v="1"/>
    <x v="0"/>
    <x v="2"/>
    <n v="8.2672532415202369"/>
    <x v="0"/>
    <x v="0"/>
    <x v="0"/>
  </r>
  <r>
    <x v="235"/>
    <x v="3"/>
    <x v="2"/>
    <x v="0"/>
    <x v="0"/>
    <m/>
    <x v="1"/>
    <m/>
    <n v="1"/>
    <x v="0"/>
    <x v="2"/>
    <n v="4.7381733326017885"/>
    <x v="0"/>
    <x v="0"/>
    <x v="0"/>
  </r>
  <r>
    <x v="236"/>
    <x v="3"/>
    <x v="2"/>
    <x v="0"/>
    <x v="0"/>
    <m/>
    <x v="1"/>
    <m/>
    <n v="1"/>
    <x v="0"/>
    <x v="2"/>
    <n v="3.9022025876507884"/>
    <x v="0"/>
    <x v="0"/>
    <x v="0"/>
  </r>
  <r>
    <x v="237"/>
    <x v="3"/>
    <x v="2"/>
    <x v="0"/>
    <x v="0"/>
    <m/>
    <x v="1"/>
    <m/>
    <n v="1"/>
    <x v="0"/>
    <x v="2"/>
    <n v="4.7369839497827364"/>
    <x v="0"/>
    <x v="0"/>
    <x v="0"/>
  </r>
  <r>
    <x v="238"/>
    <x v="3"/>
    <x v="2"/>
    <x v="0"/>
    <x v="0"/>
    <m/>
    <x v="1"/>
    <m/>
    <n v="1"/>
    <x v="0"/>
    <x v="2"/>
    <n v="3.9021993298307684"/>
    <x v="0"/>
    <x v="0"/>
    <x v="0"/>
  </r>
  <r>
    <x v="239"/>
    <x v="3"/>
    <x v="2"/>
    <x v="0"/>
    <x v="0"/>
    <m/>
    <x v="1"/>
    <m/>
    <n v="1"/>
    <x v="0"/>
    <x v="2"/>
    <n v="4.6552665910458497"/>
    <x v="0"/>
    <x v="0"/>
    <x v="0"/>
  </r>
  <r>
    <x v="240"/>
    <x v="3"/>
    <x v="2"/>
    <x v="0"/>
    <x v="0"/>
    <m/>
    <x v="1"/>
    <m/>
    <n v="1"/>
    <x v="0"/>
    <x v="2"/>
    <n v="3.8350412396646267"/>
    <x v="0"/>
    <x v="0"/>
    <x v="0"/>
  </r>
  <r>
    <x v="241"/>
    <x v="3"/>
    <x v="2"/>
    <x v="0"/>
    <x v="0"/>
    <m/>
    <x v="1"/>
    <m/>
    <n v="1"/>
    <x v="0"/>
    <x v="2"/>
    <n v="4.5116501856109847"/>
    <x v="0"/>
    <x v="0"/>
    <x v="0"/>
  </r>
  <r>
    <x v="242"/>
    <x v="3"/>
    <x v="2"/>
    <x v="0"/>
    <x v="0"/>
    <m/>
    <x v="1"/>
    <m/>
    <n v="1"/>
    <x v="0"/>
    <x v="2"/>
    <n v="7.7495234422298918"/>
    <x v="0"/>
    <x v="0"/>
    <x v="0"/>
  </r>
  <r>
    <x v="243"/>
    <x v="3"/>
    <x v="2"/>
    <x v="0"/>
    <x v="0"/>
    <m/>
    <x v="1"/>
    <m/>
    <n v="1"/>
    <x v="0"/>
    <x v="2"/>
    <n v="4.8836184967574345"/>
    <x v="0"/>
    <x v="0"/>
    <x v="0"/>
  </r>
  <r>
    <x v="244"/>
    <x v="3"/>
    <x v="2"/>
    <x v="0"/>
    <x v="0"/>
    <m/>
    <x v="1"/>
    <m/>
    <n v="1"/>
    <x v="0"/>
    <x v="2"/>
    <n v="8.39196781462263"/>
    <x v="0"/>
    <x v="0"/>
    <x v="0"/>
  </r>
  <r>
    <x v="245"/>
    <x v="3"/>
    <x v="2"/>
    <x v="0"/>
    <x v="0"/>
    <m/>
    <x v="1"/>
    <m/>
    <n v="1"/>
    <x v="0"/>
    <x v="2"/>
    <n v="4.8124029461298736"/>
    <x v="0"/>
    <x v="0"/>
    <x v="0"/>
  </r>
  <r>
    <x v="246"/>
    <x v="3"/>
    <x v="2"/>
    <x v="0"/>
    <x v="0"/>
    <m/>
    <x v="1"/>
    <m/>
    <n v="1"/>
    <x v="0"/>
    <x v="2"/>
    <n v="8.2671774619412695"/>
    <x v="0"/>
    <x v="0"/>
    <x v="0"/>
  </r>
  <r>
    <x v="247"/>
    <x v="3"/>
    <x v="2"/>
    <x v="0"/>
    <x v="0"/>
    <m/>
    <x v="1"/>
    <m/>
    <n v="1"/>
    <x v="0"/>
    <x v="2"/>
    <n v="4.8094610226826893"/>
    <x v="0"/>
    <x v="0"/>
    <x v="0"/>
  </r>
  <r>
    <x v="248"/>
    <x v="3"/>
    <x v="2"/>
    <x v="0"/>
    <x v="0"/>
    <m/>
    <x v="1"/>
    <m/>
    <n v="1"/>
    <x v="0"/>
    <x v="2"/>
    <n v="8.5332504641951825"/>
    <x v="0"/>
    <x v="0"/>
    <x v="0"/>
  </r>
  <r>
    <x v="249"/>
    <x v="3"/>
    <x v="2"/>
    <x v="0"/>
    <x v="0"/>
    <m/>
    <x v="1"/>
    <m/>
    <n v="1"/>
    <x v="0"/>
    <x v="2"/>
    <n v="4.7288161494549872"/>
    <x v="0"/>
    <x v="0"/>
    <x v="0"/>
  </r>
  <r>
    <x v="250"/>
    <x v="3"/>
    <x v="2"/>
    <x v="0"/>
    <x v="0"/>
    <m/>
    <x v="1"/>
    <m/>
    <n v="1"/>
    <x v="0"/>
    <x v="2"/>
    <n v="8.1257112305927439"/>
    <x v="0"/>
    <x v="0"/>
    <x v="0"/>
  </r>
  <r>
    <x v="251"/>
    <x v="5"/>
    <x v="2"/>
    <x v="0"/>
    <x v="0"/>
    <m/>
    <x v="1"/>
    <m/>
    <n v="1"/>
    <x v="0"/>
    <x v="2"/>
    <n v="5.0981645626443131"/>
    <x v="0"/>
    <x v="0"/>
    <x v="0"/>
  </r>
  <r>
    <x v="252"/>
    <x v="5"/>
    <x v="2"/>
    <x v="0"/>
    <x v="0"/>
    <m/>
    <x v="1"/>
    <m/>
    <n v="1"/>
    <x v="0"/>
    <x v="2"/>
    <n v="7.6273327055244735"/>
    <x v="0"/>
    <x v="0"/>
    <x v="0"/>
  </r>
  <r>
    <x v="253"/>
    <x v="5"/>
    <x v="2"/>
    <x v="0"/>
    <x v="0"/>
    <m/>
    <x v="1"/>
    <m/>
    <n v="1"/>
    <x v="0"/>
    <x v="2"/>
    <n v="5.0981645624571623"/>
    <x v="0"/>
    <x v="0"/>
    <x v="0"/>
  </r>
  <r>
    <x v="254"/>
    <x v="5"/>
    <x v="2"/>
    <x v="0"/>
    <x v="0"/>
    <m/>
    <x v="1"/>
    <m/>
    <n v="1"/>
    <x v="0"/>
    <x v="2"/>
    <n v="5.9384680575307822"/>
    <x v="0"/>
    <x v="0"/>
    <x v="0"/>
  </r>
  <r>
    <x v="255"/>
    <x v="5"/>
    <x v="2"/>
    <x v="0"/>
    <x v="0"/>
    <m/>
    <x v="1"/>
    <m/>
    <n v="1"/>
    <x v="0"/>
    <x v="2"/>
    <n v="5.098164562644028"/>
    <x v="0"/>
    <x v="0"/>
    <x v="0"/>
  </r>
  <r>
    <x v="256"/>
    <x v="5"/>
    <x v="2"/>
    <x v="0"/>
    <x v="0"/>
    <m/>
    <x v="1"/>
    <m/>
    <n v="1"/>
    <x v="0"/>
    <x v="2"/>
    <n v="7.597110812508256"/>
    <x v="0"/>
    <x v="0"/>
    <x v="0"/>
  </r>
  <r>
    <x v="257"/>
    <x v="5"/>
    <x v="2"/>
    <x v="0"/>
    <x v="0"/>
    <m/>
    <x v="1"/>
    <m/>
    <n v="1"/>
    <x v="0"/>
    <x v="2"/>
    <n v="5.098165984079464"/>
    <x v="0"/>
    <x v="0"/>
    <x v="0"/>
  </r>
  <r>
    <x v="258"/>
    <x v="5"/>
    <x v="2"/>
    <x v="0"/>
    <x v="0"/>
    <m/>
    <x v="1"/>
    <m/>
    <n v="1"/>
    <x v="0"/>
    <x v="2"/>
    <n v="5.9375455763289198"/>
    <x v="0"/>
    <x v="0"/>
    <x v="0"/>
  </r>
  <r>
    <x v="259"/>
    <x v="5"/>
    <x v="2"/>
    <x v="0"/>
    <x v="0"/>
    <m/>
    <x v="1"/>
    <m/>
    <n v="1"/>
    <x v="0"/>
    <x v="2"/>
    <n v="3.8406289565285672"/>
    <x v="0"/>
    <x v="0"/>
    <x v="0"/>
  </r>
  <r>
    <x v="260"/>
    <x v="5"/>
    <x v="2"/>
    <x v="0"/>
    <x v="0"/>
    <m/>
    <x v="1"/>
    <m/>
    <n v="1"/>
    <x v="0"/>
    <x v="2"/>
    <n v="4.1189270460209091"/>
    <x v="0"/>
    <x v="0"/>
    <x v="0"/>
  </r>
  <r>
    <x v="261"/>
    <x v="5"/>
    <x v="2"/>
    <x v="0"/>
    <x v="0"/>
    <m/>
    <x v="1"/>
    <m/>
    <n v="1"/>
    <x v="0"/>
    <x v="2"/>
    <n v="5.0981645626443131"/>
    <x v="0"/>
    <x v="0"/>
    <x v="0"/>
  </r>
  <r>
    <x v="262"/>
    <x v="5"/>
    <x v="2"/>
    <x v="0"/>
    <x v="0"/>
    <m/>
    <x v="1"/>
    <m/>
    <n v="1"/>
    <x v="0"/>
    <x v="2"/>
    <n v="7.6273327055244735"/>
    <x v="0"/>
    <x v="0"/>
    <x v="0"/>
  </r>
  <r>
    <x v="263"/>
    <x v="5"/>
    <x v="2"/>
    <x v="0"/>
    <x v="0"/>
    <m/>
    <x v="1"/>
    <m/>
    <n v="1"/>
    <x v="0"/>
    <x v="2"/>
    <n v="5.0981645624571623"/>
    <x v="0"/>
    <x v="0"/>
    <x v="0"/>
  </r>
  <r>
    <x v="264"/>
    <x v="5"/>
    <x v="2"/>
    <x v="0"/>
    <x v="0"/>
    <m/>
    <x v="1"/>
    <m/>
    <n v="1"/>
    <x v="0"/>
    <x v="2"/>
    <n v="5.9384680575307822"/>
    <x v="0"/>
    <x v="0"/>
    <x v="0"/>
  </r>
  <r>
    <x v="265"/>
    <x v="5"/>
    <x v="2"/>
    <x v="0"/>
    <x v="0"/>
    <m/>
    <x v="1"/>
    <m/>
    <n v="1"/>
    <x v="0"/>
    <x v="2"/>
    <n v="5.098164562644028"/>
    <x v="0"/>
    <x v="0"/>
    <x v="0"/>
  </r>
  <r>
    <x v="266"/>
    <x v="5"/>
    <x v="2"/>
    <x v="0"/>
    <x v="0"/>
    <m/>
    <x v="1"/>
    <m/>
    <n v="1"/>
    <x v="0"/>
    <x v="2"/>
    <n v="7.597110812508256"/>
    <x v="0"/>
    <x v="0"/>
    <x v="0"/>
  </r>
  <r>
    <x v="267"/>
    <x v="5"/>
    <x v="2"/>
    <x v="0"/>
    <x v="0"/>
    <m/>
    <x v="1"/>
    <m/>
    <n v="1"/>
    <x v="0"/>
    <x v="2"/>
    <n v="5.098165984079464"/>
    <x v="0"/>
    <x v="0"/>
    <x v="0"/>
  </r>
  <r>
    <x v="268"/>
    <x v="5"/>
    <x v="2"/>
    <x v="0"/>
    <x v="0"/>
    <m/>
    <x v="1"/>
    <m/>
    <n v="1"/>
    <x v="0"/>
    <x v="2"/>
    <n v="5.9375455763289198"/>
    <x v="0"/>
    <x v="0"/>
    <x v="0"/>
  </r>
  <r>
    <x v="269"/>
    <x v="5"/>
    <x v="2"/>
    <x v="0"/>
    <x v="0"/>
    <m/>
    <x v="1"/>
    <m/>
    <n v="1"/>
    <x v="0"/>
    <x v="2"/>
    <n v="3.8406289565285672"/>
    <x v="0"/>
    <x v="0"/>
    <x v="0"/>
  </r>
  <r>
    <x v="270"/>
    <x v="5"/>
    <x v="2"/>
    <x v="0"/>
    <x v="0"/>
    <m/>
    <x v="1"/>
    <m/>
    <n v="1"/>
    <x v="0"/>
    <x v="2"/>
    <n v="4.1189270460209091"/>
    <x v="0"/>
    <x v="0"/>
    <x v="0"/>
  </r>
  <r>
    <x v="271"/>
    <x v="5"/>
    <x v="2"/>
    <x v="0"/>
    <x v="0"/>
    <m/>
    <x v="1"/>
    <m/>
    <n v="1"/>
    <x v="0"/>
    <x v="2"/>
    <n v="4.9368831072654382"/>
    <x v="0"/>
    <x v="0"/>
    <x v="0"/>
  </r>
  <r>
    <x v="272"/>
    <x v="5"/>
    <x v="2"/>
    <x v="0"/>
    <x v="0"/>
    <m/>
    <x v="1"/>
    <m/>
    <n v="1"/>
    <x v="0"/>
    <x v="2"/>
    <n v="5.7587072731289011"/>
    <x v="0"/>
    <x v="0"/>
    <x v="0"/>
  </r>
  <r>
    <x v="273"/>
    <x v="5"/>
    <x v="2"/>
    <x v="0"/>
    <x v="0"/>
    <m/>
    <x v="1"/>
    <m/>
    <n v="1"/>
    <x v="0"/>
    <x v="2"/>
    <n v="5.0981645626443131"/>
    <x v="0"/>
    <x v="0"/>
    <x v="0"/>
  </r>
  <r>
    <x v="274"/>
    <x v="5"/>
    <x v="2"/>
    <x v="0"/>
    <x v="0"/>
    <m/>
    <x v="1"/>
    <m/>
    <n v="1"/>
    <x v="0"/>
    <x v="2"/>
    <n v="7.6273327055244735"/>
    <x v="0"/>
    <x v="0"/>
    <x v="0"/>
  </r>
  <r>
    <x v="275"/>
    <x v="5"/>
    <x v="2"/>
    <x v="0"/>
    <x v="0"/>
    <m/>
    <x v="1"/>
    <m/>
    <n v="1"/>
    <x v="0"/>
    <x v="2"/>
    <n v="5.0981645624571623"/>
    <x v="0"/>
    <x v="0"/>
    <x v="0"/>
  </r>
  <r>
    <x v="276"/>
    <x v="5"/>
    <x v="2"/>
    <x v="0"/>
    <x v="0"/>
    <m/>
    <x v="1"/>
    <m/>
    <n v="1"/>
    <x v="0"/>
    <x v="2"/>
    <n v="5.9384680575307822"/>
    <x v="0"/>
    <x v="0"/>
    <x v="0"/>
  </r>
  <r>
    <x v="277"/>
    <x v="5"/>
    <x v="2"/>
    <x v="0"/>
    <x v="0"/>
    <m/>
    <x v="1"/>
    <m/>
    <n v="1"/>
    <x v="0"/>
    <x v="2"/>
    <n v="5.098164562644028"/>
    <x v="0"/>
    <x v="0"/>
    <x v="0"/>
  </r>
  <r>
    <x v="278"/>
    <x v="5"/>
    <x v="2"/>
    <x v="0"/>
    <x v="0"/>
    <m/>
    <x v="1"/>
    <m/>
    <n v="1"/>
    <x v="0"/>
    <x v="2"/>
    <n v="7.597110812508256"/>
    <x v="0"/>
    <x v="0"/>
    <x v="0"/>
  </r>
  <r>
    <x v="279"/>
    <x v="5"/>
    <x v="2"/>
    <x v="0"/>
    <x v="0"/>
    <m/>
    <x v="1"/>
    <m/>
    <n v="1"/>
    <x v="0"/>
    <x v="2"/>
    <n v="5.098165984079464"/>
    <x v="0"/>
    <x v="0"/>
    <x v="0"/>
  </r>
  <r>
    <x v="280"/>
    <x v="5"/>
    <x v="2"/>
    <x v="0"/>
    <x v="0"/>
    <m/>
    <x v="1"/>
    <m/>
    <n v="1"/>
    <x v="0"/>
    <x v="2"/>
    <n v="5.9375455763289198"/>
    <x v="0"/>
    <x v="0"/>
    <x v="0"/>
  </r>
  <r>
    <x v="281"/>
    <x v="5"/>
    <x v="2"/>
    <x v="0"/>
    <x v="0"/>
    <m/>
    <x v="1"/>
    <m/>
    <n v="1"/>
    <x v="0"/>
    <x v="2"/>
    <n v="3.8406289565285672"/>
    <x v="0"/>
    <x v="0"/>
    <x v="0"/>
  </r>
  <r>
    <x v="282"/>
    <x v="5"/>
    <x v="2"/>
    <x v="0"/>
    <x v="0"/>
    <m/>
    <x v="1"/>
    <m/>
    <n v="1"/>
    <x v="0"/>
    <x v="2"/>
    <n v="4.1189270460209091"/>
    <x v="0"/>
    <x v="0"/>
    <x v="0"/>
  </r>
  <r>
    <x v="283"/>
    <x v="5"/>
    <x v="0"/>
    <x v="0"/>
    <x v="0"/>
    <m/>
    <x v="1"/>
    <m/>
    <n v="1"/>
    <x v="0"/>
    <x v="2"/>
    <n v="5.4001635046641185"/>
    <x v="0"/>
    <x v="0"/>
    <x v="0"/>
  </r>
  <r>
    <x v="284"/>
    <x v="5"/>
    <x v="0"/>
    <x v="0"/>
    <x v="0"/>
    <m/>
    <x v="1"/>
    <m/>
    <n v="1"/>
    <x v="0"/>
    <x v="2"/>
    <n v="5.9343071339227036"/>
    <x v="0"/>
    <x v="0"/>
    <x v="0"/>
  </r>
  <r>
    <x v="285"/>
    <x v="5"/>
    <x v="0"/>
    <x v="0"/>
    <x v="0"/>
    <m/>
    <x v="1"/>
    <m/>
    <n v="1"/>
    <x v="0"/>
    <x v="2"/>
    <n v="5.391081536294597"/>
    <x v="0"/>
    <x v="0"/>
    <x v="0"/>
  </r>
  <r>
    <x v="286"/>
    <x v="5"/>
    <x v="0"/>
    <x v="0"/>
    <x v="0"/>
    <m/>
    <x v="1"/>
    <m/>
    <n v="1"/>
    <x v="0"/>
    <x v="2"/>
    <n v="7.1685079749788407"/>
    <x v="0"/>
    <x v="0"/>
    <x v="0"/>
  </r>
  <r>
    <x v="287"/>
    <x v="5"/>
    <x v="0"/>
    <x v="0"/>
    <x v="0"/>
    <m/>
    <x v="1"/>
    <m/>
    <n v="1"/>
    <x v="0"/>
    <x v="2"/>
    <n v="5.556005810648954"/>
    <x v="0"/>
    <x v="0"/>
    <x v="0"/>
  </r>
  <r>
    <x v="288"/>
    <x v="5"/>
    <x v="0"/>
    <x v="0"/>
    <x v="0"/>
    <m/>
    <x v="1"/>
    <m/>
    <n v="1"/>
    <x v="0"/>
    <x v="2"/>
    <n v="5.5443521028888076"/>
    <x v="0"/>
    <x v="0"/>
    <x v="0"/>
  </r>
  <r>
    <x v="289"/>
    <x v="5"/>
    <x v="0"/>
    <x v="0"/>
    <x v="0"/>
    <m/>
    <x v="1"/>
    <m/>
    <n v="1"/>
    <x v="0"/>
    <x v="2"/>
    <n v="7.0346290443482342"/>
    <x v="0"/>
    <x v="0"/>
    <x v="0"/>
  </r>
  <r>
    <x v="290"/>
    <x v="5"/>
    <x v="0"/>
    <x v="0"/>
    <x v="0"/>
    <m/>
    <x v="1"/>
    <m/>
    <n v="1"/>
    <x v="0"/>
    <x v="2"/>
    <n v="5.5491574798746246"/>
    <x v="0"/>
    <x v="0"/>
    <x v="0"/>
  </r>
  <r>
    <x v="291"/>
    <x v="5"/>
    <x v="0"/>
    <x v="0"/>
    <x v="0"/>
    <m/>
    <x v="1"/>
    <m/>
    <n v="1"/>
    <x v="0"/>
    <x v="2"/>
    <n v="5.9599925323719392"/>
    <x v="0"/>
    <x v="0"/>
    <x v="0"/>
  </r>
  <r>
    <x v="292"/>
    <x v="5"/>
    <x v="0"/>
    <x v="0"/>
    <x v="0"/>
    <m/>
    <x v="1"/>
    <m/>
    <n v="1"/>
    <x v="0"/>
    <x v="2"/>
    <n v="7.7638775451279667"/>
    <x v="0"/>
    <x v="0"/>
    <x v="0"/>
  </r>
  <r>
    <x v="293"/>
    <x v="5"/>
    <x v="0"/>
    <x v="0"/>
    <x v="0"/>
    <m/>
    <x v="1"/>
    <m/>
    <n v="1"/>
    <x v="0"/>
    <x v="2"/>
    <n v="5.4001635046699219"/>
    <x v="0"/>
    <x v="0"/>
    <x v="0"/>
  </r>
  <r>
    <x v="294"/>
    <x v="5"/>
    <x v="0"/>
    <x v="0"/>
    <x v="0"/>
    <m/>
    <x v="1"/>
    <m/>
    <n v="1"/>
    <x v="0"/>
    <x v="2"/>
    <n v="5.9343071339227036"/>
    <x v="0"/>
    <x v="0"/>
    <x v="0"/>
  </r>
  <r>
    <x v="295"/>
    <x v="5"/>
    <x v="0"/>
    <x v="0"/>
    <x v="0"/>
    <m/>
    <x v="1"/>
    <m/>
    <n v="1"/>
    <x v="0"/>
    <x v="2"/>
    <n v="5.3910815363509377"/>
    <x v="0"/>
    <x v="0"/>
    <x v="0"/>
  </r>
  <r>
    <x v="296"/>
    <x v="5"/>
    <x v="0"/>
    <x v="0"/>
    <x v="0"/>
    <m/>
    <x v="1"/>
    <m/>
    <n v="1"/>
    <x v="0"/>
    <x v="2"/>
    <n v="7.1685079749788407"/>
    <x v="0"/>
    <x v="0"/>
    <x v="0"/>
  </r>
  <r>
    <x v="297"/>
    <x v="5"/>
    <x v="0"/>
    <x v="0"/>
    <x v="0"/>
    <m/>
    <x v="1"/>
    <m/>
    <n v="1"/>
    <x v="0"/>
    <x v="2"/>
    <n v="5.556005810648954"/>
    <x v="0"/>
    <x v="0"/>
    <x v="0"/>
  </r>
  <r>
    <x v="298"/>
    <x v="5"/>
    <x v="0"/>
    <x v="0"/>
    <x v="0"/>
    <m/>
    <x v="1"/>
    <m/>
    <n v="1"/>
    <x v="0"/>
    <x v="2"/>
    <n v="5.544352102836223"/>
    <x v="0"/>
    <x v="0"/>
    <x v="0"/>
  </r>
  <r>
    <x v="299"/>
    <x v="5"/>
    <x v="0"/>
    <x v="0"/>
    <x v="0"/>
    <m/>
    <x v="1"/>
    <m/>
    <n v="1"/>
    <x v="0"/>
    <x v="2"/>
    <n v="7.0346290443482342"/>
    <x v="0"/>
    <x v="0"/>
    <x v="0"/>
  </r>
  <r>
    <x v="300"/>
    <x v="5"/>
    <x v="0"/>
    <x v="0"/>
    <x v="0"/>
    <m/>
    <x v="1"/>
    <m/>
    <n v="1"/>
    <x v="0"/>
    <x v="2"/>
    <n v="5.5491574798783336"/>
    <x v="0"/>
    <x v="0"/>
    <x v="0"/>
  </r>
  <r>
    <x v="301"/>
    <x v="5"/>
    <x v="0"/>
    <x v="0"/>
    <x v="0"/>
    <m/>
    <x v="1"/>
    <m/>
    <n v="1"/>
    <x v="0"/>
    <x v="2"/>
    <n v="5.9599925323719392"/>
    <x v="0"/>
    <x v="0"/>
    <x v="0"/>
  </r>
  <r>
    <x v="302"/>
    <x v="5"/>
    <x v="0"/>
    <x v="0"/>
    <x v="0"/>
    <m/>
    <x v="1"/>
    <m/>
    <n v="1"/>
    <x v="0"/>
    <x v="2"/>
    <n v="7.7638775451279667"/>
    <x v="0"/>
    <x v="0"/>
    <x v="0"/>
  </r>
  <r>
    <x v="303"/>
    <x v="5"/>
    <x v="0"/>
    <x v="0"/>
    <x v="0"/>
    <m/>
    <x v="1"/>
    <m/>
    <n v="1"/>
    <x v="0"/>
    <x v="2"/>
    <n v="5.4001634984373537"/>
    <x v="0"/>
    <x v="0"/>
    <x v="0"/>
  </r>
  <r>
    <x v="304"/>
    <x v="5"/>
    <x v="0"/>
    <x v="0"/>
    <x v="0"/>
    <m/>
    <x v="1"/>
    <m/>
    <n v="1"/>
    <x v="0"/>
    <x v="2"/>
    <n v="5.7178670519682493"/>
    <x v="0"/>
    <x v="0"/>
    <x v="0"/>
  </r>
  <r>
    <x v="305"/>
    <x v="5"/>
    <x v="0"/>
    <x v="0"/>
    <x v="0"/>
    <m/>
    <x v="1"/>
    <m/>
    <n v="1"/>
    <x v="0"/>
    <x v="2"/>
    <n v="5.9071879905725604"/>
    <x v="0"/>
    <x v="0"/>
    <x v="0"/>
  </r>
  <r>
    <x v="306"/>
    <x v="5"/>
    <x v="0"/>
    <x v="0"/>
    <x v="0"/>
    <m/>
    <x v="1"/>
    <m/>
    <n v="1"/>
    <x v="0"/>
    <x v="2"/>
    <n v="7.1685079584880436"/>
    <x v="0"/>
    <x v="0"/>
    <x v="0"/>
  </r>
  <r>
    <x v="307"/>
    <x v="5"/>
    <x v="0"/>
    <x v="0"/>
    <x v="0"/>
    <m/>
    <x v="1"/>
    <m/>
    <n v="1"/>
    <x v="0"/>
    <x v="2"/>
    <n v="5.2265253359925339"/>
    <x v="0"/>
    <x v="0"/>
    <x v="0"/>
  </r>
  <r>
    <x v="308"/>
    <x v="5"/>
    <x v="0"/>
    <x v="0"/>
    <x v="0"/>
    <m/>
    <x v="1"/>
    <m/>
    <n v="1"/>
    <x v="0"/>
    <x v="2"/>
    <n v="6.3016032041639223"/>
    <x v="0"/>
    <x v="0"/>
    <x v="0"/>
  </r>
  <r>
    <x v="309"/>
    <x v="5"/>
    <x v="0"/>
    <x v="0"/>
    <x v="0"/>
    <m/>
    <x v="1"/>
    <m/>
    <n v="1"/>
    <x v="0"/>
    <x v="2"/>
    <n v="7.0346290443796935"/>
    <x v="0"/>
    <x v="0"/>
    <x v="0"/>
  </r>
  <r>
    <x v="310"/>
    <x v="5"/>
    <x v="0"/>
    <x v="0"/>
    <x v="0"/>
    <m/>
    <x v="1"/>
    <m/>
    <n v="1"/>
    <x v="0"/>
    <x v="2"/>
    <n v="5.2189363509116937"/>
    <x v="0"/>
    <x v="0"/>
    <x v="0"/>
  </r>
  <r>
    <x v="311"/>
    <x v="5"/>
    <x v="0"/>
    <x v="0"/>
    <x v="0"/>
    <m/>
    <x v="1"/>
    <m/>
    <n v="1"/>
    <x v="0"/>
    <x v="2"/>
    <n v="6.5508208300746515"/>
    <x v="0"/>
    <x v="0"/>
    <x v="0"/>
  </r>
  <r>
    <x v="312"/>
    <x v="5"/>
    <x v="0"/>
    <x v="0"/>
    <x v="0"/>
    <m/>
    <x v="1"/>
    <m/>
    <n v="1"/>
    <x v="0"/>
    <x v="2"/>
    <n v="7.7638775451279667"/>
    <x v="0"/>
    <x v="0"/>
    <x v="0"/>
  </r>
  <r>
    <x v="313"/>
    <x v="6"/>
    <x v="0"/>
    <x v="0"/>
    <x v="0"/>
    <m/>
    <x v="1"/>
    <m/>
    <n v="1"/>
    <x v="0"/>
    <x v="2"/>
    <n v="2.0342193541755105"/>
    <x v="0"/>
    <x v="0"/>
    <x v="0"/>
  </r>
  <r>
    <x v="314"/>
    <x v="6"/>
    <x v="0"/>
    <x v="0"/>
    <x v="0"/>
    <m/>
    <x v="1"/>
    <m/>
    <n v="1"/>
    <x v="0"/>
    <x v="2"/>
    <n v="6.0455715957385259"/>
    <x v="0"/>
    <x v="0"/>
    <x v="0"/>
  </r>
  <r>
    <x v="315"/>
    <x v="6"/>
    <x v="0"/>
    <x v="0"/>
    <x v="0"/>
    <m/>
    <x v="1"/>
    <m/>
    <n v="1"/>
    <x v="0"/>
    <x v="2"/>
    <n v="5.127092308324392"/>
    <x v="0"/>
    <x v="0"/>
    <x v="0"/>
  </r>
  <r>
    <x v="316"/>
    <x v="6"/>
    <x v="0"/>
    <x v="0"/>
    <x v="0"/>
    <m/>
    <x v="1"/>
    <m/>
    <n v="1"/>
    <x v="0"/>
    <x v="2"/>
    <n v="3.302906413554699"/>
    <x v="0"/>
    <x v="0"/>
    <x v="0"/>
  </r>
  <r>
    <x v="317"/>
    <x v="6"/>
    <x v="0"/>
    <x v="0"/>
    <x v="0"/>
    <m/>
    <x v="1"/>
    <m/>
    <n v="1"/>
    <x v="0"/>
    <x v="2"/>
    <n v="5.5892012237426458"/>
    <x v="0"/>
    <x v="0"/>
    <x v="0"/>
  </r>
  <r>
    <x v="318"/>
    <x v="6"/>
    <x v="0"/>
    <x v="0"/>
    <x v="0"/>
    <m/>
    <x v="1"/>
    <m/>
    <n v="1"/>
    <x v="0"/>
    <x v="2"/>
    <n v="5.6996156426450177"/>
    <x v="0"/>
    <x v="0"/>
    <x v="0"/>
  </r>
  <r>
    <x v="319"/>
    <x v="6"/>
    <x v="0"/>
    <x v="0"/>
    <x v="0"/>
    <m/>
    <x v="1"/>
    <m/>
    <n v="1"/>
    <x v="0"/>
    <x v="2"/>
    <n v="6.0879454832347353"/>
    <x v="0"/>
    <x v="0"/>
    <x v="0"/>
  </r>
  <r>
    <x v="320"/>
    <x v="6"/>
    <x v="0"/>
    <x v="0"/>
    <x v="0"/>
    <m/>
    <x v="1"/>
    <m/>
    <n v="1"/>
    <x v="0"/>
    <x v="2"/>
    <n v="5.2328650766271974"/>
    <x v="0"/>
    <x v="0"/>
    <x v="0"/>
  </r>
  <r>
    <x v="321"/>
    <x v="6"/>
    <x v="0"/>
    <x v="0"/>
    <x v="0"/>
    <m/>
    <x v="1"/>
    <m/>
    <n v="1"/>
    <x v="0"/>
    <x v="2"/>
    <n v="5.6996904286319827"/>
    <x v="0"/>
    <x v="0"/>
    <x v="0"/>
  </r>
  <r>
    <x v="322"/>
    <x v="6"/>
    <x v="0"/>
    <x v="0"/>
    <x v="0"/>
    <m/>
    <x v="1"/>
    <m/>
    <n v="1"/>
    <x v="0"/>
    <x v="2"/>
    <n v="6.0879505732029484"/>
    <x v="0"/>
    <x v="0"/>
    <x v="0"/>
  </r>
  <r>
    <x v="323"/>
    <x v="6"/>
    <x v="0"/>
    <x v="0"/>
    <x v="0"/>
    <m/>
    <x v="1"/>
    <m/>
    <n v="1"/>
    <x v="0"/>
    <x v="2"/>
    <n v="5.2327044190359473"/>
    <x v="0"/>
    <x v="0"/>
    <x v="0"/>
  </r>
  <r>
    <x v="324"/>
    <x v="7"/>
    <x v="0"/>
    <x v="0"/>
    <x v="0"/>
    <m/>
    <x v="1"/>
    <m/>
    <n v="1"/>
    <x v="0"/>
    <x v="2"/>
    <n v="2.2397529516370809"/>
    <x v="0"/>
    <x v="0"/>
    <x v="0"/>
  </r>
  <r>
    <x v="325"/>
    <x v="7"/>
    <x v="0"/>
    <x v="0"/>
    <x v="0"/>
    <m/>
    <x v="1"/>
    <m/>
    <n v="1"/>
    <x v="0"/>
    <x v="2"/>
    <n v="6.4869197453979996"/>
    <x v="0"/>
    <x v="0"/>
    <x v="0"/>
  </r>
  <r>
    <x v="326"/>
    <x v="7"/>
    <x v="0"/>
    <x v="0"/>
    <x v="0"/>
    <m/>
    <x v="1"/>
    <m/>
    <n v="1"/>
    <x v="0"/>
    <x v="2"/>
    <n v="5.3888320721844751"/>
    <x v="0"/>
    <x v="0"/>
    <x v="0"/>
  </r>
  <r>
    <x v="327"/>
    <x v="7"/>
    <x v="0"/>
    <x v="0"/>
    <x v="0"/>
    <m/>
    <x v="1"/>
    <m/>
    <n v="1"/>
    <x v="0"/>
    <x v="2"/>
    <n v="3.3953099321198539"/>
    <x v="0"/>
    <x v="0"/>
    <x v="0"/>
  </r>
  <r>
    <x v="328"/>
    <x v="7"/>
    <x v="0"/>
    <x v="0"/>
    <x v="0"/>
    <m/>
    <x v="1"/>
    <m/>
    <n v="1"/>
    <x v="0"/>
    <x v="2"/>
    <n v="5.955159771088212"/>
    <x v="0"/>
    <x v="0"/>
    <x v="0"/>
  </r>
  <r>
    <x v="329"/>
    <x v="7"/>
    <x v="0"/>
    <x v="0"/>
    <x v="0"/>
    <m/>
    <x v="1"/>
    <m/>
    <n v="1"/>
    <x v="0"/>
    <x v="2"/>
    <n v="6.1007324394323899"/>
    <x v="0"/>
    <x v="0"/>
    <x v="0"/>
  </r>
  <r>
    <x v="330"/>
    <x v="7"/>
    <x v="0"/>
    <x v="0"/>
    <x v="0"/>
    <m/>
    <x v="1"/>
    <m/>
    <n v="1"/>
    <x v="0"/>
    <x v="2"/>
    <n v="6.5961296797872553"/>
    <x v="0"/>
    <x v="0"/>
    <x v="0"/>
  </r>
  <r>
    <x v="331"/>
    <x v="7"/>
    <x v="0"/>
    <x v="0"/>
    <x v="0"/>
    <m/>
    <x v="1"/>
    <m/>
    <n v="1"/>
    <x v="0"/>
    <x v="2"/>
    <n v="5.6640959586429478"/>
    <x v="0"/>
    <x v="0"/>
    <x v="0"/>
  </r>
  <r>
    <x v="332"/>
    <x v="7"/>
    <x v="0"/>
    <x v="0"/>
    <x v="0"/>
    <m/>
    <x v="1"/>
    <m/>
    <n v="1"/>
    <x v="0"/>
    <x v="2"/>
    <n v="6.4094118139586227"/>
    <x v="0"/>
    <x v="0"/>
    <x v="0"/>
  </r>
  <r>
    <x v="333"/>
    <x v="7"/>
    <x v="0"/>
    <x v="0"/>
    <x v="0"/>
    <m/>
    <x v="1"/>
    <m/>
    <n v="1"/>
    <x v="0"/>
    <x v="2"/>
    <n v="7.0428953166820332"/>
    <x v="0"/>
    <x v="0"/>
    <x v="0"/>
  </r>
  <r>
    <x v="334"/>
    <x v="7"/>
    <x v="0"/>
    <x v="0"/>
    <x v="0"/>
    <m/>
    <x v="1"/>
    <m/>
    <n v="1"/>
    <x v="0"/>
    <x v="2"/>
    <n v="6.0475549380295925"/>
    <x v="0"/>
    <x v="0"/>
    <x v="0"/>
  </r>
  <r>
    <x v="335"/>
    <x v="6"/>
    <x v="2"/>
    <x v="0"/>
    <x v="0"/>
    <m/>
    <x v="1"/>
    <m/>
    <n v="1"/>
    <x v="0"/>
    <x v="2"/>
    <n v="3.2902260333218192"/>
    <x v="0"/>
    <x v="0"/>
    <x v="0"/>
  </r>
  <r>
    <x v="336"/>
    <x v="6"/>
    <x v="2"/>
    <x v="0"/>
    <x v="0"/>
    <m/>
    <x v="1"/>
    <m/>
    <n v="1"/>
    <x v="0"/>
    <x v="2"/>
    <n v="5.1362477219552467"/>
    <x v="0"/>
    <x v="0"/>
    <x v="0"/>
  </r>
  <r>
    <x v="337"/>
    <x v="6"/>
    <x v="2"/>
    <x v="0"/>
    <x v="0"/>
    <m/>
    <x v="1"/>
    <m/>
    <n v="1"/>
    <x v="0"/>
    <x v="2"/>
    <n v="8.6506992105558087"/>
    <x v="0"/>
    <x v="0"/>
    <x v="0"/>
  </r>
  <r>
    <x v="338"/>
    <x v="6"/>
    <x v="2"/>
    <x v="0"/>
    <x v="0"/>
    <m/>
    <x v="1"/>
    <m/>
    <n v="1"/>
    <x v="0"/>
    <x v="2"/>
    <n v="5.0998413158250813"/>
    <x v="0"/>
    <x v="0"/>
    <x v="0"/>
  </r>
  <r>
    <x v="339"/>
    <x v="6"/>
    <x v="2"/>
    <x v="0"/>
    <x v="0"/>
    <m/>
    <x v="1"/>
    <m/>
    <n v="1"/>
    <x v="0"/>
    <x v="2"/>
    <n v="5.1125174669979998"/>
    <x v="0"/>
    <x v="0"/>
    <x v="0"/>
  </r>
  <r>
    <x v="340"/>
    <x v="6"/>
    <x v="2"/>
    <x v="0"/>
    <x v="0"/>
    <m/>
    <x v="1"/>
    <m/>
    <n v="1"/>
    <x v="0"/>
    <x v="2"/>
    <n v="6.0154880243861841"/>
    <x v="0"/>
    <x v="0"/>
    <x v="0"/>
  </r>
  <r>
    <x v="341"/>
    <x v="6"/>
    <x v="2"/>
    <x v="0"/>
    <x v="0"/>
    <m/>
    <x v="1"/>
    <m/>
    <n v="1"/>
    <x v="0"/>
    <x v="2"/>
    <n v="4.2416259863548493"/>
    <x v="0"/>
    <x v="0"/>
    <x v="0"/>
  </r>
  <r>
    <x v="342"/>
    <x v="6"/>
    <x v="2"/>
    <x v="0"/>
    <x v="0"/>
    <m/>
    <x v="1"/>
    <m/>
    <n v="1"/>
    <x v="0"/>
    <x v="2"/>
    <n v="5.1355375783183908"/>
    <x v="0"/>
    <x v="0"/>
    <x v="0"/>
  </r>
  <r>
    <x v="343"/>
    <x v="6"/>
    <x v="2"/>
    <x v="0"/>
    <x v="0"/>
    <m/>
    <x v="1"/>
    <m/>
    <n v="1"/>
    <x v="0"/>
    <x v="2"/>
    <n v="5.1104246894451437"/>
    <x v="0"/>
    <x v="0"/>
    <x v="0"/>
  </r>
  <r>
    <x v="344"/>
    <x v="6"/>
    <x v="2"/>
    <x v="0"/>
    <x v="0"/>
    <m/>
    <x v="1"/>
    <m/>
    <n v="1"/>
    <x v="0"/>
    <x v="2"/>
    <n v="6.0036213640921847"/>
    <x v="0"/>
    <x v="0"/>
    <x v="0"/>
  </r>
  <r>
    <x v="345"/>
    <x v="6"/>
    <x v="2"/>
    <x v="0"/>
    <x v="0"/>
    <m/>
    <x v="1"/>
    <m/>
    <n v="1"/>
    <x v="0"/>
    <x v="2"/>
    <n v="4.2366265427163654"/>
    <x v="0"/>
    <x v="0"/>
    <x v="0"/>
  </r>
  <r>
    <x v="346"/>
    <x v="7"/>
    <x v="2"/>
    <x v="0"/>
    <x v="0"/>
    <m/>
    <x v="1"/>
    <m/>
    <n v="1"/>
    <x v="0"/>
    <x v="2"/>
    <n v="3.7181527962839982"/>
    <x v="0"/>
    <x v="0"/>
    <x v="0"/>
  </r>
  <r>
    <x v="347"/>
    <x v="7"/>
    <x v="2"/>
    <x v="0"/>
    <x v="0"/>
    <m/>
    <x v="1"/>
    <m/>
    <n v="1"/>
    <x v="0"/>
    <x v="2"/>
    <n v="5.6865726791929712"/>
    <x v="0"/>
    <x v="0"/>
    <x v="0"/>
  </r>
  <r>
    <x v="348"/>
    <x v="7"/>
    <x v="2"/>
    <x v="0"/>
    <x v="0"/>
    <m/>
    <x v="1"/>
    <m/>
    <n v="1"/>
    <x v="0"/>
    <x v="2"/>
    <n v="7.0167375606228815"/>
    <x v="0"/>
    <x v="0"/>
    <x v="0"/>
  </r>
  <r>
    <x v="349"/>
    <x v="7"/>
    <x v="2"/>
    <x v="0"/>
    <x v="0"/>
    <m/>
    <x v="1"/>
    <m/>
    <n v="1"/>
    <x v="0"/>
    <x v="2"/>
    <n v="5.6465129132526748"/>
    <x v="0"/>
    <x v="0"/>
    <x v="0"/>
  </r>
  <r>
    <x v="350"/>
    <x v="7"/>
    <x v="2"/>
    <x v="0"/>
    <x v="0"/>
    <m/>
    <x v="1"/>
    <m/>
    <n v="1"/>
    <x v="0"/>
    <x v="2"/>
    <n v="5.645091096462763"/>
    <x v="0"/>
    <x v="0"/>
    <x v="0"/>
  </r>
  <r>
    <x v="351"/>
    <x v="7"/>
    <x v="2"/>
    <x v="0"/>
    <x v="0"/>
    <m/>
    <x v="1"/>
    <m/>
    <n v="1"/>
    <x v="0"/>
    <x v="2"/>
    <n v="6.5892507754344596"/>
    <x v="0"/>
    <x v="0"/>
    <x v="0"/>
  </r>
  <r>
    <x v="352"/>
    <x v="7"/>
    <x v="2"/>
    <x v="0"/>
    <x v="0"/>
    <m/>
    <x v="1"/>
    <m/>
    <n v="1"/>
    <x v="0"/>
    <x v="2"/>
    <n v="4.6627206634299903"/>
    <x v="0"/>
    <x v="0"/>
    <x v="0"/>
  </r>
  <r>
    <x v="353"/>
    <x v="7"/>
    <x v="2"/>
    <x v="0"/>
    <x v="0"/>
    <m/>
    <x v="1"/>
    <m/>
    <n v="1"/>
    <x v="0"/>
    <x v="2"/>
    <n v="5.6858271331852439"/>
    <x v="0"/>
    <x v="0"/>
    <x v="0"/>
  </r>
  <r>
    <x v="354"/>
    <x v="7"/>
    <x v="2"/>
    <x v="0"/>
    <x v="0"/>
    <m/>
    <x v="1"/>
    <m/>
    <n v="1"/>
    <x v="0"/>
    <x v="2"/>
    <n v="5.6389044945962903"/>
    <x v="0"/>
    <x v="0"/>
    <x v="0"/>
  </r>
  <r>
    <x v="355"/>
    <x v="7"/>
    <x v="2"/>
    <x v="0"/>
    <x v="0"/>
    <m/>
    <x v="1"/>
    <m/>
    <n v="1"/>
    <x v="0"/>
    <x v="2"/>
    <n v="6.5768584544194661"/>
    <x v="0"/>
    <x v="0"/>
    <x v="0"/>
  </r>
  <r>
    <x v="356"/>
    <x v="7"/>
    <x v="2"/>
    <x v="0"/>
    <x v="0"/>
    <m/>
    <x v="1"/>
    <m/>
    <n v="1"/>
    <x v="0"/>
    <x v="2"/>
    <n v="4.6601475436001545"/>
    <x v="0"/>
    <x v="0"/>
    <x v="0"/>
  </r>
  <r>
    <x v="357"/>
    <x v="8"/>
    <x v="0"/>
    <x v="0"/>
    <x v="0"/>
    <m/>
    <x v="1"/>
    <m/>
    <n v="1"/>
    <x v="0"/>
    <x v="2"/>
    <n v="3.274486203778872"/>
    <x v="0"/>
    <x v="0"/>
    <x v="0"/>
  </r>
  <r>
    <x v="358"/>
    <x v="8"/>
    <x v="0"/>
    <x v="0"/>
    <x v="0"/>
    <m/>
    <x v="1"/>
    <m/>
    <n v="1"/>
    <x v="0"/>
    <x v="2"/>
    <n v="6.2769626366120841"/>
    <x v="0"/>
    <x v="0"/>
    <x v="0"/>
  </r>
  <r>
    <x v="359"/>
    <x v="8"/>
    <x v="0"/>
    <x v="0"/>
    <x v="0"/>
    <m/>
    <x v="1"/>
    <m/>
    <n v="1"/>
    <x v="0"/>
    <x v="2"/>
    <n v="5.1365734536454113"/>
    <x v="0"/>
    <x v="0"/>
    <x v="0"/>
  </r>
  <r>
    <x v="360"/>
    <x v="8"/>
    <x v="0"/>
    <x v="0"/>
    <x v="0"/>
    <m/>
    <x v="1"/>
    <m/>
    <n v="1"/>
    <x v="0"/>
    <x v="2"/>
    <n v="3.4476663770161591"/>
    <x v="0"/>
    <x v="0"/>
    <x v="0"/>
  </r>
  <r>
    <x v="361"/>
    <x v="8"/>
    <x v="0"/>
    <x v="0"/>
    <x v="0"/>
    <m/>
    <x v="1"/>
    <m/>
    <n v="1"/>
    <x v="0"/>
    <x v="2"/>
    <n v="6.2748010304451594"/>
    <x v="0"/>
    <x v="0"/>
    <x v="0"/>
  </r>
  <r>
    <x v="362"/>
    <x v="8"/>
    <x v="0"/>
    <x v="0"/>
    <x v="0"/>
    <m/>
    <x v="1"/>
    <m/>
    <n v="1"/>
    <x v="0"/>
    <x v="2"/>
    <n v="5.2519243453640323"/>
    <x v="0"/>
    <x v="0"/>
    <x v="0"/>
  </r>
  <r>
    <x v="363"/>
    <x v="8"/>
    <x v="0"/>
    <x v="0"/>
    <x v="0"/>
    <m/>
    <x v="1"/>
    <m/>
    <n v="1"/>
    <x v="0"/>
    <x v="2"/>
    <n v="3.0251368835002435"/>
    <x v="0"/>
    <x v="0"/>
    <x v="0"/>
  </r>
  <r>
    <x v="364"/>
    <x v="8"/>
    <x v="0"/>
    <x v="0"/>
    <x v="0"/>
    <m/>
    <x v="1"/>
    <m/>
    <n v="1"/>
    <x v="0"/>
    <x v="2"/>
    <n v="6.2996797170709851"/>
    <x v="0"/>
    <x v="0"/>
    <x v="0"/>
  </r>
  <r>
    <x v="365"/>
    <x v="8"/>
    <x v="0"/>
    <x v="0"/>
    <x v="0"/>
    <m/>
    <x v="1"/>
    <m/>
    <n v="1"/>
    <x v="0"/>
    <x v="2"/>
    <n v="5.9333643621622745"/>
    <x v="0"/>
    <x v="0"/>
    <x v="0"/>
  </r>
  <r>
    <x v="366"/>
    <x v="7"/>
    <x v="0"/>
    <x v="0"/>
    <x v="0"/>
    <m/>
    <x v="1"/>
    <m/>
    <n v="1"/>
    <x v="0"/>
    <x v="2"/>
    <n v="5.4025378919199989"/>
    <x v="0"/>
    <x v="0"/>
    <x v="0"/>
  </r>
  <r>
    <x v="367"/>
    <x v="7"/>
    <x v="0"/>
    <x v="0"/>
    <x v="0"/>
    <m/>
    <x v="1"/>
    <m/>
    <n v="1"/>
    <x v="0"/>
    <x v="2"/>
    <n v="4.3271120146093551"/>
    <x v="0"/>
    <x v="0"/>
    <x v="0"/>
  </r>
  <r>
    <x v="368"/>
    <x v="7"/>
    <x v="0"/>
    <x v="0"/>
    <x v="0"/>
    <m/>
    <x v="1"/>
    <m/>
    <n v="1"/>
    <x v="0"/>
    <x v="2"/>
    <n v="5.4208960852222994"/>
    <x v="0"/>
    <x v="0"/>
    <x v="0"/>
  </r>
  <r>
    <x v="369"/>
    <x v="7"/>
    <x v="0"/>
    <x v="0"/>
    <x v="0"/>
    <m/>
    <x v="1"/>
    <m/>
    <n v="1"/>
    <x v="0"/>
    <x v="2"/>
    <n v="5.8976553912765519"/>
    <x v="0"/>
    <x v="0"/>
    <x v="0"/>
  </r>
  <r>
    <x v="370"/>
    <x v="7"/>
    <x v="0"/>
    <x v="0"/>
    <x v="0"/>
    <m/>
    <x v="1"/>
    <m/>
    <n v="1"/>
    <x v="0"/>
    <x v="2"/>
    <n v="4.4876949739397176"/>
    <x v="0"/>
    <x v="0"/>
    <x v="0"/>
  </r>
  <r>
    <x v="371"/>
    <x v="7"/>
    <x v="0"/>
    <x v="0"/>
    <x v="0"/>
    <m/>
    <x v="1"/>
    <m/>
    <n v="1"/>
    <x v="0"/>
    <x v="2"/>
    <n v="5.4900809333487306"/>
    <x v="0"/>
    <x v="0"/>
    <x v="0"/>
  </r>
  <r>
    <x v="372"/>
    <x v="7"/>
    <x v="0"/>
    <x v="0"/>
    <x v="0"/>
    <m/>
    <x v="1"/>
    <m/>
    <n v="1"/>
    <x v="0"/>
    <x v="2"/>
    <n v="6.1315940008385192"/>
    <x v="0"/>
    <x v="0"/>
    <x v="0"/>
  </r>
  <r>
    <x v="373"/>
    <x v="7"/>
    <x v="0"/>
    <x v="0"/>
    <x v="0"/>
    <m/>
    <x v="1"/>
    <m/>
    <n v="1"/>
    <x v="0"/>
    <x v="2"/>
    <n v="3.9965283929511535"/>
    <x v="0"/>
    <x v="0"/>
    <x v="0"/>
  </r>
  <r>
    <x v="374"/>
    <x v="7"/>
    <x v="0"/>
    <x v="0"/>
    <x v="0"/>
    <m/>
    <x v="1"/>
    <m/>
    <n v="1"/>
    <x v="0"/>
    <x v="2"/>
    <n v="6.4527727619584621"/>
    <x v="0"/>
    <x v="0"/>
    <x v="0"/>
  </r>
  <r>
    <x v="375"/>
    <x v="8"/>
    <x v="1"/>
    <x v="0"/>
    <x v="0"/>
    <m/>
    <x v="1"/>
    <m/>
    <n v="1"/>
    <x v="0"/>
    <x v="2"/>
    <n v="5.4149989581584519"/>
    <x v="0"/>
    <x v="0"/>
    <x v="0"/>
  </r>
  <r>
    <x v="376"/>
    <x v="8"/>
    <x v="1"/>
    <x v="0"/>
    <x v="0"/>
    <m/>
    <x v="1"/>
    <m/>
    <n v="1"/>
    <x v="0"/>
    <x v="2"/>
    <n v="3.3976981356462272"/>
    <x v="0"/>
    <x v="0"/>
    <x v="0"/>
  </r>
  <r>
    <x v="377"/>
    <x v="8"/>
    <x v="1"/>
    <x v="0"/>
    <x v="0"/>
    <m/>
    <x v="1"/>
    <m/>
    <n v="1"/>
    <x v="0"/>
    <x v="2"/>
    <n v="5.4821841241116545"/>
    <x v="0"/>
    <x v="0"/>
    <x v="0"/>
  </r>
  <r>
    <x v="378"/>
    <x v="8"/>
    <x v="1"/>
    <x v="0"/>
    <x v="0"/>
    <m/>
    <x v="1"/>
    <m/>
    <n v="1"/>
    <x v="0"/>
    <x v="2"/>
    <n v="3.3530282295008531"/>
    <x v="0"/>
    <x v="0"/>
    <x v="0"/>
  </r>
  <r>
    <x v="379"/>
    <x v="8"/>
    <x v="1"/>
    <x v="0"/>
    <x v="0"/>
    <m/>
    <x v="1"/>
    <m/>
    <n v="1"/>
    <x v="0"/>
    <x v="2"/>
    <n v="3.8009543172871525"/>
    <x v="0"/>
    <x v="0"/>
    <x v="0"/>
  </r>
  <r>
    <x v="380"/>
    <x v="8"/>
    <x v="1"/>
    <x v="0"/>
    <x v="0"/>
    <m/>
    <x v="1"/>
    <m/>
    <n v="1"/>
    <x v="0"/>
    <x v="2"/>
    <n v="3.1480138936014344"/>
    <x v="0"/>
    <x v="0"/>
    <x v="0"/>
  </r>
  <r>
    <x v="381"/>
    <x v="8"/>
    <x v="1"/>
    <x v="0"/>
    <x v="0"/>
    <m/>
    <x v="1"/>
    <m/>
    <n v="1"/>
    <x v="0"/>
    <x v="2"/>
    <n v="3.8916544196676264"/>
    <x v="0"/>
    <x v="0"/>
    <x v="0"/>
  </r>
  <r>
    <x v="382"/>
    <x v="8"/>
    <x v="1"/>
    <x v="0"/>
    <x v="0"/>
    <m/>
    <x v="1"/>
    <m/>
    <n v="1"/>
    <x v="0"/>
    <x v="2"/>
    <n v="2.9508264377279976"/>
    <x v="0"/>
    <x v="0"/>
    <x v="0"/>
  </r>
  <r>
    <x v="383"/>
    <x v="7"/>
    <x v="1"/>
    <x v="0"/>
    <x v="0"/>
    <m/>
    <x v="1"/>
    <m/>
    <n v="1"/>
    <x v="0"/>
    <x v="2"/>
    <n v="4.0440352829490314"/>
    <x v="0"/>
    <x v="0"/>
    <x v="0"/>
  </r>
  <r>
    <x v="384"/>
    <x v="7"/>
    <x v="1"/>
    <x v="0"/>
    <x v="0"/>
    <m/>
    <x v="1"/>
    <m/>
    <n v="1"/>
    <x v="0"/>
    <x v="2"/>
    <n v="4.6882871625799396"/>
    <x v="0"/>
    <x v="0"/>
    <x v="0"/>
  </r>
  <r>
    <x v="385"/>
    <x v="7"/>
    <x v="1"/>
    <x v="0"/>
    <x v="0"/>
    <m/>
    <x v="1"/>
    <m/>
    <n v="1"/>
    <x v="0"/>
    <x v="2"/>
    <n v="4.044036361207338"/>
    <x v="0"/>
    <x v="0"/>
    <x v="0"/>
  </r>
  <r>
    <x v="386"/>
    <x v="7"/>
    <x v="1"/>
    <x v="0"/>
    <x v="0"/>
    <m/>
    <x v="1"/>
    <m/>
    <n v="1"/>
    <x v="0"/>
    <x v="2"/>
    <n v="4.6882878481150296"/>
    <x v="0"/>
    <x v="0"/>
    <x v="0"/>
  </r>
  <r>
    <x v="387"/>
    <x v="7"/>
    <x v="1"/>
    <x v="0"/>
    <x v="0"/>
    <m/>
    <x v="1"/>
    <m/>
    <n v="1"/>
    <x v="0"/>
    <x v="2"/>
    <n v="4.0300853837501451"/>
    <x v="0"/>
    <x v="0"/>
    <x v="0"/>
  </r>
  <r>
    <x v="388"/>
    <x v="7"/>
    <x v="1"/>
    <x v="0"/>
    <x v="0"/>
    <m/>
    <x v="1"/>
    <m/>
    <n v="1"/>
    <x v="0"/>
    <x v="2"/>
    <n v="2.9251403664760067"/>
    <x v="0"/>
    <x v="0"/>
    <x v="0"/>
  </r>
  <r>
    <x v="389"/>
    <x v="7"/>
    <x v="1"/>
    <x v="0"/>
    <x v="0"/>
    <m/>
    <x v="1"/>
    <m/>
    <n v="1"/>
    <x v="0"/>
    <x v="2"/>
    <n v="3.8967225758658408"/>
    <x v="0"/>
    <x v="0"/>
    <x v="0"/>
  </r>
  <r>
    <x v="390"/>
    <x v="7"/>
    <x v="1"/>
    <x v="0"/>
    <x v="0"/>
    <m/>
    <x v="1"/>
    <m/>
    <n v="1"/>
    <x v="0"/>
    <x v="2"/>
    <n v="2.7914199881538999"/>
    <x v="0"/>
    <x v="0"/>
    <x v="0"/>
  </r>
  <r>
    <x v="391"/>
    <x v="8"/>
    <x v="2"/>
    <x v="0"/>
    <x v="0"/>
    <m/>
    <x v="1"/>
    <m/>
    <n v="1"/>
    <x v="0"/>
    <x v="2"/>
    <n v="4.0717619909830605"/>
    <x v="0"/>
    <x v="0"/>
    <x v="0"/>
  </r>
  <r>
    <x v="392"/>
    <x v="8"/>
    <x v="2"/>
    <x v="0"/>
    <x v="0"/>
    <m/>
    <x v="1"/>
    <m/>
    <n v="1"/>
    <x v="0"/>
    <x v="2"/>
    <n v="4.1592569875432348"/>
    <x v="0"/>
    <x v="0"/>
    <x v="0"/>
  </r>
  <r>
    <x v="393"/>
    <x v="8"/>
    <x v="2"/>
    <x v="0"/>
    <x v="0"/>
    <m/>
    <x v="1"/>
    <m/>
    <n v="1"/>
    <x v="0"/>
    <x v="2"/>
    <n v="4.2737509981551991"/>
    <x v="0"/>
    <x v="0"/>
    <x v="0"/>
  </r>
  <r>
    <x v="394"/>
    <x v="8"/>
    <x v="2"/>
    <x v="0"/>
    <x v="0"/>
    <m/>
    <x v="1"/>
    <m/>
    <n v="1"/>
    <x v="0"/>
    <x v="2"/>
    <n v="4.3655863828635146"/>
    <x v="0"/>
    <x v="0"/>
    <x v="0"/>
  </r>
  <r>
    <x v="395"/>
    <x v="8"/>
    <x v="2"/>
    <x v="0"/>
    <x v="0"/>
    <m/>
    <x v="1"/>
    <m/>
    <n v="1"/>
    <x v="0"/>
    <x v="2"/>
    <n v="4.2739693965126948"/>
    <x v="0"/>
    <x v="0"/>
    <x v="0"/>
  </r>
  <r>
    <x v="396"/>
    <x v="8"/>
    <x v="2"/>
    <x v="0"/>
    <x v="0"/>
    <m/>
    <x v="1"/>
    <m/>
    <n v="1"/>
    <x v="0"/>
    <x v="2"/>
    <n v="4.3658094820840008"/>
    <x v="0"/>
    <x v="0"/>
    <x v="0"/>
  </r>
  <r>
    <x v="397"/>
    <x v="8"/>
    <x v="2"/>
    <x v="0"/>
    <x v="0"/>
    <m/>
    <x v="1"/>
    <m/>
    <n v="1"/>
    <x v="0"/>
    <x v="2"/>
    <n v="4.2739542988330799"/>
    <x v="0"/>
    <x v="0"/>
    <x v="0"/>
  </r>
  <r>
    <x v="398"/>
    <x v="8"/>
    <x v="2"/>
    <x v="0"/>
    <x v="0"/>
    <m/>
    <x v="1"/>
    <m/>
    <n v="1"/>
    <x v="0"/>
    <x v="2"/>
    <n v="4.3657940521150378"/>
    <x v="0"/>
    <x v="0"/>
    <x v="0"/>
  </r>
  <r>
    <x v="399"/>
    <x v="8"/>
    <x v="2"/>
    <x v="0"/>
    <x v="0"/>
    <m/>
    <x v="1"/>
    <m/>
    <n v="1"/>
    <x v="0"/>
    <x v="2"/>
    <n v="4.294417818126993"/>
    <x v="0"/>
    <x v="0"/>
    <x v="0"/>
  </r>
  <r>
    <x v="400"/>
    <x v="8"/>
    <x v="2"/>
    <x v="0"/>
    <x v="0"/>
    <m/>
    <x v="1"/>
    <m/>
    <n v="1"/>
    <x v="0"/>
    <x v="2"/>
    <n v="4.3866973026015676"/>
    <x v="0"/>
    <x v="0"/>
    <x v="0"/>
  </r>
  <r>
    <x v="401"/>
    <x v="7"/>
    <x v="2"/>
    <x v="0"/>
    <x v="0"/>
    <m/>
    <x v="1"/>
    <m/>
    <n v="1"/>
    <x v="0"/>
    <x v="2"/>
    <n v="4.154223404644684"/>
    <x v="0"/>
    <x v="0"/>
    <x v="0"/>
  </r>
  <r>
    <x v="402"/>
    <x v="7"/>
    <x v="2"/>
    <x v="0"/>
    <x v="0"/>
    <m/>
    <x v="1"/>
    <m/>
    <n v="1"/>
    <x v="0"/>
    <x v="2"/>
    <n v="4.6078039695763806"/>
    <x v="0"/>
    <x v="0"/>
    <x v="0"/>
  </r>
  <r>
    <x v="403"/>
    <x v="7"/>
    <x v="2"/>
    <x v="0"/>
    <x v="0"/>
    <m/>
    <x v="1"/>
    <m/>
    <n v="1"/>
    <x v="0"/>
    <x v="2"/>
    <n v="4.347196346469163"/>
    <x v="0"/>
    <x v="0"/>
    <x v="0"/>
  </r>
  <r>
    <x v="404"/>
    <x v="7"/>
    <x v="2"/>
    <x v="0"/>
    <x v="0"/>
    <m/>
    <x v="1"/>
    <m/>
    <n v="1"/>
    <x v="0"/>
    <x v="2"/>
    <n v="4.7454462864343601"/>
    <x v="0"/>
    <x v="0"/>
    <x v="0"/>
  </r>
  <r>
    <x v="405"/>
    <x v="7"/>
    <x v="2"/>
    <x v="0"/>
    <x v="0"/>
    <m/>
    <x v="1"/>
    <m/>
    <n v="1"/>
    <x v="0"/>
    <x v="2"/>
    <n v="4.3471615886531483"/>
    <x v="0"/>
    <x v="0"/>
    <x v="0"/>
  </r>
  <r>
    <x v="406"/>
    <x v="7"/>
    <x v="2"/>
    <x v="0"/>
    <x v="0"/>
    <m/>
    <x v="1"/>
    <m/>
    <n v="1"/>
    <x v="0"/>
    <x v="2"/>
    <n v="4.7454462864343601"/>
    <x v="0"/>
    <x v="0"/>
    <x v="0"/>
  </r>
  <r>
    <x v="407"/>
    <x v="7"/>
    <x v="2"/>
    <x v="0"/>
    <x v="0"/>
    <m/>
    <x v="1"/>
    <m/>
    <n v="1"/>
    <x v="0"/>
    <x v="2"/>
    <n v="4.3470130295948248"/>
    <x v="0"/>
    <x v="0"/>
    <x v="0"/>
  </r>
  <r>
    <x v="408"/>
    <x v="7"/>
    <x v="2"/>
    <x v="0"/>
    <x v="0"/>
    <m/>
    <x v="1"/>
    <m/>
    <n v="1"/>
    <x v="0"/>
    <x v="2"/>
    <n v="4.7454462903889487"/>
    <x v="0"/>
    <x v="0"/>
    <x v="0"/>
  </r>
  <r>
    <x v="409"/>
    <x v="7"/>
    <x v="2"/>
    <x v="0"/>
    <x v="0"/>
    <m/>
    <x v="1"/>
    <m/>
    <n v="1"/>
    <x v="0"/>
    <x v="2"/>
    <n v="4.2985236629729915"/>
    <x v="0"/>
    <x v="0"/>
    <x v="0"/>
  </r>
  <r>
    <x v="410"/>
    <x v="7"/>
    <x v="2"/>
    <x v="0"/>
    <x v="0"/>
    <m/>
    <x v="1"/>
    <m/>
    <n v="1"/>
    <x v="0"/>
    <x v="2"/>
    <n v="4.471276200414585"/>
    <x v="0"/>
    <x v="0"/>
    <x v="0"/>
  </r>
  <r>
    <x v="411"/>
    <x v="9"/>
    <x v="0"/>
    <x v="0"/>
    <x v="0"/>
    <m/>
    <x v="1"/>
    <m/>
    <n v="1"/>
    <x v="1"/>
    <x v="3"/>
    <n v="9.3364861607356069"/>
    <x v="1"/>
    <x v="0"/>
    <x v="0"/>
  </r>
  <r>
    <x v="412"/>
    <x v="9"/>
    <x v="0"/>
    <x v="0"/>
    <x v="0"/>
    <m/>
    <x v="1"/>
    <m/>
    <n v="1"/>
    <x v="1"/>
    <x v="3"/>
    <n v="9.3364340037333342"/>
    <x v="1"/>
    <x v="0"/>
    <x v="0"/>
  </r>
  <r>
    <x v="413"/>
    <x v="9"/>
    <x v="0"/>
    <x v="0"/>
    <x v="0"/>
    <m/>
    <x v="1"/>
    <m/>
    <n v="1"/>
    <x v="1"/>
    <x v="3"/>
    <n v="9.3364340037333342"/>
    <x v="1"/>
    <x v="0"/>
    <x v="0"/>
  </r>
  <r>
    <x v="414"/>
    <x v="9"/>
    <x v="1"/>
    <x v="0"/>
    <x v="0"/>
    <m/>
    <x v="1"/>
    <m/>
    <n v="1"/>
    <x v="1"/>
    <x v="3"/>
    <n v="9.0337663579440335"/>
    <x v="1"/>
    <x v="0"/>
    <x v="0"/>
  </r>
  <r>
    <x v="415"/>
    <x v="9"/>
    <x v="1"/>
    <x v="0"/>
    <x v="0"/>
    <m/>
    <x v="1"/>
    <m/>
    <n v="1"/>
    <x v="1"/>
    <x v="3"/>
    <n v="9.033633992945747"/>
    <x v="1"/>
    <x v="0"/>
    <x v="0"/>
  </r>
  <r>
    <x v="416"/>
    <x v="9"/>
    <x v="1"/>
    <x v="0"/>
    <x v="0"/>
    <m/>
    <x v="1"/>
    <m/>
    <n v="1"/>
    <x v="1"/>
    <x v="3"/>
    <n v="7.1129197639535073"/>
    <x v="1"/>
    <x v="0"/>
    <x v="0"/>
  </r>
  <r>
    <x v="417"/>
    <x v="9"/>
    <x v="1"/>
    <x v="0"/>
    <x v="0"/>
    <m/>
    <x v="1"/>
    <m/>
    <n v="1"/>
    <x v="1"/>
    <x v="3"/>
    <n v="6.9578557096560631"/>
    <x v="1"/>
    <x v="0"/>
    <x v="0"/>
  </r>
  <r>
    <x v="418"/>
    <x v="9"/>
    <x v="1"/>
    <x v="0"/>
    <x v="0"/>
    <m/>
    <x v="1"/>
    <m/>
    <n v="1"/>
    <x v="1"/>
    <x v="3"/>
    <n v="9.0337663579440335"/>
    <x v="1"/>
    <x v="0"/>
    <x v="0"/>
  </r>
  <r>
    <x v="419"/>
    <x v="9"/>
    <x v="1"/>
    <x v="0"/>
    <x v="0"/>
    <m/>
    <x v="1"/>
    <m/>
    <n v="1"/>
    <x v="1"/>
    <x v="3"/>
    <n v="9.033580322430252"/>
    <x v="1"/>
    <x v="0"/>
    <x v="0"/>
  </r>
  <r>
    <x v="420"/>
    <x v="9"/>
    <x v="1"/>
    <x v="0"/>
    <x v="0"/>
    <m/>
    <x v="1"/>
    <m/>
    <n v="1"/>
    <x v="1"/>
    <x v="3"/>
    <n v="7.1129417293770869"/>
    <x v="1"/>
    <x v="0"/>
    <x v="0"/>
  </r>
  <r>
    <x v="421"/>
    <x v="9"/>
    <x v="1"/>
    <x v="0"/>
    <x v="0"/>
    <m/>
    <x v="1"/>
    <m/>
    <n v="1"/>
    <x v="1"/>
    <x v="3"/>
    <n v="6.9578558786016487"/>
    <x v="1"/>
    <x v="0"/>
    <x v="0"/>
  </r>
  <r>
    <x v="422"/>
    <x v="9"/>
    <x v="1"/>
    <x v="0"/>
    <x v="0"/>
    <m/>
    <x v="1"/>
    <m/>
    <n v="1"/>
    <x v="1"/>
    <x v="3"/>
    <n v="9.0337663579440335"/>
    <x v="1"/>
    <x v="0"/>
    <x v="0"/>
  </r>
  <r>
    <x v="423"/>
    <x v="9"/>
    <x v="1"/>
    <x v="0"/>
    <x v="0"/>
    <m/>
    <x v="1"/>
    <m/>
    <n v="1"/>
    <x v="1"/>
    <x v="3"/>
    <n v="9.0336071477755286"/>
    <x v="1"/>
    <x v="0"/>
    <x v="0"/>
  </r>
  <r>
    <x v="424"/>
    <x v="9"/>
    <x v="1"/>
    <x v="0"/>
    <x v="0"/>
    <m/>
    <x v="1"/>
    <m/>
    <n v="1"/>
    <x v="1"/>
    <x v="3"/>
    <n v="7.1129417293770869"/>
    <x v="1"/>
    <x v="0"/>
    <x v="0"/>
  </r>
  <r>
    <x v="425"/>
    <x v="9"/>
    <x v="1"/>
    <x v="0"/>
    <x v="0"/>
    <m/>
    <x v="1"/>
    <m/>
    <n v="1"/>
    <x v="1"/>
    <x v="3"/>
    <n v="7.0353845299901066"/>
    <x v="1"/>
    <x v="0"/>
    <x v="0"/>
  </r>
  <r>
    <x v="426"/>
    <x v="10"/>
    <x v="2"/>
    <x v="0"/>
    <x v="0"/>
    <m/>
    <x v="1"/>
    <m/>
    <n v="1"/>
    <x v="1"/>
    <x v="3"/>
    <n v="11.303653479583108"/>
    <x v="1"/>
    <x v="0"/>
    <x v="0"/>
  </r>
  <r>
    <x v="427"/>
    <x v="10"/>
    <x v="2"/>
    <x v="0"/>
    <x v="0"/>
    <m/>
    <x v="1"/>
    <m/>
    <n v="1"/>
    <x v="1"/>
    <x v="3"/>
    <n v="11.21720333456258"/>
    <x v="1"/>
    <x v="0"/>
    <x v="0"/>
  </r>
  <r>
    <x v="428"/>
    <x v="10"/>
    <x v="2"/>
    <x v="0"/>
    <x v="0"/>
    <m/>
    <x v="1"/>
    <m/>
    <n v="1"/>
    <x v="1"/>
    <x v="3"/>
    <n v="12.948687542782693"/>
    <x v="1"/>
    <x v="0"/>
    <x v="0"/>
  </r>
  <r>
    <x v="429"/>
    <x v="10"/>
    <x v="2"/>
    <x v="0"/>
    <x v="0"/>
    <m/>
    <x v="1"/>
    <m/>
    <n v="1"/>
    <x v="1"/>
    <x v="3"/>
    <n v="11.16274803648572"/>
    <x v="1"/>
    <x v="0"/>
    <x v="0"/>
  </r>
  <r>
    <x v="430"/>
    <x v="10"/>
    <x v="2"/>
    <x v="0"/>
    <x v="0"/>
    <m/>
    <x v="1"/>
    <m/>
    <n v="1"/>
    <x v="1"/>
    <x v="3"/>
    <n v="15.889886000191614"/>
    <x v="1"/>
    <x v="0"/>
    <x v="0"/>
  </r>
  <r>
    <x v="431"/>
    <x v="10"/>
    <x v="2"/>
    <x v="0"/>
    <x v="0"/>
    <m/>
    <x v="1"/>
    <m/>
    <n v="1"/>
    <x v="1"/>
    <x v="3"/>
    <n v="11.303653479583108"/>
    <x v="1"/>
    <x v="0"/>
    <x v="0"/>
  </r>
  <r>
    <x v="432"/>
    <x v="10"/>
    <x v="2"/>
    <x v="0"/>
    <x v="0"/>
    <m/>
    <x v="1"/>
    <m/>
    <n v="1"/>
    <x v="1"/>
    <x v="3"/>
    <n v="11.21720333456258"/>
    <x v="1"/>
    <x v="0"/>
    <x v="0"/>
  </r>
  <r>
    <x v="433"/>
    <x v="10"/>
    <x v="2"/>
    <x v="0"/>
    <x v="0"/>
    <m/>
    <x v="1"/>
    <m/>
    <n v="1"/>
    <x v="1"/>
    <x v="3"/>
    <n v="12.948687542782693"/>
    <x v="1"/>
    <x v="0"/>
    <x v="0"/>
  </r>
  <r>
    <x v="434"/>
    <x v="10"/>
    <x v="2"/>
    <x v="0"/>
    <x v="0"/>
    <m/>
    <x v="1"/>
    <m/>
    <n v="1"/>
    <x v="1"/>
    <x v="3"/>
    <n v="11.16274803648572"/>
    <x v="1"/>
    <x v="0"/>
    <x v="0"/>
  </r>
  <r>
    <x v="435"/>
    <x v="10"/>
    <x v="2"/>
    <x v="0"/>
    <x v="0"/>
    <m/>
    <x v="1"/>
    <m/>
    <n v="1"/>
    <x v="1"/>
    <x v="3"/>
    <n v="15.889889622667035"/>
    <x v="1"/>
    <x v="0"/>
    <x v="0"/>
  </r>
  <r>
    <x v="436"/>
    <x v="10"/>
    <x v="2"/>
    <x v="0"/>
    <x v="0"/>
    <m/>
    <x v="1"/>
    <m/>
    <n v="1"/>
    <x v="1"/>
    <x v="3"/>
    <n v="4.6146845171300317"/>
    <x v="1"/>
    <x v="0"/>
    <x v="0"/>
  </r>
  <r>
    <x v="437"/>
    <x v="10"/>
    <x v="2"/>
    <x v="0"/>
    <x v="0"/>
    <m/>
    <x v="1"/>
    <m/>
    <n v="1"/>
    <x v="1"/>
    <x v="3"/>
    <n v="11.303653479583108"/>
    <x v="1"/>
    <x v="0"/>
    <x v="0"/>
  </r>
  <r>
    <x v="438"/>
    <x v="10"/>
    <x v="2"/>
    <x v="0"/>
    <x v="0"/>
    <m/>
    <x v="1"/>
    <m/>
    <n v="1"/>
    <x v="1"/>
    <x v="3"/>
    <n v="11.217203339255697"/>
    <x v="1"/>
    <x v="0"/>
    <x v="0"/>
  </r>
  <r>
    <x v="439"/>
    <x v="10"/>
    <x v="2"/>
    <x v="0"/>
    <x v="0"/>
    <m/>
    <x v="1"/>
    <m/>
    <n v="1"/>
    <x v="1"/>
    <x v="3"/>
    <n v="12.948687542782693"/>
    <x v="1"/>
    <x v="0"/>
    <x v="0"/>
  </r>
  <r>
    <x v="440"/>
    <x v="10"/>
    <x v="2"/>
    <x v="0"/>
    <x v="0"/>
    <m/>
    <x v="1"/>
    <m/>
    <n v="1"/>
    <x v="1"/>
    <x v="3"/>
    <n v="11.16274803648572"/>
    <x v="1"/>
    <x v="0"/>
    <x v="0"/>
  </r>
  <r>
    <x v="441"/>
    <x v="10"/>
    <x v="2"/>
    <x v="0"/>
    <x v="0"/>
    <m/>
    <x v="1"/>
    <m/>
    <n v="1"/>
    <x v="1"/>
    <x v="3"/>
    <n v="15.889886000191614"/>
    <x v="1"/>
    <x v="0"/>
    <x v="0"/>
  </r>
  <r>
    <x v="442"/>
    <x v="10"/>
    <x v="0"/>
    <x v="0"/>
    <x v="0"/>
    <m/>
    <x v="1"/>
    <m/>
    <n v="1"/>
    <x v="1"/>
    <x v="3"/>
    <n v="5.3063787396865649"/>
    <x v="1"/>
    <x v="0"/>
    <x v="0"/>
  </r>
  <r>
    <x v="443"/>
    <x v="10"/>
    <x v="0"/>
    <x v="0"/>
    <x v="0"/>
    <m/>
    <x v="1"/>
    <m/>
    <n v="1"/>
    <x v="1"/>
    <x v="3"/>
    <n v="9.8803010642086679"/>
    <x v="1"/>
    <x v="0"/>
    <x v="0"/>
  </r>
  <r>
    <x v="444"/>
    <x v="10"/>
    <x v="0"/>
    <x v="0"/>
    <x v="0"/>
    <m/>
    <x v="1"/>
    <m/>
    <n v="1"/>
    <x v="1"/>
    <x v="3"/>
    <n v="14.15266772234544"/>
    <x v="1"/>
    <x v="0"/>
    <x v="0"/>
  </r>
  <r>
    <x v="445"/>
    <x v="10"/>
    <x v="0"/>
    <x v="0"/>
    <x v="0"/>
    <m/>
    <x v="1"/>
    <m/>
    <n v="1"/>
    <x v="1"/>
    <x v="3"/>
    <n v="11.151411112013292"/>
    <x v="1"/>
    <x v="0"/>
    <x v="0"/>
  </r>
  <r>
    <x v="446"/>
    <x v="10"/>
    <x v="0"/>
    <x v="0"/>
    <x v="0"/>
    <m/>
    <x v="1"/>
    <m/>
    <n v="1"/>
    <x v="1"/>
    <x v="3"/>
    <n v="14.522402888092294"/>
    <x v="1"/>
    <x v="0"/>
    <x v="0"/>
  </r>
  <r>
    <x v="447"/>
    <x v="10"/>
    <x v="0"/>
    <x v="0"/>
    <x v="0"/>
    <m/>
    <x v="1"/>
    <m/>
    <n v="1"/>
    <x v="1"/>
    <x v="3"/>
    <n v="5.6399586695630974"/>
    <x v="1"/>
    <x v="0"/>
    <x v="0"/>
  </r>
  <r>
    <x v="448"/>
    <x v="10"/>
    <x v="0"/>
    <x v="0"/>
    <x v="0"/>
    <m/>
    <x v="1"/>
    <m/>
    <n v="1"/>
    <x v="1"/>
    <x v="3"/>
    <n v="13.008435679599842"/>
    <x v="1"/>
    <x v="0"/>
    <x v="0"/>
  </r>
  <r>
    <x v="449"/>
    <x v="10"/>
    <x v="0"/>
    <x v="0"/>
    <x v="0"/>
    <m/>
    <x v="1"/>
    <m/>
    <n v="1"/>
    <x v="1"/>
    <x v="3"/>
    <n v="5.3063809385571492"/>
    <x v="1"/>
    <x v="0"/>
    <x v="0"/>
  </r>
  <r>
    <x v="450"/>
    <x v="10"/>
    <x v="0"/>
    <x v="0"/>
    <x v="0"/>
    <m/>
    <x v="1"/>
    <m/>
    <n v="1"/>
    <x v="1"/>
    <x v="3"/>
    <n v="9.8803010642086679"/>
    <x v="1"/>
    <x v="0"/>
    <x v="0"/>
  </r>
  <r>
    <x v="451"/>
    <x v="10"/>
    <x v="0"/>
    <x v="0"/>
    <x v="0"/>
    <m/>
    <x v="1"/>
    <m/>
    <n v="1"/>
    <x v="1"/>
    <x v="3"/>
    <n v="14.15266772234544"/>
    <x v="1"/>
    <x v="0"/>
    <x v="0"/>
  </r>
  <r>
    <x v="452"/>
    <x v="10"/>
    <x v="0"/>
    <x v="0"/>
    <x v="0"/>
    <m/>
    <x v="1"/>
    <m/>
    <n v="1"/>
    <x v="1"/>
    <x v="3"/>
    <n v="11.151411112054276"/>
    <x v="1"/>
    <x v="0"/>
    <x v="0"/>
  </r>
  <r>
    <x v="453"/>
    <x v="10"/>
    <x v="0"/>
    <x v="0"/>
    <x v="0"/>
    <m/>
    <x v="1"/>
    <m/>
    <n v="1"/>
    <x v="1"/>
    <x v="3"/>
    <n v="14.522402888092294"/>
    <x v="1"/>
    <x v="0"/>
    <x v="0"/>
  </r>
  <r>
    <x v="454"/>
    <x v="10"/>
    <x v="0"/>
    <x v="0"/>
    <x v="0"/>
    <m/>
    <x v="1"/>
    <m/>
    <n v="1"/>
    <x v="1"/>
    <x v="3"/>
    <n v="5.6399586695782986"/>
    <x v="1"/>
    <x v="0"/>
    <x v="0"/>
  </r>
  <r>
    <x v="455"/>
    <x v="10"/>
    <x v="0"/>
    <x v="0"/>
    <x v="0"/>
    <m/>
    <x v="1"/>
    <m/>
    <n v="1"/>
    <x v="1"/>
    <x v="3"/>
    <n v="13.008435679599842"/>
    <x v="1"/>
    <x v="0"/>
    <x v="0"/>
  </r>
  <r>
    <x v="456"/>
    <x v="10"/>
    <x v="0"/>
    <x v="0"/>
    <x v="0"/>
    <m/>
    <x v="1"/>
    <m/>
    <n v="1"/>
    <x v="1"/>
    <x v="3"/>
    <n v="5.3065687332573273"/>
    <x v="1"/>
    <x v="0"/>
    <x v="0"/>
  </r>
  <r>
    <x v="457"/>
    <x v="10"/>
    <x v="0"/>
    <x v="0"/>
    <x v="0"/>
    <m/>
    <x v="1"/>
    <m/>
    <n v="1"/>
    <x v="1"/>
    <x v="3"/>
    <n v="9.8803010642086679"/>
    <x v="1"/>
    <x v="0"/>
    <x v="0"/>
  </r>
  <r>
    <x v="458"/>
    <x v="10"/>
    <x v="0"/>
    <x v="0"/>
    <x v="0"/>
    <m/>
    <x v="1"/>
    <m/>
    <n v="1"/>
    <x v="1"/>
    <x v="3"/>
    <n v="14.15266772234544"/>
    <x v="1"/>
    <x v="0"/>
    <x v="0"/>
  </r>
  <r>
    <x v="459"/>
    <x v="10"/>
    <x v="0"/>
    <x v="0"/>
    <x v="0"/>
    <m/>
    <x v="1"/>
    <m/>
    <n v="1"/>
    <x v="1"/>
    <x v="3"/>
    <n v="11.151411112083649"/>
    <x v="1"/>
    <x v="0"/>
    <x v="0"/>
  </r>
  <r>
    <x v="460"/>
    <x v="10"/>
    <x v="0"/>
    <x v="0"/>
    <x v="0"/>
    <m/>
    <x v="1"/>
    <m/>
    <n v="1"/>
    <x v="1"/>
    <x v="3"/>
    <n v="14.522402888092294"/>
    <x v="1"/>
    <x v="0"/>
    <x v="0"/>
  </r>
  <r>
    <x v="461"/>
    <x v="10"/>
    <x v="0"/>
    <x v="0"/>
    <x v="0"/>
    <m/>
    <x v="1"/>
    <m/>
    <n v="1"/>
    <x v="1"/>
    <x v="3"/>
    <n v="5.63995866960801"/>
    <x v="1"/>
    <x v="0"/>
    <x v="0"/>
  </r>
  <r>
    <x v="462"/>
    <x v="10"/>
    <x v="0"/>
    <x v="0"/>
    <x v="0"/>
    <m/>
    <x v="1"/>
    <m/>
    <n v="1"/>
    <x v="1"/>
    <x v="3"/>
    <n v="13.008435679599842"/>
    <x v="1"/>
    <x v="0"/>
    <x v="0"/>
  </r>
  <r>
    <x v="463"/>
    <x v="11"/>
    <x v="2"/>
    <x v="0"/>
    <x v="0"/>
    <m/>
    <x v="1"/>
    <m/>
    <n v="1"/>
    <x v="2"/>
    <x v="3"/>
    <n v="9.0261440489029496"/>
    <x v="1"/>
    <x v="0"/>
    <x v="0"/>
  </r>
  <r>
    <x v="464"/>
    <x v="11"/>
    <x v="2"/>
    <x v="0"/>
    <x v="0"/>
    <m/>
    <x v="1"/>
    <m/>
    <n v="1"/>
    <x v="2"/>
    <x v="3"/>
    <n v="10.039755996381118"/>
    <x v="1"/>
    <x v="0"/>
    <x v="0"/>
  </r>
  <r>
    <x v="465"/>
    <x v="11"/>
    <x v="2"/>
    <x v="0"/>
    <x v="0"/>
    <m/>
    <x v="1"/>
    <m/>
    <n v="1"/>
    <x v="2"/>
    <x v="3"/>
    <n v="9.9756136402576416"/>
    <x v="1"/>
    <x v="0"/>
    <x v="0"/>
  </r>
  <r>
    <x v="466"/>
    <x v="11"/>
    <x v="2"/>
    <x v="0"/>
    <x v="0"/>
    <m/>
    <x v="1"/>
    <m/>
    <n v="1"/>
    <x v="2"/>
    <x v="3"/>
    <n v="9.9757090124289949"/>
    <x v="1"/>
    <x v="0"/>
    <x v="0"/>
  </r>
  <r>
    <x v="467"/>
    <x v="11"/>
    <x v="2"/>
    <x v="0"/>
    <x v="0"/>
    <m/>
    <x v="1"/>
    <m/>
    <n v="1"/>
    <x v="2"/>
    <x v="3"/>
    <n v="9.9328417488146599"/>
    <x v="1"/>
    <x v="0"/>
    <x v="0"/>
  </r>
  <r>
    <x v="468"/>
    <x v="11"/>
    <x v="1"/>
    <x v="0"/>
    <x v="0"/>
    <m/>
    <x v="1"/>
    <m/>
    <n v="1"/>
    <x v="2"/>
    <x v="3"/>
    <n v="7.2283843296638626"/>
    <x v="1"/>
    <x v="0"/>
    <x v="0"/>
  </r>
  <r>
    <x v="469"/>
    <x v="11"/>
    <x v="1"/>
    <x v="0"/>
    <x v="0"/>
    <m/>
    <x v="1"/>
    <m/>
    <n v="1"/>
    <x v="2"/>
    <x v="3"/>
    <n v="7.2283977267563824"/>
    <x v="1"/>
    <x v="0"/>
    <x v="0"/>
  </r>
  <r>
    <x v="470"/>
    <x v="11"/>
    <x v="1"/>
    <x v="0"/>
    <x v="0"/>
    <m/>
    <x v="1"/>
    <m/>
    <n v="1"/>
    <x v="2"/>
    <x v="3"/>
    <n v="5.369903240613537"/>
    <x v="1"/>
    <x v="0"/>
    <x v="0"/>
  </r>
  <r>
    <x v="471"/>
    <x v="11"/>
    <x v="1"/>
    <x v="0"/>
    <x v="0"/>
    <m/>
    <x v="1"/>
    <m/>
    <n v="1"/>
    <x v="2"/>
    <x v="3"/>
    <n v="5.2550342468644633"/>
    <x v="1"/>
    <x v="0"/>
    <x v="0"/>
  </r>
  <r>
    <x v="472"/>
    <x v="11"/>
    <x v="0"/>
    <x v="0"/>
    <x v="0"/>
    <m/>
    <x v="1"/>
    <m/>
    <n v="1"/>
    <x v="2"/>
    <x v="3"/>
    <n v="6.4072847893589486"/>
    <x v="1"/>
    <x v="0"/>
    <x v="0"/>
  </r>
  <r>
    <x v="473"/>
    <x v="11"/>
    <x v="0"/>
    <x v="0"/>
    <x v="0"/>
    <m/>
    <x v="1"/>
    <m/>
    <n v="1"/>
    <x v="2"/>
    <x v="3"/>
    <n v="5.6738158875450182"/>
    <x v="1"/>
    <x v="0"/>
    <x v="0"/>
  </r>
  <r>
    <x v="474"/>
    <x v="11"/>
    <x v="0"/>
    <x v="0"/>
    <x v="0"/>
    <m/>
    <x v="1"/>
    <m/>
    <n v="1"/>
    <x v="2"/>
    <x v="3"/>
    <n v="6.5084897132667034"/>
    <x v="1"/>
    <x v="0"/>
    <x v="0"/>
  </r>
  <r>
    <x v="475"/>
    <x v="12"/>
    <x v="2"/>
    <x v="0"/>
    <x v="0"/>
    <m/>
    <x v="1"/>
    <m/>
    <n v="1"/>
    <x v="2"/>
    <x v="3"/>
    <n v="5.3413450343667703"/>
    <x v="1"/>
    <x v="0"/>
    <x v="0"/>
  </r>
  <r>
    <x v="476"/>
    <x v="12"/>
    <x v="2"/>
    <x v="0"/>
    <x v="0"/>
    <m/>
    <x v="1"/>
    <m/>
    <n v="1"/>
    <x v="2"/>
    <x v="3"/>
    <n v="5.0619163369055196"/>
    <x v="1"/>
    <x v="0"/>
    <x v="0"/>
  </r>
  <r>
    <x v="477"/>
    <x v="12"/>
    <x v="2"/>
    <x v="0"/>
    <x v="0"/>
    <m/>
    <x v="1"/>
    <m/>
    <n v="1"/>
    <x v="2"/>
    <x v="3"/>
    <n v="7.7879395372468627"/>
    <x v="1"/>
    <x v="0"/>
    <x v="0"/>
  </r>
  <r>
    <x v="478"/>
    <x v="12"/>
    <x v="2"/>
    <x v="0"/>
    <x v="0"/>
    <m/>
    <x v="1"/>
    <m/>
    <n v="1"/>
    <x v="2"/>
    <x v="3"/>
    <n v="5.3436905520383347"/>
    <x v="1"/>
    <x v="0"/>
    <x v="0"/>
  </r>
  <r>
    <x v="479"/>
    <x v="12"/>
    <x v="2"/>
    <x v="0"/>
    <x v="0"/>
    <m/>
    <x v="1"/>
    <m/>
    <n v="1"/>
    <x v="2"/>
    <x v="3"/>
    <n v="6.8010925807611802"/>
    <x v="1"/>
    <x v="0"/>
    <x v="0"/>
  </r>
  <r>
    <x v="480"/>
    <x v="12"/>
    <x v="2"/>
    <x v="0"/>
    <x v="0"/>
    <m/>
    <x v="1"/>
    <m/>
    <n v="1"/>
    <x v="2"/>
    <x v="3"/>
    <n v="5.3436811688971817"/>
    <x v="1"/>
    <x v="0"/>
    <x v="0"/>
  </r>
  <r>
    <x v="481"/>
    <x v="12"/>
    <x v="2"/>
    <x v="0"/>
    <x v="0"/>
    <m/>
    <x v="1"/>
    <m/>
    <n v="1"/>
    <x v="2"/>
    <x v="3"/>
    <n v="3.3061098378039628"/>
    <x v="1"/>
    <x v="0"/>
    <x v="0"/>
  </r>
  <r>
    <x v="482"/>
    <x v="12"/>
    <x v="2"/>
    <x v="0"/>
    <x v="0"/>
    <m/>
    <x v="1"/>
    <m/>
    <n v="1"/>
    <x v="2"/>
    <x v="3"/>
    <n v="6.3651364713660117"/>
    <x v="1"/>
    <x v="0"/>
    <x v="0"/>
  </r>
  <r>
    <x v="483"/>
    <x v="12"/>
    <x v="0"/>
    <x v="0"/>
    <x v="0"/>
    <m/>
    <x v="1"/>
    <m/>
    <n v="1"/>
    <x v="2"/>
    <x v="3"/>
    <n v="6.8424223852945056"/>
    <x v="1"/>
    <x v="0"/>
    <x v="0"/>
  </r>
  <r>
    <x v="484"/>
    <x v="12"/>
    <x v="0"/>
    <x v="0"/>
    <x v="0"/>
    <m/>
    <x v="1"/>
    <m/>
    <n v="1"/>
    <x v="2"/>
    <x v="3"/>
    <n v="3.7402551862600939"/>
    <x v="1"/>
    <x v="0"/>
    <x v="0"/>
  </r>
  <r>
    <x v="485"/>
    <x v="12"/>
    <x v="0"/>
    <x v="0"/>
    <x v="0"/>
    <m/>
    <x v="1"/>
    <m/>
    <n v="1"/>
    <x v="2"/>
    <x v="3"/>
    <n v="4.9242293235906613"/>
    <x v="1"/>
    <x v="0"/>
    <x v="0"/>
  </r>
  <r>
    <x v="486"/>
    <x v="12"/>
    <x v="0"/>
    <x v="0"/>
    <x v="0"/>
    <m/>
    <x v="1"/>
    <m/>
    <n v="1"/>
    <x v="2"/>
    <x v="3"/>
    <n v="3.8888761924917437"/>
    <x v="1"/>
    <x v="0"/>
    <x v="0"/>
  </r>
  <r>
    <x v="487"/>
    <x v="12"/>
    <x v="0"/>
    <x v="0"/>
    <x v="0"/>
    <m/>
    <x v="1"/>
    <m/>
    <n v="1"/>
    <x v="2"/>
    <x v="3"/>
    <n v="1.8385611123702861"/>
    <x v="1"/>
    <x v="0"/>
    <x v="0"/>
  </r>
  <r>
    <x v="488"/>
    <x v="12"/>
    <x v="0"/>
    <x v="0"/>
    <x v="0"/>
    <m/>
    <x v="1"/>
    <m/>
    <n v="1"/>
    <x v="2"/>
    <x v="3"/>
    <n v="6.5573764528734166"/>
    <x v="1"/>
    <x v="0"/>
    <x v="0"/>
  </r>
  <r>
    <x v="489"/>
    <x v="12"/>
    <x v="0"/>
    <x v="0"/>
    <x v="0"/>
    <m/>
    <x v="1"/>
    <m/>
    <n v="1"/>
    <x v="2"/>
    <x v="3"/>
    <n v="3.8888773229664197"/>
    <x v="1"/>
    <x v="0"/>
    <x v="0"/>
  </r>
  <r>
    <x v="490"/>
    <x v="12"/>
    <x v="0"/>
    <x v="0"/>
    <x v="0"/>
    <m/>
    <x v="1"/>
    <m/>
    <n v="1"/>
    <x v="2"/>
    <x v="3"/>
    <n v="1.8385611123702861"/>
    <x v="1"/>
    <x v="0"/>
    <x v="0"/>
  </r>
  <r>
    <x v="491"/>
    <x v="12"/>
    <x v="0"/>
    <x v="0"/>
    <x v="0"/>
    <m/>
    <x v="1"/>
    <m/>
    <n v="1"/>
    <x v="2"/>
    <x v="3"/>
    <n v="7.8961794252293132"/>
    <x v="1"/>
    <x v="0"/>
    <x v="0"/>
  </r>
  <r>
    <x v="492"/>
    <x v="12"/>
    <x v="0"/>
    <x v="0"/>
    <x v="0"/>
    <m/>
    <x v="1"/>
    <m/>
    <n v="1"/>
    <x v="2"/>
    <x v="3"/>
    <n v="5.2722813532426187"/>
    <x v="1"/>
    <x v="0"/>
    <x v="0"/>
  </r>
  <r>
    <x v="493"/>
    <x v="12"/>
    <x v="0"/>
    <x v="0"/>
    <x v="0"/>
    <m/>
    <x v="1"/>
    <m/>
    <n v="1"/>
    <x v="2"/>
    <x v="3"/>
    <n v="2.3274547492583073"/>
    <x v="1"/>
    <x v="0"/>
    <x v="0"/>
  </r>
  <r>
    <x v="494"/>
    <x v="12"/>
    <x v="0"/>
    <x v="0"/>
    <x v="0"/>
    <m/>
    <x v="1"/>
    <m/>
    <n v="1"/>
    <x v="2"/>
    <x v="3"/>
    <n v="4.1945692826547196"/>
    <x v="1"/>
    <x v="0"/>
    <x v="0"/>
  </r>
  <r>
    <x v="495"/>
    <x v="13"/>
    <x v="2"/>
    <x v="0"/>
    <x v="0"/>
    <m/>
    <x v="1"/>
    <m/>
    <n v="1"/>
    <x v="3"/>
    <x v="3"/>
    <m/>
    <x v="1"/>
    <x v="0"/>
    <x v="0"/>
  </r>
  <r>
    <x v="496"/>
    <x v="13"/>
    <x v="1"/>
    <x v="0"/>
    <x v="0"/>
    <m/>
    <x v="1"/>
    <m/>
    <n v="1"/>
    <x v="2"/>
    <x v="3"/>
    <m/>
    <x v="1"/>
    <x v="0"/>
    <x v="0"/>
  </r>
  <r>
    <x v="497"/>
    <x v="13"/>
    <x v="1"/>
    <x v="0"/>
    <x v="0"/>
    <m/>
    <x v="1"/>
    <m/>
    <n v="1"/>
    <x v="2"/>
    <x v="3"/>
    <m/>
    <x v="1"/>
    <x v="0"/>
    <x v="0"/>
  </r>
  <r>
    <x v="498"/>
    <x v="13"/>
    <x v="1"/>
    <x v="0"/>
    <x v="0"/>
    <m/>
    <x v="1"/>
    <m/>
    <n v="1"/>
    <x v="3"/>
    <x v="3"/>
    <m/>
    <x v="1"/>
    <x v="0"/>
    <x v="0"/>
  </r>
  <r>
    <x v="499"/>
    <x v="13"/>
    <x v="1"/>
    <x v="0"/>
    <x v="0"/>
    <m/>
    <x v="1"/>
    <m/>
    <n v="1"/>
    <x v="2"/>
    <x v="3"/>
    <m/>
    <x v="1"/>
    <x v="0"/>
    <x v="0"/>
  </r>
  <r>
    <x v="498"/>
    <x v="13"/>
    <x v="1"/>
    <x v="0"/>
    <x v="0"/>
    <m/>
    <x v="1"/>
    <m/>
    <n v="1"/>
    <x v="2"/>
    <x v="3"/>
    <m/>
    <x v="1"/>
    <x v="0"/>
    <x v="0"/>
  </r>
  <r>
    <x v="499"/>
    <x v="13"/>
    <x v="1"/>
    <x v="0"/>
    <x v="0"/>
    <m/>
    <x v="1"/>
    <m/>
    <n v="1"/>
    <x v="3"/>
    <x v="3"/>
    <m/>
    <x v="1"/>
    <x v="0"/>
    <x v="0"/>
  </r>
  <r>
    <x v="500"/>
    <x v="13"/>
    <x v="0"/>
    <x v="0"/>
    <x v="0"/>
    <m/>
    <x v="1"/>
    <m/>
    <n v="1"/>
    <x v="2"/>
    <x v="3"/>
    <m/>
    <x v="1"/>
    <x v="0"/>
    <x v="0"/>
  </r>
  <r>
    <x v="501"/>
    <x v="13"/>
    <x v="0"/>
    <x v="0"/>
    <x v="0"/>
    <m/>
    <x v="1"/>
    <m/>
    <n v="1"/>
    <x v="2"/>
    <x v="3"/>
    <m/>
    <x v="1"/>
    <x v="0"/>
    <x v="0"/>
  </r>
  <r>
    <x v="502"/>
    <x v="13"/>
    <x v="0"/>
    <x v="0"/>
    <x v="0"/>
    <m/>
    <x v="1"/>
    <m/>
    <n v="1"/>
    <x v="3"/>
    <x v="3"/>
    <m/>
    <x v="1"/>
    <x v="0"/>
    <x v="0"/>
  </r>
  <r>
    <x v="503"/>
    <x v="13"/>
    <x v="2"/>
    <x v="0"/>
    <x v="0"/>
    <m/>
    <x v="1"/>
    <m/>
    <n v="1"/>
    <x v="2"/>
    <x v="3"/>
    <m/>
    <x v="1"/>
    <x v="0"/>
    <x v="0"/>
  </r>
  <r>
    <x v="504"/>
    <x v="13"/>
    <x v="2"/>
    <x v="0"/>
    <x v="0"/>
    <m/>
    <x v="1"/>
    <m/>
    <n v="1"/>
    <x v="2"/>
    <x v="3"/>
    <m/>
    <x v="1"/>
    <x v="0"/>
    <x v="0"/>
  </r>
  <r>
    <x v="505"/>
    <x v="13"/>
    <x v="2"/>
    <x v="0"/>
    <x v="0"/>
    <m/>
    <x v="1"/>
    <m/>
    <n v="1"/>
    <x v="3"/>
    <x v="3"/>
    <m/>
    <x v="1"/>
    <x v="0"/>
    <x v="0"/>
  </r>
  <r>
    <x v="506"/>
    <x v="13"/>
    <x v="2"/>
    <x v="0"/>
    <x v="0"/>
    <m/>
    <x v="1"/>
    <m/>
    <n v="1"/>
    <x v="2"/>
    <x v="3"/>
    <m/>
    <x v="1"/>
    <x v="0"/>
    <x v="0"/>
  </r>
  <r>
    <x v="507"/>
    <x v="13"/>
    <x v="2"/>
    <x v="0"/>
    <x v="0"/>
    <m/>
    <x v="1"/>
    <m/>
    <n v="1"/>
    <x v="2"/>
    <x v="3"/>
    <m/>
    <x v="1"/>
    <x v="0"/>
    <x v="0"/>
  </r>
  <r>
    <x v="508"/>
    <x v="14"/>
    <x v="0"/>
    <x v="0"/>
    <x v="0"/>
    <m/>
    <x v="1"/>
    <m/>
    <n v="1"/>
    <x v="0"/>
    <x v="4"/>
    <m/>
    <x v="0"/>
    <x v="0"/>
    <x v="0"/>
  </r>
  <r>
    <x v="509"/>
    <x v="14"/>
    <x v="0"/>
    <x v="0"/>
    <x v="0"/>
    <m/>
    <x v="1"/>
    <m/>
    <n v="1"/>
    <x v="0"/>
    <x v="4"/>
    <m/>
    <x v="0"/>
    <x v="0"/>
    <x v="0"/>
  </r>
  <r>
    <x v="510"/>
    <x v="14"/>
    <x v="0"/>
    <x v="0"/>
    <x v="0"/>
    <m/>
    <x v="1"/>
    <m/>
    <n v="1"/>
    <x v="0"/>
    <x v="4"/>
    <m/>
    <x v="0"/>
    <x v="0"/>
    <x v="0"/>
  </r>
  <r>
    <x v="511"/>
    <x v="14"/>
    <x v="0"/>
    <x v="0"/>
    <x v="0"/>
    <m/>
    <x v="1"/>
    <m/>
    <n v="1"/>
    <x v="0"/>
    <x v="4"/>
    <m/>
    <x v="0"/>
    <x v="0"/>
    <x v="0"/>
  </r>
  <r>
    <x v="512"/>
    <x v="14"/>
    <x v="0"/>
    <x v="0"/>
    <x v="0"/>
    <m/>
    <x v="1"/>
    <m/>
    <n v="1"/>
    <x v="0"/>
    <x v="4"/>
    <m/>
    <x v="0"/>
    <x v="0"/>
    <x v="0"/>
  </r>
  <r>
    <x v="513"/>
    <x v="14"/>
    <x v="0"/>
    <x v="0"/>
    <x v="0"/>
    <m/>
    <x v="1"/>
    <m/>
    <n v="1"/>
    <x v="0"/>
    <x v="4"/>
    <m/>
    <x v="0"/>
    <x v="0"/>
    <x v="0"/>
  </r>
  <r>
    <x v="514"/>
    <x v="14"/>
    <x v="0"/>
    <x v="0"/>
    <x v="0"/>
    <m/>
    <x v="1"/>
    <m/>
    <n v="1"/>
    <x v="0"/>
    <x v="4"/>
    <m/>
    <x v="0"/>
    <x v="0"/>
    <x v="0"/>
  </r>
  <r>
    <x v="515"/>
    <x v="14"/>
    <x v="0"/>
    <x v="0"/>
    <x v="0"/>
    <m/>
    <x v="1"/>
    <m/>
    <n v="1"/>
    <x v="0"/>
    <x v="4"/>
    <m/>
    <x v="0"/>
    <x v="0"/>
    <x v="0"/>
  </r>
  <r>
    <x v="516"/>
    <x v="14"/>
    <x v="0"/>
    <x v="0"/>
    <x v="0"/>
    <m/>
    <x v="1"/>
    <m/>
    <n v="1"/>
    <x v="0"/>
    <x v="4"/>
    <m/>
    <x v="0"/>
    <x v="0"/>
    <x v="0"/>
  </r>
  <r>
    <x v="517"/>
    <x v="14"/>
    <x v="0"/>
    <x v="0"/>
    <x v="0"/>
    <m/>
    <x v="1"/>
    <m/>
    <n v="1"/>
    <x v="0"/>
    <x v="4"/>
    <m/>
    <x v="0"/>
    <x v="0"/>
    <x v="0"/>
  </r>
  <r>
    <x v="518"/>
    <x v="14"/>
    <x v="0"/>
    <x v="0"/>
    <x v="0"/>
    <m/>
    <x v="1"/>
    <m/>
    <n v="1"/>
    <x v="0"/>
    <x v="4"/>
    <m/>
    <x v="0"/>
    <x v="0"/>
    <x v="0"/>
  </r>
  <r>
    <x v="519"/>
    <x v="14"/>
    <x v="0"/>
    <x v="0"/>
    <x v="0"/>
    <m/>
    <x v="1"/>
    <m/>
    <n v="1"/>
    <x v="0"/>
    <x v="4"/>
    <m/>
    <x v="0"/>
    <x v="0"/>
    <x v="0"/>
  </r>
  <r>
    <x v="520"/>
    <x v="14"/>
    <x v="0"/>
    <x v="0"/>
    <x v="0"/>
    <m/>
    <x v="1"/>
    <m/>
    <n v="1"/>
    <x v="0"/>
    <x v="4"/>
    <m/>
    <x v="0"/>
    <x v="0"/>
    <x v="0"/>
  </r>
  <r>
    <x v="521"/>
    <x v="14"/>
    <x v="0"/>
    <x v="0"/>
    <x v="0"/>
    <m/>
    <x v="1"/>
    <m/>
    <n v="1"/>
    <x v="0"/>
    <x v="4"/>
    <m/>
    <x v="0"/>
    <x v="0"/>
    <x v="0"/>
  </r>
  <r>
    <x v="522"/>
    <x v="14"/>
    <x v="0"/>
    <x v="0"/>
    <x v="0"/>
    <m/>
    <x v="1"/>
    <m/>
    <n v="1"/>
    <x v="0"/>
    <x v="4"/>
    <m/>
    <x v="0"/>
    <x v="0"/>
    <x v="0"/>
  </r>
  <r>
    <x v="523"/>
    <x v="14"/>
    <x v="0"/>
    <x v="0"/>
    <x v="0"/>
    <m/>
    <x v="1"/>
    <m/>
    <n v="1"/>
    <x v="0"/>
    <x v="4"/>
    <m/>
    <x v="0"/>
    <x v="0"/>
    <x v="0"/>
  </r>
  <r>
    <x v="524"/>
    <x v="14"/>
    <x v="0"/>
    <x v="0"/>
    <x v="0"/>
    <m/>
    <x v="1"/>
    <m/>
    <n v="1"/>
    <x v="0"/>
    <x v="4"/>
    <m/>
    <x v="0"/>
    <x v="0"/>
    <x v="0"/>
  </r>
  <r>
    <x v="525"/>
    <x v="14"/>
    <x v="0"/>
    <x v="0"/>
    <x v="0"/>
    <m/>
    <x v="1"/>
    <m/>
    <n v="1"/>
    <x v="0"/>
    <x v="4"/>
    <m/>
    <x v="0"/>
    <x v="0"/>
    <x v="0"/>
  </r>
  <r>
    <x v="526"/>
    <x v="14"/>
    <x v="0"/>
    <x v="0"/>
    <x v="0"/>
    <m/>
    <x v="1"/>
    <m/>
    <n v="1"/>
    <x v="0"/>
    <x v="4"/>
    <m/>
    <x v="0"/>
    <x v="0"/>
    <x v="0"/>
  </r>
  <r>
    <x v="527"/>
    <x v="14"/>
    <x v="0"/>
    <x v="0"/>
    <x v="0"/>
    <m/>
    <x v="1"/>
    <m/>
    <n v="1"/>
    <x v="0"/>
    <x v="4"/>
    <m/>
    <x v="0"/>
    <x v="0"/>
    <x v="0"/>
  </r>
  <r>
    <x v="528"/>
    <x v="14"/>
    <x v="0"/>
    <x v="0"/>
    <x v="0"/>
    <m/>
    <x v="1"/>
    <m/>
    <n v="1"/>
    <x v="0"/>
    <x v="4"/>
    <m/>
    <x v="0"/>
    <x v="0"/>
    <x v="0"/>
  </r>
  <r>
    <x v="529"/>
    <x v="14"/>
    <x v="0"/>
    <x v="0"/>
    <x v="0"/>
    <m/>
    <x v="1"/>
    <m/>
    <n v="1"/>
    <x v="0"/>
    <x v="4"/>
    <m/>
    <x v="0"/>
    <x v="0"/>
    <x v="0"/>
  </r>
  <r>
    <x v="530"/>
    <x v="14"/>
    <x v="0"/>
    <x v="0"/>
    <x v="0"/>
    <m/>
    <x v="1"/>
    <m/>
    <n v="1"/>
    <x v="0"/>
    <x v="4"/>
    <m/>
    <x v="0"/>
    <x v="0"/>
    <x v="0"/>
  </r>
  <r>
    <x v="531"/>
    <x v="14"/>
    <x v="0"/>
    <x v="0"/>
    <x v="0"/>
    <m/>
    <x v="1"/>
    <m/>
    <n v="1"/>
    <x v="0"/>
    <x v="4"/>
    <m/>
    <x v="0"/>
    <x v="0"/>
    <x v="0"/>
  </r>
  <r>
    <x v="532"/>
    <x v="14"/>
    <x v="0"/>
    <x v="0"/>
    <x v="0"/>
    <m/>
    <x v="1"/>
    <m/>
    <n v="1"/>
    <x v="0"/>
    <x v="4"/>
    <m/>
    <x v="0"/>
    <x v="0"/>
    <x v="0"/>
  </r>
  <r>
    <x v="533"/>
    <x v="14"/>
    <x v="0"/>
    <x v="0"/>
    <x v="0"/>
    <m/>
    <x v="1"/>
    <m/>
    <n v="1"/>
    <x v="0"/>
    <x v="4"/>
    <m/>
    <x v="0"/>
    <x v="0"/>
    <x v="0"/>
  </r>
  <r>
    <x v="534"/>
    <x v="14"/>
    <x v="0"/>
    <x v="0"/>
    <x v="0"/>
    <m/>
    <x v="1"/>
    <m/>
    <n v="1"/>
    <x v="0"/>
    <x v="4"/>
    <m/>
    <x v="0"/>
    <x v="0"/>
    <x v="0"/>
  </r>
  <r>
    <x v="535"/>
    <x v="14"/>
    <x v="0"/>
    <x v="0"/>
    <x v="0"/>
    <m/>
    <x v="1"/>
    <m/>
    <n v="1"/>
    <x v="0"/>
    <x v="4"/>
    <m/>
    <x v="0"/>
    <x v="0"/>
    <x v="0"/>
  </r>
  <r>
    <x v="536"/>
    <x v="14"/>
    <x v="0"/>
    <x v="0"/>
    <x v="0"/>
    <m/>
    <x v="1"/>
    <m/>
    <n v="1"/>
    <x v="0"/>
    <x v="4"/>
    <m/>
    <x v="0"/>
    <x v="0"/>
    <x v="0"/>
  </r>
  <r>
    <x v="537"/>
    <x v="14"/>
    <x v="0"/>
    <x v="0"/>
    <x v="0"/>
    <m/>
    <x v="1"/>
    <m/>
    <n v="1"/>
    <x v="0"/>
    <x v="4"/>
    <m/>
    <x v="0"/>
    <x v="0"/>
    <x v="0"/>
  </r>
  <r>
    <x v="538"/>
    <x v="14"/>
    <x v="0"/>
    <x v="0"/>
    <x v="0"/>
    <m/>
    <x v="1"/>
    <m/>
    <n v="1"/>
    <x v="0"/>
    <x v="4"/>
    <m/>
    <x v="0"/>
    <x v="0"/>
    <x v="0"/>
  </r>
  <r>
    <x v="539"/>
    <x v="14"/>
    <x v="0"/>
    <x v="0"/>
    <x v="0"/>
    <m/>
    <x v="1"/>
    <m/>
    <n v="1"/>
    <x v="0"/>
    <x v="4"/>
    <m/>
    <x v="0"/>
    <x v="0"/>
    <x v="0"/>
  </r>
  <r>
    <x v="540"/>
    <x v="14"/>
    <x v="0"/>
    <x v="0"/>
    <x v="0"/>
    <m/>
    <x v="1"/>
    <m/>
    <n v="1"/>
    <x v="0"/>
    <x v="4"/>
    <m/>
    <x v="0"/>
    <x v="0"/>
    <x v="0"/>
  </r>
  <r>
    <x v="541"/>
    <x v="14"/>
    <x v="0"/>
    <x v="0"/>
    <x v="0"/>
    <m/>
    <x v="1"/>
    <m/>
    <n v="1"/>
    <x v="0"/>
    <x v="4"/>
    <m/>
    <x v="0"/>
    <x v="0"/>
    <x v="0"/>
  </r>
  <r>
    <x v="542"/>
    <x v="14"/>
    <x v="0"/>
    <x v="0"/>
    <x v="0"/>
    <m/>
    <x v="1"/>
    <m/>
    <n v="1"/>
    <x v="0"/>
    <x v="4"/>
    <m/>
    <x v="0"/>
    <x v="0"/>
    <x v="0"/>
  </r>
  <r>
    <x v="543"/>
    <x v="14"/>
    <x v="0"/>
    <x v="0"/>
    <x v="0"/>
    <m/>
    <x v="1"/>
    <m/>
    <n v="1"/>
    <x v="0"/>
    <x v="4"/>
    <m/>
    <x v="0"/>
    <x v="0"/>
    <x v="0"/>
  </r>
  <r>
    <x v="544"/>
    <x v="14"/>
    <x v="0"/>
    <x v="0"/>
    <x v="0"/>
    <m/>
    <x v="1"/>
    <m/>
    <n v="1"/>
    <x v="0"/>
    <x v="4"/>
    <m/>
    <x v="0"/>
    <x v="0"/>
    <x v="0"/>
  </r>
  <r>
    <x v="545"/>
    <x v="14"/>
    <x v="0"/>
    <x v="0"/>
    <x v="0"/>
    <m/>
    <x v="1"/>
    <m/>
    <n v="1"/>
    <x v="0"/>
    <x v="4"/>
    <m/>
    <x v="0"/>
    <x v="0"/>
    <x v="0"/>
  </r>
  <r>
    <x v="546"/>
    <x v="14"/>
    <x v="0"/>
    <x v="0"/>
    <x v="0"/>
    <m/>
    <x v="1"/>
    <m/>
    <n v="1"/>
    <x v="0"/>
    <x v="4"/>
    <m/>
    <x v="0"/>
    <x v="0"/>
    <x v="0"/>
  </r>
  <r>
    <x v="547"/>
    <x v="14"/>
    <x v="0"/>
    <x v="0"/>
    <x v="0"/>
    <m/>
    <x v="1"/>
    <m/>
    <n v="1"/>
    <x v="0"/>
    <x v="4"/>
    <m/>
    <x v="0"/>
    <x v="0"/>
    <x v="0"/>
  </r>
  <r>
    <x v="548"/>
    <x v="14"/>
    <x v="0"/>
    <x v="0"/>
    <x v="0"/>
    <m/>
    <x v="1"/>
    <m/>
    <n v="1"/>
    <x v="0"/>
    <x v="4"/>
    <m/>
    <x v="0"/>
    <x v="0"/>
    <x v="0"/>
  </r>
  <r>
    <x v="549"/>
    <x v="14"/>
    <x v="0"/>
    <x v="0"/>
    <x v="0"/>
    <m/>
    <x v="1"/>
    <m/>
    <n v="1"/>
    <x v="0"/>
    <x v="4"/>
    <m/>
    <x v="0"/>
    <x v="0"/>
    <x v="0"/>
  </r>
  <r>
    <x v="550"/>
    <x v="14"/>
    <x v="0"/>
    <x v="0"/>
    <x v="0"/>
    <m/>
    <x v="1"/>
    <m/>
    <n v="1"/>
    <x v="0"/>
    <x v="4"/>
    <m/>
    <x v="0"/>
    <x v="0"/>
    <x v="0"/>
  </r>
  <r>
    <x v="551"/>
    <x v="14"/>
    <x v="0"/>
    <x v="0"/>
    <x v="0"/>
    <m/>
    <x v="1"/>
    <m/>
    <n v="1"/>
    <x v="0"/>
    <x v="4"/>
    <m/>
    <x v="0"/>
    <x v="0"/>
    <x v="0"/>
  </r>
  <r>
    <x v="552"/>
    <x v="14"/>
    <x v="0"/>
    <x v="0"/>
    <x v="0"/>
    <m/>
    <x v="1"/>
    <m/>
    <n v="1"/>
    <x v="0"/>
    <x v="4"/>
    <m/>
    <x v="0"/>
    <x v="0"/>
    <x v="0"/>
  </r>
  <r>
    <x v="553"/>
    <x v="14"/>
    <x v="0"/>
    <x v="0"/>
    <x v="0"/>
    <m/>
    <x v="1"/>
    <m/>
    <n v="1"/>
    <x v="0"/>
    <x v="4"/>
    <m/>
    <x v="0"/>
    <x v="0"/>
    <x v="0"/>
  </r>
  <r>
    <x v="554"/>
    <x v="14"/>
    <x v="0"/>
    <x v="0"/>
    <x v="0"/>
    <m/>
    <x v="1"/>
    <m/>
    <n v="1"/>
    <x v="0"/>
    <x v="4"/>
    <m/>
    <x v="0"/>
    <x v="0"/>
    <x v="0"/>
  </r>
  <r>
    <x v="555"/>
    <x v="14"/>
    <x v="0"/>
    <x v="0"/>
    <x v="0"/>
    <m/>
    <x v="1"/>
    <m/>
    <n v="1"/>
    <x v="0"/>
    <x v="4"/>
    <m/>
    <x v="0"/>
    <x v="0"/>
    <x v="0"/>
  </r>
  <r>
    <x v="556"/>
    <x v="14"/>
    <x v="0"/>
    <x v="0"/>
    <x v="0"/>
    <m/>
    <x v="1"/>
    <m/>
    <n v="1"/>
    <x v="0"/>
    <x v="4"/>
    <m/>
    <x v="0"/>
    <x v="0"/>
    <x v="0"/>
  </r>
  <r>
    <x v="557"/>
    <x v="14"/>
    <x v="0"/>
    <x v="0"/>
    <x v="0"/>
    <m/>
    <x v="1"/>
    <m/>
    <n v="1"/>
    <x v="0"/>
    <x v="4"/>
    <m/>
    <x v="0"/>
    <x v="0"/>
    <x v="0"/>
  </r>
  <r>
    <x v="558"/>
    <x v="14"/>
    <x v="0"/>
    <x v="0"/>
    <x v="0"/>
    <m/>
    <x v="1"/>
    <m/>
    <n v="1"/>
    <x v="0"/>
    <x v="4"/>
    <m/>
    <x v="0"/>
    <x v="0"/>
    <x v="0"/>
  </r>
  <r>
    <x v="559"/>
    <x v="14"/>
    <x v="0"/>
    <x v="0"/>
    <x v="0"/>
    <m/>
    <x v="1"/>
    <m/>
    <n v="1"/>
    <x v="0"/>
    <x v="4"/>
    <m/>
    <x v="0"/>
    <x v="0"/>
    <x v="0"/>
  </r>
  <r>
    <x v="560"/>
    <x v="14"/>
    <x v="0"/>
    <x v="0"/>
    <x v="0"/>
    <m/>
    <x v="1"/>
    <m/>
    <n v="1"/>
    <x v="0"/>
    <x v="4"/>
    <m/>
    <x v="0"/>
    <x v="0"/>
    <x v="0"/>
  </r>
  <r>
    <x v="561"/>
    <x v="14"/>
    <x v="0"/>
    <x v="0"/>
    <x v="0"/>
    <m/>
    <x v="1"/>
    <m/>
    <n v="1"/>
    <x v="0"/>
    <x v="4"/>
    <m/>
    <x v="0"/>
    <x v="0"/>
    <x v="0"/>
  </r>
  <r>
    <x v="562"/>
    <x v="14"/>
    <x v="0"/>
    <x v="0"/>
    <x v="0"/>
    <m/>
    <x v="1"/>
    <m/>
    <n v="1"/>
    <x v="0"/>
    <x v="4"/>
    <m/>
    <x v="0"/>
    <x v="0"/>
    <x v="0"/>
  </r>
  <r>
    <x v="563"/>
    <x v="14"/>
    <x v="0"/>
    <x v="0"/>
    <x v="0"/>
    <m/>
    <x v="1"/>
    <m/>
    <n v="1"/>
    <x v="0"/>
    <x v="4"/>
    <m/>
    <x v="0"/>
    <x v="0"/>
    <x v="0"/>
  </r>
  <r>
    <x v="564"/>
    <x v="14"/>
    <x v="0"/>
    <x v="0"/>
    <x v="0"/>
    <m/>
    <x v="1"/>
    <m/>
    <n v="1"/>
    <x v="0"/>
    <x v="4"/>
    <m/>
    <x v="0"/>
    <x v="0"/>
    <x v="0"/>
  </r>
  <r>
    <x v="565"/>
    <x v="14"/>
    <x v="0"/>
    <x v="0"/>
    <x v="0"/>
    <m/>
    <x v="1"/>
    <m/>
    <n v="1"/>
    <x v="0"/>
    <x v="4"/>
    <m/>
    <x v="0"/>
    <x v="0"/>
    <x v="0"/>
  </r>
  <r>
    <x v="566"/>
    <x v="14"/>
    <x v="0"/>
    <x v="0"/>
    <x v="0"/>
    <m/>
    <x v="1"/>
    <m/>
    <n v="1"/>
    <x v="0"/>
    <x v="4"/>
    <m/>
    <x v="0"/>
    <x v="0"/>
    <x v="0"/>
  </r>
  <r>
    <x v="567"/>
    <x v="14"/>
    <x v="0"/>
    <x v="0"/>
    <x v="0"/>
    <m/>
    <x v="1"/>
    <m/>
    <n v="1"/>
    <x v="0"/>
    <x v="4"/>
    <m/>
    <x v="0"/>
    <x v="0"/>
    <x v="0"/>
  </r>
  <r>
    <x v="568"/>
    <x v="14"/>
    <x v="0"/>
    <x v="0"/>
    <x v="0"/>
    <m/>
    <x v="1"/>
    <m/>
    <n v="1"/>
    <x v="0"/>
    <x v="4"/>
    <m/>
    <x v="0"/>
    <x v="0"/>
    <x v="0"/>
  </r>
  <r>
    <x v="569"/>
    <x v="14"/>
    <x v="0"/>
    <x v="0"/>
    <x v="0"/>
    <m/>
    <x v="1"/>
    <m/>
    <n v="1"/>
    <x v="0"/>
    <x v="4"/>
    <m/>
    <x v="0"/>
    <x v="0"/>
    <x v="0"/>
  </r>
  <r>
    <x v="570"/>
    <x v="14"/>
    <x v="0"/>
    <x v="0"/>
    <x v="0"/>
    <m/>
    <x v="1"/>
    <m/>
    <n v="1"/>
    <x v="0"/>
    <x v="4"/>
    <m/>
    <x v="0"/>
    <x v="0"/>
    <x v="0"/>
  </r>
  <r>
    <x v="571"/>
    <x v="14"/>
    <x v="0"/>
    <x v="0"/>
    <x v="0"/>
    <m/>
    <x v="1"/>
    <m/>
    <n v="1"/>
    <x v="0"/>
    <x v="4"/>
    <m/>
    <x v="0"/>
    <x v="0"/>
    <x v="0"/>
  </r>
  <r>
    <x v="572"/>
    <x v="14"/>
    <x v="0"/>
    <x v="0"/>
    <x v="0"/>
    <m/>
    <x v="1"/>
    <m/>
    <n v="1"/>
    <x v="0"/>
    <x v="4"/>
    <m/>
    <x v="0"/>
    <x v="0"/>
    <x v="0"/>
  </r>
  <r>
    <x v="573"/>
    <x v="14"/>
    <x v="0"/>
    <x v="0"/>
    <x v="0"/>
    <m/>
    <x v="1"/>
    <m/>
    <n v="1"/>
    <x v="0"/>
    <x v="4"/>
    <m/>
    <x v="0"/>
    <x v="0"/>
    <x v="0"/>
  </r>
  <r>
    <x v="574"/>
    <x v="14"/>
    <x v="0"/>
    <x v="0"/>
    <x v="0"/>
    <m/>
    <x v="1"/>
    <m/>
    <n v="1"/>
    <x v="0"/>
    <x v="4"/>
    <m/>
    <x v="0"/>
    <x v="0"/>
    <x v="0"/>
  </r>
  <r>
    <x v="575"/>
    <x v="14"/>
    <x v="0"/>
    <x v="0"/>
    <x v="0"/>
    <m/>
    <x v="1"/>
    <m/>
    <n v="1"/>
    <x v="0"/>
    <x v="4"/>
    <m/>
    <x v="0"/>
    <x v="0"/>
    <x v="0"/>
  </r>
  <r>
    <x v="576"/>
    <x v="14"/>
    <x v="0"/>
    <x v="0"/>
    <x v="0"/>
    <m/>
    <x v="1"/>
    <m/>
    <n v="1"/>
    <x v="0"/>
    <x v="4"/>
    <m/>
    <x v="0"/>
    <x v="0"/>
    <x v="0"/>
  </r>
  <r>
    <x v="577"/>
    <x v="14"/>
    <x v="0"/>
    <x v="0"/>
    <x v="0"/>
    <m/>
    <x v="1"/>
    <m/>
    <n v="1"/>
    <x v="0"/>
    <x v="4"/>
    <m/>
    <x v="0"/>
    <x v="0"/>
    <x v="0"/>
  </r>
  <r>
    <x v="578"/>
    <x v="14"/>
    <x v="0"/>
    <x v="0"/>
    <x v="0"/>
    <m/>
    <x v="1"/>
    <m/>
    <n v="1"/>
    <x v="0"/>
    <x v="4"/>
    <m/>
    <x v="0"/>
    <x v="0"/>
    <x v="0"/>
  </r>
  <r>
    <x v="579"/>
    <x v="14"/>
    <x v="0"/>
    <x v="0"/>
    <x v="0"/>
    <m/>
    <x v="1"/>
    <m/>
    <n v="1"/>
    <x v="0"/>
    <x v="4"/>
    <m/>
    <x v="0"/>
    <x v="0"/>
    <x v="0"/>
  </r>
  <r>
    <x v="580"/>
    <x v="14"/>
    <x v="0"/>
    <x v="0"/>
    <x v="0"/>
    <m/>
    <x v="1"/>
    <m/>
    <n v="1"/>
    <x v="0"/>
    <x v="4"/>
    <m/>
    <x v="0"/>
    <x v="0"/>
    <x v="0"/>
  </r>
  <r>
    <x v="581"/>
    <x v="14"/>
    <x v="0"/>
    <x v="0"/>
    <x v="0"/>
    <m/>
    <x v="1"/>
    <m/>
    <n v="1"/>
    <x v="0"/>
    <x v="4"/>
    <m/>
    <x v="0"/>
    <x v="0"/>
    <x v="0"/>
  </r>
  <r>
    <x v="582"/>
    <x v="14"/>
    <x v="0"/>
    <x v="0"/>
    <x v="0"/>
    <m/>
    <x v="1"/>
    <m/>
    <n v="1"/>
    <x v="0"/>
    <x v="4"/>
    <m/>
    <x v="0"/>
    <x v="0"/>
    <x v="0"/>
  </r>
  <r>
    <x v="583"/>
    <x v="14"/>
    <x v="0"/>
    <x v="0"/>
    <x v="0"/>
    <m/>
    <x v="1"/>
    <m/>
    <n v="1"/>
    <x v="0"/>
    <x v="4"/>
    <m/>
    <x v="0"/>
    <x v="0"/>
    <x v="0"/>
  </r>
  <r>
    <x v="584"/>
    <x v="14"/>
    <x v="0"/>
    <x v="0"/>
    <x v="0"/>
    <m/>
    <x v="1"/>
    <m/>
    <n v="1"/>
    <x v="0"/>
    <x v="4"/>
    <m/>
    <x v="0"/>
    <x v="0"/>
    <x v="0"/>
  </r>
  <r>
    <x v="585"/>
    <x v="14"/>
    <x v="0"/>
    <x v="0"/>
    <x v="0"/>
    <m/>
    <x v="1"/>
    <m/>
    <n v="1"/>
    <x v="0"/>
    <x v="4"/>
    <m/>
    <x v="0"/>
    <x v="0"/>
    <x v="0"/>
  </r>
  <r>
    <x v="586"/>
    <x v="14"/>
    <x v="0"/>
    <x v="0"/>
    <x v="0"/>
    <m/>
    <x v="1"/>
    <m/>
    <n v="1"/>
    <x v="0"/>
    <x v="4"/>
    <m/>
    <x v="0"/>
    <x v="0"/>
    <x v="0"/>
  </r>
  <r>
    <x v="587"/>
    <x v="14"/>
    <x v="0"/>
    <x v="0"/>
    <x v="0"/>
    <m/>
    <x v="1"/>
    <m/>
    <n v="1"/>
    <x v="0"/>
    <x v="4"/>
    <m/>
    <x v="0"/>
    <x v="0"/>
    <x v="0"/>
  </r>
  <r>
    <x v="588"/>
    <x v="14"/>
    <x v="0"/>
    <x v="0"/>
    <x v="0"/>
    <m/>
    <x v="1"/>
    <m/>
    <n v="1"/>
    <x v="0"/>
    <x v="4"/>
    <m/>
    <x v="0"/>
    <x v="0"/>
    <x v="0"/>
  </r>
  <r>
    <x v="589"/>
    <x v="14"/>
    <x v="0"/>
    <x v="0"/>
    <x v="0"/>
    <m/>
    <x v="1"/>
    <m/>
    <n v="1"/>
    <x v="0"/>
    <x v="4"/>
    <m/>
    <x v="0"/>
    <x v="0"/>
    <x v="0"/>
  </r>
  <r>
    <x v="590"/>
    <x v="14"/>
    <x v="0"/>
    <x v="0"/>
    <x v="0"/>
    <m/>
    <x v="1"/>
    <m/>
    <n v="1"/>
    <x v="0"/>
    <x v="4"/>
    <m/>
    <x v="0"/>
    <x v="0"/>
    <x v="0"/>
  </r>
  <r>
    <x v="591"/>
    <x v="14"/>
    <x v="0"/>
    <x v="0"/>
    <x v="0"/>
    <m/>
    <x v="1"/>
    <m/>
    <n v="1"/>
    <x v="0"/>
    <x v="4"/>
    <m/>
    <x v="0"/>
    <x v="0"/>
    <x v="0"/>
  </r>
  <r>
    <x v="592"/>
    <x v="14"/>
    <x v="0"/>
    <x v="0"/>
    <x v="0"/>
    <m/>
    <x v="1"/>
    <m/>
    <n v="1"/>
    <x v="0"/>
    <x v="4"/>
    <m/>
    <x v="0"/>
    <x v="0"/>
    <x v="0"/>
  </r>
  <r>
    <x v="593"/>
    <x v="14"/>
    <x v="0"/>
    <x v="0"/>
    <x v="0"/>
    <m/>
    <x v="1"/>
    <m/>
    <n v="1"/>
    <x v="0"/>
    <x v="4"/>
    <m/>
    <x v="0"/>
    <x v="0"/>
    <x v="0"/>
  </r>
  <r>
    <x v="594"/>
    <x v="14"/>
    <x v="0"/>
    <x v="0"/>
    <x v="0"/>
    <m/>
    <x v="1"/>
    <m/>
    <n v="1"/>
    <x v="0"/>
    <x v="4"/>
    <m/>
    <x v="0"/>
    <x v="0"/>
    <x v="0"/>
  </r>
  <r>
    <x v="595"/>
    <x v="14"/>
    <x v="0"/>
    <x v="0"/>
    <x v="0"/>
    <m/>
    <x v="1"/>
    <m/>
    <n v="1"/>
    <x v="0"/>
    <x v="4"/>
    <m/>
    <x v="0"/>
    <x v="0"/>
    <x v="0"/>
  </r>
  <r>
    <x v="596"/>
    <x v="14"/>
    <x v="0"/>
    <x v="0"/>
    <x v="0"/>
    <m/>
    <x v="1"/>
    <m/>
    <n v="1"/>
    <x v="0"/>
    <x v="4"/>
    <m/>
    <x v="0"/>
    <x v="0"/>
    <x v="0"/>
  </r>
  <r>
    <x v="597"/>
    <x v="14"/>
    <x v="0"/>
    <x v="0"/>
    <x v="0"/>
    <m/>
    <x v="1"/>
    <m/>
    <n v="1"/>
    <x v="0"/>
    <x v="4"/>
    <m/>
    <x v="0"/>
    <x v="0"/>
    <x v="0"/>
  </r>
  <r>
    <x v="598"/>
    <x v="14"/>
    <x v="0"/>
    <x v="0"/>
    <x v="0"/>
    <m/>
    <x v="1"/>
    <m/>
    <n v="1"/>
    <x v="0"/>
    <x v="4"/>
    <m/>
    <x v="0"/>
    <x v="0"/>
    <x v="0"/>
  </r>
  <r>
    <x v="599"/>
    <x v="14"/>
    <x v="0"/>
    <x v="0"/>
    <x v="0"/>
    <m/>
    <x v="1"/>
    <m/>
    <n v="1"/>
    <x v="0"/>
    <x v="4"/>
    <m/>
    <x v="0"/>
    <x v="0"/>
    <x v="0"/>
  </r>
  <r>
    <x v="600"/>
    <x v="14"/>
    <x v="0"/>
    <x v="0"/>
    <x v="0"/>
    <m/>
    <x v="1"/>
    <m/>
    <n v="1"/>
    <x v="0"/>
    <x v="4"/>
    <m/>
    <x v="0"/>
    <x v="0"/>
    <x v="0"/>
  </r>
  <r>
    <x v="601"/>
    <x v="14"/>
    <x v="0"/>
    <x v="0"/>
    <x v="0"/>
    <m/>
    <x v="1"/>
    <m/>
    <n v="1"/>
    <x v="0"/>
    <x v="4"/>
    <m/>
    <x v="0"/>
    <x v="0"/>
    <x v="0"/>
  </r>
  <r>
    <x v="602"/>
    <x v="14"/>
    <x v="0"/>
    <x v="0"/>
    <x v="0"/>
    <m/>
    <x v="1"/>
    <m/>
    <n v="1"/>
    <x v="0"/>
    <x v="4"/>
    <m/>
    <x v="0"/>
    <x v="0"/>
    <x v="0"/>
  </r>
  <r>
    <x v="603"/>
    <x v="14"/>
    <x v="0"/>
    <x v="0"/>
    <x v="0"/>
    <m/>
    <x v="1"/>
    <m/>
    <n v="1"/>
    <x v="0"/>
    <x v="4"/>
    <m/>
    <x v="0"/>
    <x v="0"/>
    <x v="0"/>
  </r>
  <r>
    <x v="604"/>
    <x v="14"/>
    <x v="0"/>
    <x v="0"/>
    <x v="0"/>
    <m/>
    <x v="1"/>
    <m/>
    <n v="1"/>
    <x v="0"/>
    <x v="4"/>
    <m/>
    <x v="0"/>
    <x v="0"/>
    <x v="0"/>
  </r>
  <r>
    <x v="605"/>
    <x v="14"/>
    <x v="0"/>
    <x v="0"/>
    <x v="0"/>
    <m/>
    <x v="1"/>
    <m/>
    <n v="1"/>
    <x v="0"/>
    <x v="4"/>
    <m/>
    <x v="0"/>
    <x v="0"/>
    <x v="0"/>
  </r>
  <r>
    <x v="606"/>
    <x v="14"/>
    <x v="0"/>
    <x v="0"/>
    <x v="0"/>
    <m/>
    <x v="1"/>
    <m/>
    <n v="1"/>
    <x v="0"/>
    <x v="4"/>
    <m/>
    <x v="0"/>
    <x v="0"/>
    <x v="0"/>
  </r>
  <r>
    <x v="607"/>
    <x v="14"/>
    <x v="0"/>
    <x v="0"/>
    <x v="0"/>
    <m/>
    <x v="1"/>
    <m/>
    <n v="1"/>
    <x v="0"/>
    <x v="4"/>
    <m/>
    <x v="0"/>
    <x v="0"/>
    <x v="0"/>
  </r>
  <r>
    <x v="608"/>
    <x v="14"/>
    <x v="0"/>
    <x v="0"/>
    <x v="0"/>
    <m/>
    <x v="1"/>
    <m/>
    <n v="1"/>
    <x v="0"/>
    <x v="4"/>
    <m/>
    <x v="0"/>
    <x v="0"/>
    <x v="0"/>
  </r>
  <r>
    <x v="609"/>
    <x v="14"/>
    <x v="0"/>
    <x v="0"/>
    <x v="0"/>
    <m/>
    <x v="1"/>
    <m/>
    <n v="1"/>
    <x v="0"/>
    <x v="4"/>
    <m/>
    <x v="0"/>
    <x v="0"/>
    <x v="0"/>
  </r>
  <r>
    <x v="610"/>
    <x v="14"/>
    <x v="0"/>
    <x v="0"/>
    <x v="0"/>
    <m/>
    <x v="1"/>
    <m/>
    <n v="1"/>
    <x v="0"/>
    <x v="4"/>
    <m/>
    <x v="0"/>
    <x v="0"/>
    <x v="0"/>
  </r>
  <r>
    <x v="611"/>
    <x v="14"/>
    <x v="0"/>
    <x v="0"/>
    <x v="0"/>
    <m/>
    <x v="1"/>
    <m/>
    <n v="1"/>
    <x v="0"/>
    <x v="4"/>
    <m/>
    <x v="0"/>
    <x v="0"/>
    <x v="0"/>
  </r>
  <r>
    <x v="612"/>
    <x v="14"/>
    <x v="0"/>
    <x v="0"/>
    <x v="0"/>
    <m/>
    <x v="1"/>
    <m/>
    <n v="1"/>
    <x v="0"/>
    <x v="4"/>
    <m/>
    <x v="0"/>
    <x v="0"/>
    <x v="0"/>
  </r>
  <r>
    <x v="613"/>
    <x v="14"/>
    <x v="0"/>
    <x v="0"/>
    <x v="0"/>
    <m/>
    <x v="1"/>
    <m/>
    <n v="1"/>
    <x v="0"/>
    <x v="4"/>
    <m/>
    <x v="0"/>
    <x v="0"/>
    <x v="0"/>
  </r>
  <r>
    <x v="614"/>
    <x v="14"/>
    <x v="0"/>
    <x v="0"/>
    <x v="0"/>
    <m/>
    <x v="1"/>
    <m/>
    <n v="1"/>
    <x v="0"/>
    <x v="4"/>
    <m/>
    <x v="0"/>
    <x v="0"/>
    <x v="0"/>
  </r>
  <r>
    <x v="615"/>
    <x v="14"/>
    <x v="0"/>
    <x v="0"/>
    <x v="0"/>
    <m/>
    <x v="1"/>
    <m/>
    <n v="1"/>
    <x v="0"/>
    <x v="4"/>
    <m/>
    <x v="0"/>
    <x v="0"/>
    <x v="0"/>
  </r>
  <r>
    <x v="616"/>
    <x v="14"/>
    <x v="0"/>
    <x v="0"/>
    <x v="0"/>
    <m/>
    <x v="1"/>
    <m/>
    <n v="1"/>
    <x v="0"/>
    <x v="4"/>
    <m/>
    <x v="0"/>
    <x v="0"/>
    <x v="0"/>
  </r>
  <r>
    <x v="617"/>
    <x v="14"/>
    <x v="0"/>
    <x v="0"/>
    <x v="0"/>
    <m/>
    <x v="1"/>
    <m/>
    <n v="1"/>
    <x v="0"/>
    <x v="4"/>
    <m/>
    <x v="0"/>
    <x v="0"/>
    <x v="0"/>
  </r>
  <r>
    <x v="618"/>
    <x v="15"/>
    <x v="0"/>
    <x v="0"/>
    <x v="0"/>
    <m/>
    <x v="1"/>
    <m/>
    <n v="1"/>
    <x v="0"/>
    <x v="4"/>
    <m/>
    <x v="0"/>
    <x v="0"/>
    <x v="0"/>
  </r>
  <r>
    <x v="619"/>
    <x v="15"/>
    <x v="0"/>
    <x v="0"/>
    <x v="0"/>
    <m/>
    <x v="1"/>
    <m/>
    <n v="1"/>
    <x v="0"/>
    <x v="4"/>
    <m/>
    <x v="0"/>
    <x v="0"/>
    <x v="0"/>
  </r>
  <r>
    <x v="620"/>
    <x v="15"/>
    <x v="0"/>
    <x v="0"/>
    <x v="0"/>
    <m/>
    <x v="1"/>
    <m/>
    <n v="1"/>
    <x v="0"/>
    <x v="4"/>
    <m/>
    <x v="0"/>
    <x v="0"/>
    <x v="0"/>
  </r>
  <r>
    <x v="621"/>
    <x v="15"/>
    <x v="0"/>
    <x v="0"/>
    <x v="0"/>
    <m/>
    <x v="1"/>
    <m/>
    <n v="1"/>
    <x v="0"/>
    <x v="4"/>
    <m/>
    <x v="0"/>
    <x v="0"/>
    <x v="0"/>
  </r>
  <r>
    <x v="622"/>
    <x v="15"/>
    <x v="0"/>
    <x v="0"/>
    <x v="0"/>
    <m/>
    <x v="1"/>
    <m/>
    <n v="1"/>
    <x v="0"/>
    <x v="4"/>
    <m/>
    <x v="0"/>
    <x v="0"/>
    <x v="0"/>
  </r>
  <r>
    <x v="623"/>
    <x v="15"/>
    <x v="0"/>
    <x v="0"/>
    <x v="0"/>
    <m/>
    <x v="1"/>
    <m/>
    <n v="1"/>
    <x v="0"/>
    <x v="4"/>
    <m/>
    <x v="0"/>
    <x v="0"/>
    <x v="0"/>
  </r>
  <r>
    <x v="624"/>
    <x v="15"/>
    <x v="0"/>
    <x v="0"/>
    <x v="0"/>
    <m/>
    <x v="1"/>
    <m/>
    <n v="1"/>
    <x v="0"/>
    <x v="4"/>
    <m/>
    <x v="0"/>
    <x v="0"/>
    <x v="0"/>
  </r>
  <r>
    <x v="625"/>
    <x v="15"/>
    <x v="0"/>
    <x v="0"/>
    <x v="0"/>
    <m/>
    <x v="1"/>
    <m/>
    <n v="1"/>
    <x v="0"/>
    <x v="4"/>
    <m/>
    <x v="0"/>
    <x v="0"/>
    <x v="0"/>
  </r>
  <r>
    <x v="626"/>
    <x v="15"/>
    <x v="0"/>
    <x v="0"/>
    <x v="0"/>
    <m/>
    <x v="1"/>
    <m/>
    <n v="1"/>
    <x v="0"/>
    <x v="4"/>
    <m/>
    <x v="0"/>
    <x v="0"/>
    <x v="0"/>
  </r>
  <r>
    <x v="627"/>
    <x v="15"/>
    <x v="0"/>
    <x v="0"/>
    <x v="0"/>
    <m/>
    <x v="1"/>
    <m/>
    <n v="1"/>
    <x v="0"/>
    <x v="4"/>
    <m/>
    <x v="0"/>
    <x v="0"/>
    <x v="0"/>
  </r>
  <r>
    <x v="628"/>
    <x v="15"/>
    <x v="0"/>
    <x v="0"/>
    <x v="0"/>
    <m/>
    <x v="1"/>
    <m/>
    <n v="1"/>
    <x v="0"/>
    <x v="4"/>
    <m/>
    <x v="0"/>
    <x v="0"/>
    <x v="0"/>
  </r>
  <r>
    <x v="629"/>
    <x v="15"/>
    <x v="0"/>
    <x v="0"/>
    <x v="0"/>
    <m/>
    <x v="1"/>
    <m/>
    <n v="1"/>
    <x v="0"/>
    <x v="4"/>
    <m/>
    <x v="0"/>
    <x v="0"/>
    <x v="0"/>
  </r>
  <r>
    <x v="630"/>
    <x v="15"/>
    <x v="0"/>
    <x v="0"/>
    <x v="0"/>
    <m/>
    <x v="1"/>
    <m/>
    <n v="1"/>
    <x v="0"/>
    <x v="4"/>
    <m/>
    <x v="0"/>
    <x v="0"/>
    <x v="0"/>
  </r>
  <r>
    <x v="631"/>
    <x v="15"/>
    <x v="0"/>
    <x v="0"/>
    <x v="0"/>
    <m/>
    <x v="1"/>
    <m/>
    <n v="1"/>
    <x v="0"/>
    <x v="4"/>
    <m/>
    <x v="0"/>
    <x v="0"/>
    <x v="0"/>
  </r>
  <r>
    <x v="632"/>
    <x v="15"/>
    <x v="0"/>
    <x v="0"/>
    <x v="0"/>
    <m/>
    <x v="1"/>
    <m/>
    <n v="1"/>
    <x v="0"/>
    <x v="4"/>
    <m/>
    <x v="0"/>
    <x v="0"/>
    <x v="0"/>
  </r>
  <r>
    <x v="633"/>
    <x v="15"/>
    <x v="0"/>
    <x v="0"/>
    <x v="0"/>
    <m/>
    <x v="1"/>
    <m/>
    <n v="1"/>
    <x v="0"/>
    <x v="4"/>
    <m/>
    <x v="0"/>
    <x v="0"/>
    <x v="0"/>
  </r>
  <r>
    <x v="634"/>
    <x v="15"/>
    <x v="0"/>
    <x v="0"/>
    <x v="0"/>
    <m/>
    <x v="1"/>
    <m/>
    <n v="1"/>
    <x v="0"/>
    <x v="4"/>
    <m/>
    <x v="0"/>
    <x v="0"/>
    <x v="0"/>
  </r>
  <r>
    <x v="635"/>
    <x v="15"/>
    <x v="0"/>
    <x v="0"/>
    <x v="0"/>
    <m/>
    <x v="1"/>
    <m/>
    <n v="1"/>
    <x v="0"/>
    <x v="4"/>
    <m/>
    <x v="0"/>
    <x v="0"/>
    <x v="0"/>
  </r>
  <r>
    <x v="636"/>
    <x v="15"/>
    <x v="0"/>
    <x v="0"/>
    <x v="0"/>
    <m/>
    <x v="1"/>
    <m/>
    <n v="1"/>
    <x v="0"/>
    <x v="4"/>
    <m/>
    <x v="0"/>
    <x v="0"/>
    <x v="0"/>
  </r>
  <r>
    <x v="637"/>
    <x v="15"/>
    <x v="0"/>
    <x v="0"/>
    <x v="0"/>
    <m/>
    <x v="1"/>
    <m/>
    <n v="1"/>
    <x v="0"/>
    <x v="4"/>
    <m/>
    <x v="0"/>
    <x v="0"/>
    <x v="0"/>
  </r>
  <r>
    <x v="638"/>
    <x v="15"/>
    <x v="0"/>
    <x v="0"/>
    <x v="0"/>
    <m/>
    <x v="1"/>
    <m/>
    <n v="1"/>
    <x v="0"/>
    <x v="4"/>
    <m/>
    <x v="0"/>
    <x v="0"/>
    <x v="0"/>
  </r>
  <r>
    <x v="639"/>
    <x v="15"/>
    <x v="0"/>
    <x v="0"/>
    <x v="0"/>
    <m/>
    <x v="1"/>
    <m/>
    <n v="1"/>
    <x v="0"/>
    <x v="4"/>
    <m/>
    <x v="0"/>
    <x v="0"/>
    <x v="0"/>
  </r>
  <r>
    <x v="640"/>
    <x v="15"/>
    <x v="0"/>
    <x v="0"/>
    <x v="0"/>
    <m/>
    <x v="1"/>
    <m/>
    <n v="1"/>
    <x v="0"/>
    <x v="4"/>
    <m/>
    <x v="0"/>
    <x v="0"/>
    <x v="0"/>
  </r>
  <r>
    <x v="641"/>
    <x v="15"/>
    <x v="0"/>
    <x v="0"/>
    <x v="0"/>
    <m/>
    <x v="1"/>
    <m/>
    <n v="1"/>
    <x v="0"/>
    <x v="4"/>
    <m/>
    <x v="0"/>
    <x v="0"/>
    <x v="0"/>
  </r>
  <r>
    <x v="642"/>
    <x v="15"/>
    <x v="0"/>
    <x v="0"/>
    <x v="0"/>
    <m/>
    <x v="1"/>
    <m/>
    <n v="1"/>
    <x v="0"/>
    <x v="4"/>
    <m/>
    <x v="0"/>
    <x v="0"/>
    <x v="0"/>
  </r>
  <r>
    <x v="643"/>
    <x v="15"/>
    <x v="0"/>
    <x v="0"/>
    <x v="0"/>
    <m/>
    <x v="1"/>
    <m/>
    <n v="1"/>
    <x v="0"/>
    <x v="4"/>
    <m/>
    <x v="0"/>
    <x v="0"/>
    <x v="0"/>
  </r>
  <r>
    <x v="644"/>
    <x v="15"/>
    <x v="0"/>
    <x v="0"/>
    <x v="0"/>
    <m/>
    <x v="1"/>
    <m/>
    <n v="1"/>
    <x v="0"/>
    <x v="4"/>
    <m/>
    <x v="0"/>
    <x v="0"/>
    <x v="0"/>
  </r>
  <r>
    <x v="645"/>
    <x v="15"/>
    <x v="0"/>
    <x v="0"/>
    <x v="0"/>
    <m/>
    <x v="1"/>
    <m/>
    <n v="1"/>
    <x v="0"/>
    <x v="4"/>
    <m/>
    <x v="0"/>
    <x v="0"/>
    <x v="0"/>
  </r>
  <r>
    <x v="646"/>
    <x v="15"/>
    <x v="0"/>
    <x v="0"/>
    <x v="0"/>
    <m/>
    <x v="1"/>
    <m/>
    <n v="1"/>
    <x v="0"/>
    <x v="4"/>
    <m/>
    <x v="0"/>
    <x v="0"/>
    <x v="0"/>
  </r>
  <r>
    <x v="647"/>
    <x v="15"/>
    <x v="0"/>
    <x v="0"/>
    <x v="0"/>
    <m/>
    <x v="1"/>
    <m/>
    <n v="1"/>
    <x v="0"/>
    <x v="4"/>
    <m/>
    <x v="0"/>
    <x v="0"/>
    <x v="0"/>
  </r>
  <r>
    <x v="648"/>
    <x v="15"/>
    <x v="0"/>
    <x v="0"/>
    <x v="0"/>
    <m/>
    <x v="1"/>
    <m/>
    <n v="1"/>
    <x v="0"/>
    <x v="4"/>
    <m/>
    <x v="0"/>
    <x v="0"/>
    <x v="0"/>
  </r>
  <r>
    <x v="649"/>
    <x v="15"/>
    <x v="0"/>
    <x v="0"/>
    <x v="0"/>
    <m/>
    <x v="1"/>
    <m/>
    <n v="1"/>
    <x v="0"/>
    <x v="4"/>
    <m/>
    <x v="0"/>
    <x v="0"/>
    <x v="0"/>
  </r>
  <r>
    <x v="650"/>
    <x v="15"/>
    <x v="0"/>
    <x v="0"/>
    <x v="0"/>
    <m/>
    <x v="1"/>
    <m/>
    <n v="1"/>
    <x v="0"/>
    <x v="4"/>
    <m/>
    <x v="0"/>
    <x v="0"/>
    <x v="0"/>
  </r>
  <r>
    <x v="651"/>
    <x v="15"/>
    <x v="0"/>
    <x v="0"/>
    <x v="0"/>
    <m/>
    <x v="1"/>
    <m/>
    <n v="1"/>
    <x v="0"/>
    <x v="4"/>
    <m/>
    <x v="0"/>
    <x v="0"/>
    <x v="0"/>
  </r>
  <r>
    <x v="652"/>
    <x v="15"/>
    <x v="0"/>
    <x v="0"/>
    <x v="0"/>
    <m/>
    <x v="1"/>
    <m/>
    <n v="1"/>
    <x v="0"/>
    <x v="4"/>
    <m/>
    <x v="0"/>
    <x v="0"/>
    <x v="0"/>
  </r>
  <r>
    <x v="653"/>
    <x v="15"/>
    <x v="0"/>
    <x v="0"/>
    <x v="0"/>
    <m/>
    <x v="1"/>
    <m/>
    <n v="1"/>
    <x v="0"/>
    <x v="4"/>
    <m/>
    <x v="0"/>
    <x v="0"/>
    <x v="0"/>
  </r>
  <r>
    <x v="654"/>
    <x v="14"/>
    <x v="1"/>
    <x v="0"/>
    <x v="0"/>
    <m/>
    <x v="1"/>
    <m/>
    <n v="1"/>
    <x v="0"/>
    <x v="4"/>
    <m/>
    <x v="0"/>
    <x v="0"/>
    <x v="0"/>
  </r>
  <r>
    <x v="655"/>
    <x v="14"/>
    <x v="1"/>
    <x v="0"/>
    <x v="0"/>
    <m/>
    <x v="1"/>
    <m/>
    <n v="1"/>
    <x v="0"/>
    <x v="4"/>
    <m/>
    <x v="0"/>
    <x v="0"/>
    <x v="0"/>
  </r>
  <r>
    <x v="656"/>
    <x v="14"/>
    <x v="1"/>
    <x v="0"/>
    <x v="0"/>
    <m/>
    <x v="1"/>
    <m/>
    <n v="1"/>
    <x v="0"/>
    <x v="4"/>
    <m/>
    <x v="0"/>
    <x v="0"/>
    <x v="0"/>
  </r>
  <r>
    <x v="657"/>
    <x v="14"/>
    <x v="1"/>
    <x v="0"/>
    <x v="0"/>
    <m/>
    <x v="1"/>
    <m/>
    <n v="1"/>
    <x v="0"/>
    <x v="4"/>
    <m/>
    <x v="0"/>
    <x v="0"/>
    <x v="0"/>
  </r>
  <r>
    <x v="658"/>
    <x v="14"/>
    <x v="1"/>
    <x v="0"/>
    <x v="0"/>
    <m/>
    <x v="1"/>
    <m/>
    <n v="1"/>
    <x v="0"/>
    <x v="4"/>
    <m/>
    <x v="0"/>
    <x v="0"/>
    <x v="0"/>
  </r>
  <r>
    <x v="659"/>
    <x v="14"/>
    <x v="1"/>
    <x v="0"/>
    <x v="0"/>
    <m/>
    <x v="1"/>
    <m/>
    <n v="1"/>
    <x v="0"/>
    <x v="4"/>
    <m/>
    <x v="0"/>
    <x v="0"/>
    <x v="0"/>
  </r>
  <r>
    <x v="660"/>
    <x v="14"/>
    <x v="1"/>
    <x v="0"/>
    <x v="0"/>
    <m/>
    <x v="1"/>
    <m/>
    <n v="1"/>
    <x v="0"/>
    <x v="4"/>
    <m/>
    <x v="0"/>
    <x v="0"/>
    <x v="0"/>
  </r>
  <r>
    <x v="661"/>
    <x v="14"/>
    <x v="1"/>
    <x v="0"/>
    <x v="0"/>
    <m/>
    <x v="1"/>
    <m/>
    <n v="1"/>
    <x v="0"/>
    <x v="4"/>
    <m/>
    <x v="0"/>
    <x v="0"/>
    <x v="0"/>
  </r>
  <r>
    <x v="662"/>
    <x v="14"/>
    <x v="1"/>
    <x v="0"/>
    <x v="0"/>
    <m/>
    <x v="1"/>
    <m/>
    <n v="1"/>
    <x v="0"/>
    <x v="4"/>
    <m/>
    <x v="0"/>
    <x v="0"/>
    <x v="0"/>
  </r>
  <r>
    <x v="663"/>
    <x v="14"/>
    <x v="1"/>
    <x v="0"/>
    <x v="0"/>
    <m/>
    <x v="1"/>
    <m/>
    <n v="1"/>
    <x v="0"/>
    <x v="4"/>
    <m/>
    <x v="0"/>
    <x v="0"/>
    <x v="0"/>
  </r>
  <r>
    <x v="664"/>
    <x v="14"/>
    <x v="1"/>
    <x v="0"/>
    <x v="0"/>
    <m/>
    <x v="1"/>
    <m/>
    <n v="1"/>
    <x v="0"/>
    <x v="4"/>
    <m/>
    <x v="0"/>
    <x v="0"/>
    <x v="0"/>
  </r>
  <r>
    <x v="665"/>
    <x v="14"/>
    <x v="1"/>
    <x v="0"/>
    <x v="0"/>
    <m/>
    <x v="1"/>
    <m/>
    <n v="1"/>
    <x v="0"/>
    <x v="4"/>
    <m/>
    <x v="0"/>
    <x v="0"/>
    <x v="0"/>
  </r>
  <r>
    <x v="666"/>
    <x v="14"/>
    <x v="1"/>
    <x v="0"/>
    <x v="0"/>
    <m/>
    <x v="1"/>
    <m/>
    <n v="1"/>
    <x v="0"/>
    <x v="4"/>
    <m/>
    <x v="0"/>
    <x v="0"/>
    <x v="0"/>
  </r>
  <r>
    <x v="667"/>
    <x v="14"/>
    <x v="1"/>
    <x v="0"/>
    <x v="0"/>
    <m/>
    <x v="1"/>
    <m/>
    <n v="1"/>
    <x v="0"/>
    <x v="4"/>
    <m/>
    <x v="0"/>
    <x v="0"/>
    <x v="0"/>
  </r>
  <r>
    <x v="668"/>
    <x v="14"/>
    <x v="1"/>
    <x v="0"/>
    <x v="0"/>
    <m/>
    <x v="1"/>
    <m/>
    <n v="1"/>
    <x v="0"/>
    <x v="4"/>
    <m/>
    <x v="0"/>
    <x v="0"/>
    <x v="0"/>
  </r>
  <r>
    <x v="669"/>
    <x v="14"/>
    <x v="1"/>
    <x v="0"/>
    <x v="0"/>
    <m/>
    <x v="1"/>
    <m/>
    <n v="1"/>
    <x v="0"/>
    <x v="4"/>
    <m/>
    <x v="0"/>
    <x v="0"/>
    <x v="0"/>
  </r>
  <r>
    <x v="670"/>
    <x v="14"/>
    <x v="1"/>
    <x v="0"/>
    <x v="0"/>
    <m/>
    <x v="1"/>
    <m/>
    <n v="1"/>
    <x v="0"/>
    <x v="4"/>
    <m/>
    <x v="0"/>
    <x v="0"/>
    <x v="0"/>
  </r>
  <r>
    <x v="671"/>
    <x v="14"/>
    <x v="1"/>
    <x v="0"/>
    <x v="0"/>
    <m/>
    <x v="1"/>
    <m/>
    <n v="1"/>
    <x v="0"/>
    <x v="4"/>
    <m/>
    <x v="0"/>
    <x v="0"/>
    <x v="0"/>
  </r>
  <r>
    <x v="672"/>
    <x v="14"/>
    <x v="1"/>
    <x v="0"/>
    <x v="0"/>
    <m/>
    <x v="1"/>
    <m/>
    <n v="1"/>
    <x v="0"/>
    <x v="4"/>
    <m/>
    <x v="0"/>
    <x v="0"/>
    <x v="0"/>
  </r>
  <r>
    <x v="673"/>
    <x v="14"/>
    <x v="1"/>
    <x v="0"/>
    <x v="0"/>
    <m/>
    <x v="1"/>
    <m/>
    <n v="1"/>
    <x v="0"/>
    <x v="4"/>
    <m/>
    <x v="0"/>
    <x v="0"/>
    <x v="0"/>
  </r>
  <r>
    <x v="674"/>
    <x v="14"/>
    <x v="1"/>
    <x v="0"/>
    <x v="0"/>
    <m/>
    <x v="1"/>
    <m/>
    <n v="1"/>
    <x v="0"/>
    <x v="4"/>
    <m/>
    <x v="0"/>
    <x v="0"/>
    <x v="0"/>
  </r>
  <r>
    <x v="675"/>
    <x v="14"/>
    <x v="1"/>
    <x v="0"/>
    <x v="0"/>
    <m/>
    <x v="1"/>
    <m/>
    <n v="1"/>
    <x v="0"/>
    <x v="4"/>
    <m/>
    <x v="0"/>
    <x v="0"/>
    <x v="0"/>
  </r>
  <r>
    <x v="676"/>
    <x v="14"/>
    <x v="1"/>
    <x v="0"/>
    <x v="0"/>
    <m/>
    <x v="1"/>
    <m/>
    <n v="1"/>
    <x v="0"/>
    <x v="4"/>
    <m/>
    <x v="0"/>
    <x v="0"/>
    <x v="0"/>
  </r>
  <r>
    <x v="677"/>
    <x v="14"/>
    <x v="1"/>
    <x v="0"/>
    <x v="0"/>
    <m/>
    <x v="1"/>
    <m/>
    <n v="1"/>
    <x v="0"/>
    <x v="4"/>
    <m/>
    <x v="0"/>
    <x v="0"/>
    <x v="0"/>
  </r>
  <r>
    <x v="678"/>
    <x v="14"/>
    <x v="1"/>
    <x v="0"/>
    <x v="0"/>
    <m/>
    <x v="1"/>
    <m/>
    <n v="1"/>
    <x v="0"/>
    <x v="4"/>
    <m/>
    <x v="0"/>
    <x v="0"/>
    <x v="0"/>
  </r>
  <r>
    <x v="679"/>
    <x v="14"/>
    <x v="1"/>
    <x v="0"/>
    <x v="0"/>
    <m/>
    <x v="1"/>
    <m/>
    <n v="1"/>
    <x v="0"/>
    <x v="4"/>
    <m/>
    <x v="0"/>
    <x v="0"/>
    <x v="0"/>
  </r>
  <r>
    <x v="680"/>
    <x v="14"/>
    <x v="1"/>
    <x v="0"/>
    <x v="0"/>
    <m/>
    <x v="1"/>
    <m/>
    <n v="1"/>
    <x v="0"/>
    <x v="4"/>
    <m/>
    <x v="0"/>
    <x v="0"/>
    <x v="0"/>
  </r>
  <r>
    <x v="681"/>
    <x v="14"/>
    <x v="1"/>
    <x v="0"/>
    <x v="0"/>
    <m/>
    <x v="1"/>
    <m/>
    <n v="1"/>
    <x v="0"/>
    <x v="4"/>
    <m/>
    <x v="0"/>
    <x v="0"/>
    <x v="0"/>
  </r>
  <r>
    <x v="682"/>
    <x v="14"/>
    <x v="1"/>
    <x v="0"/>
    <x v="0"/>
    <m/>
    <x v="1"/>
    <m/>
    <n v="1"/>
    <x v="0"/>
    <x v="4"/>
    <m/>
    <x v="0"/>
    <x v="0"/>
    <x v="0"/>
  </r>
  <r>
    <x v="683"/>
    <x v="14"/>
    <x v="1"/>
    <x v="0"/>
    <x v="0"/>
    <m/>
    <x v="1"/>
    <m/>
    <n v="1"/>
    <x v="0"/>
    <x v="4"/>
    <m/>
    <x v="0"/>
    <x v="0"/>
    <x v="0"/>
  </r>
  <r>
    <x v="684"/>
    <x v="14"/>
    <x v="1"/>
    <x v="0"/>
    <x v="0"/>
    <m/>
    <x v="1"/>
    <m/>
    <n v="1"/>
    <x v="0"/>
    <x v="4"/>
    <m/>
    <x v="0"/>
    <x v="0"/>
    <x v="0"/>
  </r>
  <r>
    <x v="685"/>
    <x v="14"/>
    <x v="1"/>
    <x v="0"/>
    <x v="0"/>
    <m/>
    <x v="1"/>
    <m/>
    <n v="1"/>
    <x v="0"/>
    <x v="4"/>
    <m/>
    <x v="0"/>
    <x v="0"/>
    <x v="0"/>
  </r>
  <r>
    <x v="686"/>
    <x v="14"/>
    <x v="1"/>
    <x v="0"/>
    <x v="0"/>
    <m/>
    <x v="1"/>
    <m/>
    <n v="1"/>
    <x v="0"/>
    <x v="4"/>
    <m/>
    <x v="0"/>
    <x v="0"/>
    <x v="0"/>
  </r>
  <r>
    <x v="687"/>
    <x v="14"/>
    <x v="1"/>
    <x v="0"/>
    <x v="0"/>
    <m/>
    <x v="1"/>
    <m/>
    <n v="1"/>
    <x v="0"/>
    <x v="4"/>
    <m/>
    <x v="0"/>
    <x v="0"/>
    <x v="0"/>
  </r>
  <r>
    <x v="688"/>
    <x v="14"/>
    <x v="1"/>
    <x v="0"/>
    <x v="0"/>
    <m/>
    <x v="1"/>
    <m/>
    <n v="1"/>
    <x v="0"/>
    <x v="4"/>
    <m/>
    <x v="0"/>
    <x v="0"/>
    <x v="0"/>
  </r>
  <r>
    <x v="689"/>
    <x v="14"/>
    <x v="1"/>
    <x v="0"/>
    <x v="0"/>
    <m/>
    <x v="1"/>
    <m/>
    <n v="1"/>
    <x v="0"/>
    <x v="4"/>
    <m/>
    <x v="0"/>
    <x v="0"/>
    <x v="0"/>
  </r>
  <r>
    <x v="690"/>
    <x v="14"/>
    <x v="1"/>
    <x v="0"/>
    <x v="0"/>
    <m/>
    <x v="1"/>
    <m/>
    <n v="1"/>
    <x v="0"/>
    <x v="4"/>
    <m/>
    <x v="0"/>
    <x v="0"/>
    <x v="0"/>
  </r>
  <r>
    <x v="691"/>
    <x v="14"/>
    <x v="1"/>
    <x v="0"/>
    <x v="0"/>
    <m/>
    <x v="1"/>
    <m/>
    <n v="1"/>
    <x v="0"/>
    <x v="4"/>
    <m/>
    <x v="0"/>
    <x v="0"/>
    <x v="0"/>
  </r>
  <r>
    <x v="692"/>
    <x v="14"/>
    <x v="1"/>
    <x v="0"/>
    <x v="0"/>
    <m/>
    <x v="1"/>
    <m/>
    <n v="1"/>
    <x v="0"/>
    <x v="4"/>
    <m/>
    <x v="0"/>
    <x v="0"/>
    <x v="0"/>
  </r>
  <r>
    <x v="693"/>
    <x v="14"/>
    <x v="1"/>
    <x v="0"/>
    <x v="0"/>
    <m/>
    <x v="1"/>
    <m/>
    <n v="1"/>
    <x v="0"/>
    <x v="4"/>
    <m/>
    <x v="0"/>
    <x v="0"/>
    <x v="0"/>
  </r>
  <r>
    <x v="694"/>
    <x v="14"/>
    <x v="1"/>
    <x v="0"/>
    <x v="0"/>
    <m/>
    <x v="1"/>
    <m/>
    <n v="1"/>
    <x v="0"/>
    <x v="4"/>
    <m/>
    <x v="0"/>
    <x v="0"/>
    <x v="0"/>
  </r>
  <r>
    <x v="695"/>
    <x v="14"/>
    <x v="1"/>
    <x v="0"/>
    <x v="0"/>
    <m/>
    <x v="1"/>
    <m/>
    <n v="1"/>
    <x v="0"/>
    <x v="4"/>
    <m/>
    <x v="0"/>
    <x v="0"/>
    <x v="0"/>
  </r>
  <r>
    <x v="696"/>
    <x v="14"/>
    <x v="1"/>
    <x v="0"/>
    <x v="0"/>
    <m/>
    <x v="1"/>
    <m/>
    <n v="1"/>
    <x v="0"/>
    <x v="4"/>
    <m/>
    <x v="0"/>
    <x v="0"/>
    <x v="0"/>
  </r>
  <r>
    <x v="697"/>
    <x v="14"/>
    <x v="1"/>
    <x v="0"/>
    <x v="0"/>
    <m/>
    <x v="1"/>
    <m/>
    <n v="1"/>
    <x v="0"/>
    <x v="4"/>
    <m/>
    <x v="0"/>
    <x v="0"/>
    <x v="0"/>
  </r>
  <r>
    <x v="698"/>
    <x v="14"/>
    <x v="1"/>
    <x v="0"/>
    <x v="0"/>
    <m/>
    <x v="1"/>
    <m/>
    <n v="1"/>
    <x v="0"/>
    <x v="4"/>
    <m/>
    <x v="0"/>
    <x v="0"/>
    <x v="0"/>
  </r>
  <r>
    <x v="699"/>
    <x v="14"/>
    <x v="1"/>
    <x v="0"/>
    <x v="0"/>
    <m/>
    <x v="1"/>
    <m/>
    <n v="1"/>
    <x v="0"/>
    <x v="4"/>
    <m/>
    <x v="0"/>
    <x v="0"/>
    <x v="0"/>
  </r>
  <r>
    <x v="700"/>
    <x v="14"/>
    <x v="1"/>
    <x v="0"/>
    <x v="0"/>
    <m/>
    <x v="1"/>
    <m/>
    <n v="1"/>
    <x v="0"/>
    <x v="4"/>
    <m/>
    <x v="0"/>
    <x v="0"/>
    <x v="0"/>
  </r>
  <r>
    <x v="701"/>
    <x v="14"/>
    <x v="1"/>
    <x v="0"/>
    <x v="0"/>
    <m/>
    <x v="1"/>
    <m/>
    <n v="1"/>
    <x v="0"/>
    <x v="4"/>
    <m/>
    <x v="0"/>
    <x v="0"/>
    <x v="0"/>
  </r>
  <r>
    <x v="702"/>
    <x v="14"/>
    <x v="1"/>
    <x v="0"/>
    <x v="0"/>
    <m/>
    <x v="1"/>
    <m/>
    <n v="1"/>
    <x v="0"/>
    <x v="4"/>
    <m/>
    <x v="0"/>
    <x v="0"/>
    <x v="0"/>
  </r>
  <r>
    <x v="703"/>
    <x v="14"/>
    <x v="1"/>
    <x v="0"/>
    <x v="0"/>
    <m/>
    <x v="1"/>
    <m/>
    <n v="1"/>
    <x v="0"/>
    <x v="4"/>
    <m/>
    <x v="0"/>
    <x v="0"/>
    <x v="0"/>
  </r>
  <r>
    <x v="704"/>
    <x v="14"/>
    <x v="1"/>
    <x v="0"/>
    <x v="0"/>
    <m/>
    <x v="1"/>
    <m/>
    <n v="1"/>
    <x v="0"/>
    <x v="4"/>
    <m/>
    <x v="0"/>
    <x v="0"/>
    <x v="0"/>
  </r>
  <r>
    <x v="705"/>
    <x v="14"/>
    <x v="1"/>
    <x v="0"/>
    <x v="0"/>
    <m/>
    <x v="1"/>
    <m/>
    <n v="1"/>
    <x v="0"/>
    <x v="4"/>
    <m/>
    <x v="0"/>
    <x v="0"/>
    <x v="0"/>
  </r>
  <r>
    <x v="706"/>
    <x v="14"/>
    <x v="1"/>
    <x v="0"/>
    <x v="0"/>
    <m/>
    <x v="1"/>
    <m/>
    <n v="1"/>
    <x v="0"/>
    <x v="4"/>
    <m/>
    <x v="0"/>
    <x v="0"/>
    <x v="0"/>
  </r>
  <r>
    <x v="707"/>
    <x v="14"/>
    <x v="1"/>
    <x v="0"/>
    <x v="0"/>
    <m/>
    <x v="1"/>
    <m/>
    <n v="1"/>
    <x v="0"/>
    <x v="4"/>
    <m/>
    <x v="0"/>
    <x v="0"/>
    <x v="0"/>
  </r>
  <r>
    <x v="708"/>
    <x v="14"/>
    <x v="1"/>
    <x v="0"/>
    <x v="0"/>
    <m/>
    <x v="1"/>
    <m/>
    <n v="1"/>
    <x v="0"/>
    <x v="4"/>
    <m/>
    <x v="0"/>
    <x v="0"/>
    <x v="0"/>
  </r>
  <r>
    <x v="709"/>
    <x v="14"/>
    <x v="1"/>
    <x v="0"/>
    <x v="0"/>
    <m/>
    <x v="1"/>
    <m/>
    <n v="1"/>
    <x v="0"/>
    <x v="4"/>
    <m/>
    <x v="0"/>
    <x v="0"/>
    <x v="0"/>
  </r>
  <r>
    <x v="710"/>
    <x v="14"/>
    <x v="1"/>
    <x v="0"/>
    <x v="0"/>
    <m/>
    <x v="1"/>
    <m/>
    <n v="1"/>
    <x v="0"/>
    <x v="4"/>
    <m/>
    <x v="0"/>
    <x v="0"/>
    <x v="0"/>
  </r>
  <r>
    <x v="711"/>
    <x v="14"/>
    <x v="1"/>
    <x v="0"/>
    <x v="0"/>
    <m/>
    <x v="1"/>
    <m/>
    <n v="1"/>
    <x v="0"/>
    <x v="4"/>
    <m/>
    <x v="0"/>
    <x v="0"/>
    <x v="0"/>
  </r>
  <r>
    <x v="712"/>
    <x v="14"/>
    <x v="1"/>
    <x v="0"/>
    <x v="0"/>
    <m/>
    <x v="1"/>
    <m/>
    <n v="1"/>
    <x v="0"/>
    <x v="4"/>
    <m/>
    <x v="0"/>
    <x v="0"/>
    <x v="0"/>
  </r>
  <r>
    <x v="713"/>
    <x v="14"/>
    <x v="1"/>
    <x v="0"/>
    <x v="0"/>
    <m/>
    <x v="1"/>
    <m/>
    <n v="1"/>
    <x v="0"/>
    <x v="4"/>
    <m/>
    <x v="0"/>
    <x v="0"/>
    <x v="0"/>
  </r>
  <r>
    <x v="714"/>
    <x v="14"/>
    <x v="1"/>
    <x v="0"/>
    <x v="0"/>
    <m/>
    <x v="1"/>
    <m/>
    <n v="1"/>
    <x v="0"/>
    <x v="4"/>
    <m/>
    <x v="0"/>
    <x v="0"/>
    <x v="0"/>
  </r>
  <r>
    <x v="715"/>
    <x v="14"/>
    <x v="1"/>
    <x v="0"/>
    <x v="0"/>
    <m/>
    <x v="1"/>
    <m/>
    <n v="1"/>
    <x v="0"/>
    <x v="4"/>
    <m/>
    <x v="0"/>
    <x v="0"/>
    <x v="0"/>
  </r>
  <r>
    <x v="716"/>
    <x v="14"/>
    <x v="1"/>
    <x v="0"/>
    <x v="0"/>
    <m/>
    <x v="1"/>
    <m/>
    <n v="1"/>
    <x v="0"/>
    <x v="4"/>
    <m/>
    <x v="0"/>
    <x v="0"/>
    <x v="0"/>
  </r>
  <r>
    <x v="717"/>
    <x v="14"/>
    <x v="1"/>
    <x v="0"/>
    <x v="0"/>
    <m/>
    <x v="1"/>
    <m/>
    <n v="1"/>
    <x v="0"/>
    <x v="4"/>
    <m/>
    <x v="0"/>
    <x v="0"/>
    <x v="0"/>
  </r>
  <r>
    <x v="718"/>
    <x v="14"/>
    <x v="1"/>
    <x v="0"/>
    <x v="0"/>
    <m/>
    <x v="1"/>
    <m/>
    <n v="1"/>
    <x v="0"/>
    <x v="4"/>
    <m/>
    <x v="0"/>
    <x v="0"/>
    <x v="0"/>
  </r>
  <r>
    <x v="719"/>
    <x v="14"/>
    <x v="1"/>
    <x v="0"/>
    <x v="0"/>
    <m/>
    <x v="1"/>
    <m/>
    <n v="1"/>
    <x v="0"/>
    <x v="4"/>
    <m/>
    <x v="0"/>
    <x v="0"/>
    <x v="0"/>
  </r>
  <r>
    <x v="720"/>
    <x v="14"/>
    <x v="1"/>
    <x v="0"/>
    <x v="0"/>
    <m/>
    <x v="1"/>
    <m/>
    <n v="1"/>
    <x v="0"/>
    <x v="4"/>
    <m/>
    <x v="0"/>
    <x v="0"/>
    <x v="0"/>
  </r>
  <r>
    <x v="721"/>
    <x v="14"/>
    <x v="1"/>
    <x v="0"/>
    <x v="0"/>
    <m/>
    <x v="1"/>
    <m/>
    <n v="1"/>
    <x v="0"/>
    <x v="4"/>
    <m/>
    <x v="0"/>
    <x v="0"/>
    <x v="0"/>
  </r>
  <r>
    <x v="722"/>
    <x v="14"/>
    <x v="1"/>
    <x v="0"/>
    <x v="0"/>
    <m/>
    <x v="1"/>
    <m/>
    <n v="1"/>
    <x v="0"/>
    <x v="4"/>
    <m/>
    <x v="0"/>
    <x v="0"/>
    <x v="0"/>
  </r>
  <r>
    <x v="723"/>
    <x v="14"/>
    <x v="1"/>
    <x v="0"/>
    <x v="0"/>
    <m/>
    <x v="1"/>
    <m/>
    <n v="1"/>
    <x v="0"/>
    <x v="4"/>
    <m/>
    <x v="0"/>
    <x v="0"/>
    <x v="0"/>
  </r>
  <r>
    <x v="724"/>
    <x v="14"/>
    <x v="1"/>
    <x v="0"/>
    <x v="0"/>
    <m/>
    <x v="1"/>
    <m/>
    <n v="1"/>
    <x v="0"/>
    <x v="4"/>
    <m/>
    <x v="0"/>
    <x v="0"/>
    <x v="0"/>
  </r>
  <r>
    <x v="725"/>
    <x v="14"/>
    <x v="1"/>
    <x v="0"/>
    <x v="0"/>
    <m/>
    <x v="1"/>
    <m/>
    <n v="1"/>
    <x v="0"/>
    <x v="4"/>
    <m/>
    <x v="0"/>
    <x v="0"/>
    <x v="0"/>
  </r>
  <r>
    <x v="726"/>
    <x v="14"/>
    <x v="1"/>
    <x v="0"/>
    <x v="0"/>
    <m/>
    <x v="1"/>
    <m/>
    <n v="1"/>
    <x v="0"/>
    <x v="4"/>
    <m/>
    <x v="0"/>
    <x v="0"/>
    <x v="0"/>
  </r>
  <r>
    <x v="727"/>
    <x v="14"/>
    <x v="1"/>
    <x v="0"/>
    <x v="0"/>
    <m/>
    <x v="1"/>
    <m/>
    <n v="1"/>
    <x v="0"/>
    <x v="4"/>
    <m/>
    <x v="0"/>
    <x v="0"/>
    <x v="0"/>
  </r>
  <r>
    <x v="728"/>
    <x v="14"/>
    <x v="1"/>
    <x v="0"/>
    <x v="0"/>
    <m/>
    <x v="1"/>
    <m/>
    <n v="1"/>
    <x v="0"/>
    <x v="4"/>
    <m/>
    <x v="0"/>
    <x v="0"/>
    <x v="0"/>
  </r>
  <r>
    <x v="729"/>
    <x v="14"/>
    <x v="1"/>
    <x v="0"/>
    <x v="0"/>
    <m/>
    <x v="1"/>
    <m/>
    <n v="1"/>
    <x v="0"/>
    <x v="4"/>
    <m/>
    <x v="0"/>
    <x v="0"/>
    <x v="0"/>
  </r>
  <r>
    <x v="730"/>
    <x v="15"/>
    <x v="1"/>
    <x v="0"/>
    <x v="0"/>
    <m/>
    <x v="1"/>
    <m/>
    <n v="1"/>
    <x v="0"/>
    <x v="4"/>
    <m/>
    <x v="0"/>
    <x v="0"/>
    <x v="0"/>
  </r>
  <r>
    <x v="731"/>
    <x v="15"/>
    <x v="1"/>
    <x v="0"/>
    <x v="0"/>
    <m/>
    <x v="1"/>
    <m/>
    <n v="1"/>
    <x v="0"/>
    <x v="4"/>
    <m/>
    <x v="0"/>
    <x v="0"/>
    <x v="0"/>
  </r>
  <r>
    <x v="732"/>
    <x v="15"/>
    <x v="1"/>
    <x v="0"/>
    <x v="0"/>
    <m/>
    <x v="1"/>
    <m/>
    <n v="1"/>
    <x v="0"/>
    <x v="4"/>
    <m/>
    <x v="0"/>
    <x v="0"/>
    <x v="0"/>
  </r>
  <r>
    <x v="733"/>
    <x v="15"/>
    <x v="1"/>
    <x v="0"/>
    <x v="0"/>
    <m/>
    <x v="1"/>
    <m/>
    <n v="1"/>
    <x v="0"/>
    <x v="4"/>
    <m/>
    <x v="0"/>
    <x v="0"/>
    <x v="0"/>
  </r>
  <r>
    <x v="734"/>
    <x v="15"/>
    <x v="1"/>
    <x v="0"/>
    <x v="0"/>
    <m/>
    <x v="1"/>
    <m/>
    <n v="1"/>
    <x v="0"/>
    <x v="4"/>
    <m/>
    <x v="0"/>
    <x v="0"/>
    <x v="0"/>
  </r>
  <r>
    <x v="735"/>
    <x v="15"/>
    <x v="1"/>
    <x v="0"/>
    <x v="0"/>
    <m/>
    <x v="1"/>
    <m/>
    <n v="1"/>
    <x v="0"/>
    <x v="4"/>
    <m/>
    <x v="0"/>
    <x v="0"/>
    <x v="0"/>
  </r>
  <r>
    <x v="736"/>
    <x v="15"/>
    <x v="1"/>
    <x v="0"/>
    <x v="0"/>
    <m/>
    <x v="1"/>
    <m/>
    <n v="1"/>
    <x v="0"/>
    <x v="4"/>
    <m/>
    <x v="0"/>
    <x v="0"/>
    <x v="0"/>
  </r>
  <r>
    <x v="737"/>
    <x v="15"/>
    <x v="1"/>
    <x v="0"/>
    <x v="0"/>
    <m/>
    <x v="1"/>
    <m/>
    <n v="1"/>
    <x v="0"/>
    <x v="4"/>
    <m/>
    <x v="0"/>
    <x v="0"/>
    <x v="0"/>
  </r>
  <r>
    <x v="738"/>
    <x v="15"/>
    <x v="1"/>
    <x v="0"/>
    <x v="0"/>
    <m/>
    <x v="1"/>
    <m/>
    <n v="1"/>
    <x v="0"/>
    <x v="4"/>
    <m/>
    <x v="0"/>
    <x v="0"/>
    <x v="0"/>
  </r>
  <r>
    <x v="739"/>
    <x v="15"/>
    <x v="1"/>
    <x v="0"/>
    <x v="0"/>
    <m/>
    <x v="1"/>
    <m/>
    <n v="1"/>
    <x v="0"/>
    <x v="4"/>
    <m/>
    <x v="0"/>
    <x v="0"/>
    <x v="0"/>
  </r>
  <r>
    <x v="740"/>
    <x v="15"/>
    <x v="1"/>
    <x v="0"/>
    <x v="0"/>
    <m/>
    <x v="1"/>
    <m/>
    <n v="1"/>
    <x v="0"/>
    <x v="4"/>
    <m/>
    <x v="0"/>
    <x v="0"/>
    <x v="0"/>
  </r>
  <r>
    <x v="741"/>
    <x v="15"/>
    <x v="1"/>
    <x v="0"/>
    <x v="0"/>
    <m/>
    <x v="1"/>
    <m/>
    <n v="1"/>
    <x v="0"/>
    <x v="4"/>
    <m/>
    <x v="0"/>
    <x v="0"/>
    <x v="0"/>
  </r>
  <r>
    <x v="742"/>
    <x v="15"/>
    <x v="1"/>
    <x v="0"/>
    <x v="0"/>
    <m/>
    <x v="1"/>
    <m/>
    <n v="1"/>
    <x v="0"/>
    <x v="4"/>
    <m/>
    <x v="0"/>
    <x v="0"/>
    <x v="0"/>
  </r>
  <r>
    <x v="743"/>
    <x v="15"/>
    <x v="1"/>
    <x v="0"/>
    <x v="0"/>
    <m/>
    <x v="1"/>
    <m/>
    <n v="1"/>
    <x v="0"/>
    <x v="4"/>
    <m/>
    <x v="0"/>
    <x v="0"/>
    <x v="0"/>
  </r>
  <r>
    <x v="744"/>
    <x v="15"/>
    <x v="1"/>
    <x v="0"/>
    <x v="0"/>
    <m/>
    <x v="1"/>
    <m/>
    <n v="1"/>
    <x v="0"/>
    <x v="4"/>
    <m/>
    <x v="0"/>
    <x v="0"/>
    <x v="0"/>
  </r>
  <r>
    <x v="745"/>
    <x v="15"/>
    <x v="1"/>
    <x v="0"/>
    <x v="0"/>
    <m/>
    <x v="1"/>
    <m/>
    <n v="1"/>
    <x v="0"/>
    <x v="4"/>
    <m/>
    <x v="0"/>
    <x v="0"/>
    <x v="0"/>
  </r>
  <r>
    <x v="746"/>
    <x v="15"/>
    <x v="1"/>
    <x v="0"/>
    <x v="0"/>
    <m/>
    <x v="1"/>
    <m/>
    <n v="1"/>
    <x v="0"/>
    <x v="4"/>
    <m/>
    <x v="0"/>
    <x v="0"/>
    <x v="0"/>
  </r>
  <r>
    <x v="747"/>
    <x v="15"/>
    <x v="1"/>
    <x v="0"/>
    <x v="0"/>
    <m/>
    <x v="1"/>
    <m/>
    <n v="1"/>
    <x v="0"/>
    <x v="4"/>
    <m/>
    <x v="0"/>
    <x v="0"/>
    <x v="0"/>
  </r>
  <r>
    <x v="748"/>
    <x v="15"/>
    <x v="1"/>
    <x v="0"/>
    <x v="0"/>
    <m/>
    <x v="1"/>
    <m/>
    <n v="1"/>
    <x v="0"/>
    <x v="4"/>
    <m/>
    <x v="0"/>
    <x v="0"/>
    <x v="0"/>
  </r>
  <r>
    <x v="749"/>
    <x v="15"/>
    <x v="1"/>
    <x v="0"/>
    <x v="0"/>
    <m/>
    <x v="1"/>
    <m/>
    <n v="1"/>
    <x v="0"/>
    <x v="4"/>
    <m/>
    <x v="0"/>
    <x v="0"/>
    <x v="0"/>
  </r>
  <r>
    <x v="750"/>
    <x v="15"/>
    <x v="1"/>
    <x v="0"/>
    <x v="0"/>
    <m/>
    <x v="1"/>
    <m/>
    <n v="1"/>
    <x v="0"/>
    <x v="4"/>
    <m/>
    <x v="0"/>
    <x v="0"/>
    <x v="0"/>
  </r>
  <r>
    <x v="751"/>
    <x v="15"/>
    <x v="1"/>
    <x v="0"/>
    <x v="0"/>
    <m/>
    <x v="1"/>
    <m/>
    <n v="1"/>
    <x v="0"/>
    <x v="4"/>
    <m/>
    <x v="0"/>
    <x v="0"/>
    <x v="0"/>
  </r>
  <r>
    <x v="752"/>
    <x v="15"/>
    <x v="1"/>
    <x v="0"/>
    <x v="0"/>
    <m/>
    <x v="1"/>
    <m/>
    <n v="1"/>
    <x v="0"/>
    <x v="4"/>
    <m/>
    <x v="0"/>
    <x v="0"/>
    <x v="0"/>
  </r>
  <r>
    <x v="753"/>
    <x v="15"/>
    <x v="1"/>
    <x v="0"/>
    <x v="0"/>
    <m/>
    <x v="1"/>
    <m/>
    <n v="1"/>
    <x v="0"/>
    <x v="4"/>
    <m/>
    <x v="0"/>
    <x v="0"/>
    <x v="0"/>
  </r>
  <r>
    <x v="754"/>
    <x v="15"/>
    <x v="1"/>
    <x v="0"/>
    <x v="0"/>
    <m/>
    <x v="1"/>
    <m/>
    <n v="1"/>
    <x v="0"/>
    <x v="4"/>
    <m/>
    <x v="0"/>
    <x v="0"/>
    <x v="0"/>
  </r>
  <r>
    <x v="755"/>
    <x v="15"/>
    <x v="1"/>
    <x v="0"/>
    <x v="0"/>
    <m/>
    <x v="1"/>
    <m/>
    <n v="1"/>
    <x v="0"/>
    <x v="4"/>
    <m/>
    <x v="0"/>
    <x v="0"/>
    <x v="0"/>
  </r>
  <r>
    <x v="756"/>
    <x v="15"/>
    <x v="1"/>
    <x v="0"/>
    <x v="0"/>
    <m/>
    <x v="1"/>
    <m/>
    <n v="1"/>
    <x v="0"/>
    <x v="4"/>
    <m/>
    <x v="0"/>
    <x v="0"/>
    <x v="0"/>
  </r>
  <r>
    <x v="757"/>
    <x v="15"/>
    <x v="1"/>
    <x v="0"/>
    <x v="0"/>
    <m/>
    <x v="1"/>
    <m/>
    <n v="1"/>
    <x v="0"/>
    <x v="4"/>
    <m/>
    <x v="0"/>
    <x v="0"/>
    <x v="0"/>
  </r>
  <r>
    <x v="758"/>
    <x v="15"/>
    <x v="1"/>
    <x v="0"/>
    <x v="0"/>
    <m/>
    <x v="1"/>
    <m/>
    <n v="1"/>
    <x v="0"/>
    <x v="4"/>
    <m/>
    <x v="0"/>
    <x v="0"/>
    <x v="0"/>
  </r>
  <r>
    <x v="759"/>
    <x v="15"/>
    <x v="1"/>
    <x v="0"/>
    <x v="0"/>
    <m/>
    <x v="1"/>
    <m/>
    <n v="1"/>
    <x v="0"/>
    <x v="4"/>
    <m/>
    <x v="0"/>
    <x v="0"/>
    <x v="0"/>
  </r>
  <r>
    <x v="760"/>
    <x v="15"/>
    <x v="1"/>
    <x v="0"/>
    <x v="0"/>
    <m/>
    <x v="1"/>
    <m/>
    <n v="1"/>
    <x v="0"/>
    <x v="4"/>
    <m/>
    <x v="0"/>
    <x v="0"/>
    <x v="0"/>
  </r>
  <r>
    <x v="761"/>
    <x v="15"/>
    <x v="1"/>
    <x v="0"/>
    <x v="0"/>
    <m/>
    <x v="1"/>
    <m/>
    <n v="1"/>
    <x v="0"/>
    <x v="4"/>
    <m/>
    <x v="0"/>
    <x v="0"/>
    <x v="0"/>
  </r>
  <r>
    <x v="762"/>
    <x v="15"/>
    <x v="1"/>
    <x v="0"/>
    <x v="0"/>
    <m/>
    <x v="1"/>
    <m/>
    <n v="1"/>
    <x v="0"/>
    <x v="4"/>
    <m/>
    <x v="0"/>
    <x v="0"/>
    <x v="0"/>
  </r>
  <r>
    <x v="763"/>
    <x v="15"/>
    <x v="1"/>
    <x v="0"/>
    <x v="0"/>
    <m/>
    <x v="1"/>
    <m/>
    <n v="1"/>
    <x v="0"/>
    <x v="4"/>
    <m/>
    <x v="0"/>
    <x v="0"/>
    <x v="0"/>
  </r>
  <r>
    <x v="764"/>
    <x v="15"/>
    <x v="1"/>
    <x v="0"/>
    <x v="0"/>
    <m/>
    <x v="1"/>
    <m/>
    <n v="1"/>
    <x v="0"/>
    <x v="4"/>
    <m/>
    <x v="0"/>
    <x v="0"/>
    <x v="0"/>
  </r>
  <r>
    <x v="765"/>
    <x v="15"/>
    <x v="1"/>
    <x v="0"/>
    <x v="0"/>
    <m/>
    <x v="1"/>
    <m/>
    <n v="1"/>
    <x v="0"/>
    <x v="4"/>
    <m/>
    <x v="0"/>
    <x v="0"/>
    <x v="0"/>
  </r>
  <r>
    <x v="766"/>
    <x v="15"/>
    <x v="1"/>
    <x v="0"/>
    <x v="0"/>
    <m/>
    <x v="1"/>
    <m/>
    <n v="1"/>
    <x v="0"/>
    <x v="4"/>
    <m/>
    <x v="0"/>
    <x v="0"/>
    <x v="0"/>
  </r>
  <r>
    <x v="767"/>
    <x v="15"/>
    <x v="1"/>
    <x v="0"/>
    <x v="0"/>
    <m/>
    <x v="1"/>
    <m/>
    <n v="1"/>
    <x v="0"/>
    <x v="4"/>
    <m/>
    <x v="0"/>
    <x v="0"/>
    <x v="0"/>
  </r>
  <r>
    <x v="768"/>
    <x v="15"/>
    <x v="1"/>
    <x v="0"/>
    <x v="0"/>
    <m/>
    <x v="1"/>
    <m/>
    <n v="1"/>
    <x v="0"/>
    <x v="4"/>
    <m/>
    <x v="0"/>
    <x v="0"/>
    <x v="0"/>
  </r>
  <r>
    <x v="769"/>
    <x v="15"/>
    <x v="1"/>
    <x v="0"/>
    <x v="0"/>
    <m/>
    <x v="1"/>
    <m/>
    <n v="1"/>
    <x v="0"/>
    <x v="4"/>
    <m/>
    <x v="0"/>
    <x v="0"/>
    <x v="0"/>
  </r>
  <r>
    <x v="770"/>
    <x v="15"/>
    <x v="1"/>
    <x v="0"/>
    <x v="0"/>
    <m/>
    <x v="1"/>
    <m/>
    <n v="1"/>
    <x v="0"/>
    <x v="4"/>
    <m/>
    <x v="0"/>
    <x v="0"/>
    <x v="0"/>
  </r>
  <r>
    <x v="771"/>
    <x v="15"/>
    <x v="1"/>
    <x v="0"/>
    <x v="0"/>
    <m/>
    <x v="1"/>
    <m/>
    <n v="1"/>
    <x v="0"/>
    <x v="4"/>
    <m/>
    <x v="0"/>
    <x v="0"/>
    <x v="0"/>
  </r>
  <r>
    <x v="772"/>
    <x v="15"/>
    <x v="1"/>
    <x v="0"/>
    <x v="0"/>
    <m/>
    <x v="1"/>
    <m/>
    <n v="1"/>
    <x v="0"/>
    <x v="4"/>
    <m/>
    <x v="0"/>
    <x v="0"/>
    <x v="0"/>
  </r>
  <r>
    <x v="773"/>
    <x v="15"/>
    <x v="1"/>
    <x v="0"/>
    <x v="0"/>
    <m/>
    <x v="1"/>
    <m/>
    <n v="1"/>
    <x v="0"/>
    <x v="4"/>
    <m/>
    <x v="0"/>
    <x v="0"/>
    <x v="0"/>
  </r>
  <r>
    <x v="774"/>
    <x v="15"/>
    <x v="1"/>
    <x v="0"/>
    <x v="0"/>
    <m/>
    <x v="1"/>
    <m/>
    <n v="1"/>
    <x v="0"/>
    <x v="4"/>
    <m/>
    <x v="0"/>
    <x v="0"/>
    <x v="0"/>
  </r>
  <r>
    <x v="775"/>
    <x v="15"/>
    <x v="1"/>
    <x v="0"/>
    <x v="0"/>
    <m/>
    <x v="1"/>
    <m/>
    <n v="1"/>
    <x v="0"/>
    <x v="4"/>
    <m/>
    <x v="0"/>
    <x v="0"/>
    <x v="0"/>
  </r>
  <r>
    <x v="776"/>
    <x v="15"/>
    <x v="1"/>
    <x v="0"/>
    <x v="0"/>
    <m/>
    <x v="1"/>
    <m/>
    <n v="1"/>
    <x v="0"/>
    <x v="4"/>
    <m/>
    <x v="0"/>
    <x v="0"/>
    <x v="0"/>
  </r>
  <r>
    <x v="777"/>
    <x v="15"/>
    <x v="1"/>
    <x v="0"/>
    <x v="0"/>
    <m/>
    <x v="1"/>
    <m/>
    <n v="1"/>
    <x v="0"/>
    <x v="4"/>
    <m/>
    <x v="0"/>
    <x v="0"/>
    <x v="0"/>
  </r>
  <r>
    <x v="778"/>
    <x v="15"/>
    <x v="1"/>
    <x v="0"/>
    <x v="0"/>
    <m/>
    <x v="1"/>
    <m/>
    <n v="1"/>
    <x v="0"/>
    <x v="4"/>
    <m/>
    <x v="0"/>
    <x v="0"/>
    <x v="0"/>
  </r>
  <r>
    <x v="779"/>
    <x v="15"/>
    <x v="1"/>
    <x v="0"/>
    <x v="0"/>
    <m/>
    <x v="1"/>
    <m/>
    <n v="1"/>
    <x v="0"/>
    <x v="4"/>
    <m/>
    <x v="0"/>
    <x v="0"/>
    <x v="0"/>
  </r>
  <r>
    <x v="780"/>
    <x v="15"/>
    <x v="1"/>
    <x v="0"/>
    <x v="0"/>
    <m/>
    <x v="1"/>
    <m/>
    <n v="1"/>
    <x v="0"/>
    <x v="4"/>
    <m/>
    <x v="0"/>
    <x v="0"/>
    <x v="0"/>
  </r>
  <r>
    <x v="781"/>
    <x v="15"/>
    <x v="1"/>
    <x v="0"/>
    <x v="0"/>
    <m/>
    <x v="1"/>
    <m/>
    <n v="1"/>
    <x v="0"/>
    <x v="4"/>
    <m/>
    <x v="0"/>
    <x v="0"/>
    <x v="0"/>
  </r>
  <r>
    <x v="782"/>
    <x v="15"/>
    <x v="1"/>
    <x v="0"/>
    <x v="0"/>
    <m/>
    <x v="1"/>
    <m/>
    <n v="1"/>
    <x v="0"/>
    <x v="4"/>
    <m/>
    <x v="0"/>
    <x v="0"/>
    <x v="0"/>
  </r>
  <r>
    <x v="783"/>
    <x v="15"/>
    <x v="1"/>
    <x v="0"/>
    <x v="0"/>
    <m/>
    <x v="1"/>
    <m/>
    <n v="1"/>
    <x v="0"/>
    <x v="4"/>
    <m/>
    <x v="0"/>
    <x v="0"/>
    <x v="0"/>
  </r>
  <r>
    <x v="784"/>
    <x v="15"/>
    <x v="1"/>
    <x v="0"/>
    <x v="0"/>
    <m/>
    <x v="1"/>
    <m/>
    <n v="1"/>
    <x v="0"/>
    <x v="4"/>
    <m/>
    <x v="0"/>
    <x v="0"/>
    <x v="0"/>
  </r>
  <r>
    <x v="785"/>
    <x v="15"/>
    <x v="1"/>
    <x v="0"/>
    <x v="0"/>
    <m/>
    <x v="1"/>
    <m/>
    <n v="1"/>
    <x v="0"/>
    <x v="4"/>
    <m/>
    <x v="0"/>
    <x v="0"/>
    <x v="0"/>
  </r>
  <r>
    <x v="786"/>
    <x v="15"/>
    <x v="1"/>
    <x v="0"/>
    <x v="0"/>
    <m/>
    <x v="1"/>
    <m/>
    <n v="1"/>
    <x v="0"/>
    <x v="4"/>
    <m/>
    <x v="0"/>
    <x v="0"/>
    <x v="0"/>
  </r>
  <r>
    <x v="787"/>
    <x v="15"/>
    <x v="1"/>
    <x v="0"/>
    <x v="0"/>
    <m/>
    <x v="1"/>
    <m/>
    <n v="1"/>
    <x v="0"/>
    <x v="4"/>
    <m/>
    <x v="0"/>
    <x v="0"/>
    <x v="0"/>
  </r>
  <r>
    <x v="788"/>
    <x v="15"/>
    <x v="1"/>
    <x v="0"/>
    <x v="0"/>
    <m/>
    <x v="1"/>
    <m/>
    <n v="1"/>
    <x v="0"/>
    <x v="4"/>
    <m/>
    <x v="0"/>
    <x v="0"/>
    <x v="0"/>
  </r>
  <r>
    <x v="789"/>
    <x v="15"/>
    <x v="1"/>
    <x v="0"/>
    <x v="0"/>
    <m/>
    <x v="1"/>
    <m/>
    <n v="1"/>
    <x v="0"/>
    <x v="4"/>
    <m/>
    <x v="0"/>
    <x v="0"/>
    <x v="0"/>
  </r>
  <r>
    <x v="790"/>
    <x v="15"/>
    <x v="1"/>
    <x v="0"/>
    <x v="0"/>
    <m/>
    <x v="1"/>
    <m/>
    <n v="1"/>
    <x v="0"/>
    <x v="4"/>
    <m/>
    <x v="0"/>
    <x v="0"/>
    <x v="0"/>
  </r>
  <r>
    <x v="791"/>
    <x v="15"/>
    <x v="1"/>
    <x v="0"/>
    <x v="0"/>
    <m/>
    <x v="1"/>
    <m/>
    <n v="1"/>
    <x v="0"/>
    <x v="4"/>
    <m/>
    <x v="0"/>
    <x v="0"/>
    <x v="0"/>
  </r>
  <r>
    <x v="792"/>
    <x v="15"/>
    <x v="1"/>
    <x v="0"/>
    <x v="0"/>
    <m/>
    <x v="1"/>
    <m/>
    <n v="1"/>
    <x v="0"/>
    <x v="4"/>
    <m/>
    <x v="0"/>
    <x v="0"/>
    <x v="0"/>
  </r>
  <r>
    <x v="793"/>
    <x v="15"/>
    <x v="1"/>
    <x v="0"/>
    <x v="0"/>
    <m/>
    <x v="1"/>
    <m/>
    <n v="1"/>
    <x v="0"/>
    <x v="4"/>
    <m/>
    <x v="0"/>
    <x v="0"/>
    <x v="0"/>
  </r>
  <r>
    <x v="794"/>
    <x v="15"/>
    <x v="1"/>
    <x v="0"/>
    <x v="0"/>
    <m/>
    <x v="1"/>
    <m/>
    <n v="1"/>
    <x v="0"/>
    <x v="4"/>
    <m/>
    <x v="0"/>
    <x v="0"/>
    <x v="0"/>
  </r>
  <r>
    <x v="795"/>
    <x v="15"/>
    <x v="1"/>
    <x v="0"/>
    <x v="0"/>
    <m/>
    <x v="1"/>
    <m/>
    <n v="1"/>
    <x v="0"/>
    <x v="4"/>
    <m/>
    <x v="0"/>
    <x v="0"/>
    <x v="0"/>
  </r>
  <r>
    <x v="796"/>
    <x v="15"/>
    <x v="1"/>
    <x v="0"/>
    <x v="0"/>
    <m/>
    <x v="1"/>
    <m/>
    <n v="1"/>
    <x v="0"/>
    <x v="4"/>
    <m/>
    <x v="0"/>
    <x v="0"/>
    <x v="0"/>
  </r>
  <r>
    <x v="797"/>
    <x v="15"/>
    <x v="1"/>
    <x v="0"/>
    <x v="0"/>
    <m/>
    <x v="1"/>
    <m/>
    <n v="1"/>
    <x v="0"/>
    <x v="4"/>
    <m/>
    <x v="0"/>
    <x v="0"/>
    <x v="0"/>
  </r>
  <r>
    <x v="798"/>
    <x v="15"/>
    <x v="1"/>
    <x v="0"/>
    <x v="0"/>
    <m/>
    <x v="1"/>
    <m/>
    <n v="1"/>
    <x v="0"/>
    <x v="4"/>
    <m/>
    <x v="0"/>
    <x v="0"/>
    <x v="0"/>
  </r>
  <r>
    <x v="799"/>
    <x v="15"/>
    <x v="1"/>
    <x v="0"/>
    <x v="0"/>
    <m/>
    <x v="1"/>
    <m/>
    <n v="1"/>
    <x v="0"/>
    <x v="4"/>
    <m/>
    <x v="0"/>
    <x v="0"/>
    <x v="0"/>
  </r>
  <r>
    <x v="800"/>
    <x v="15"/>
    <x v="1"/>
    <x v="0"/>
    <x v="0"/>
    <m/>
    <x v="1"/>
    <m/>
    <n v="1"/>
    <x v="0"/>
    <x v="4"/>
    <m/>
    <x v="0"/>
    <x v="0"/>
    <x v="0"/>
  </r>
  <r>
    <x v="801"/>
    <x v="15"/>
    <x v="1"/>
    <x v="0"/>
    <x v="0"/>
    <m/>
    <x v="1"/>
    <m/>
    <n v="1"/>
    <x v="0"/>
    <x v="4"/>
    <m/>
    <x v="0"/>
    <x v="0"/>
    <x v="0"/>
  </r>
  <r>
    <x v="802"/>
    <x v="15"/>
    <x v="1"/>
    <x v="0"/>
    <x v="0"/>
    <m/>
    <x v="1"/>
    <m/>
    <n v="1"/>
    <x v="0"/>
    <x v="4"/>
    <m/>
    <x v="0"/>
    <x v="0"/>
    <x v="0"/>
  </r>
  <r>
    <x v="803"/>
    <x v="15"/>
    <x v="1"/>
    <x v="0"/>
    <x v="0"/>
    <m/>
    <x v="1"/>
    <m/>
    <n v="1"/>
    <x v="0"/>
    <x v="4"/>
    <m/>
    <x v="0"/>
    <x v="0"/>
    <x v="0"/>
  </r>
  <r>
    <x v="804"/>
    <x v="15"/>
    <x v="1"/>
    <x v="0"/>
    <x v="0"/>
    <m/>
    <x v="1"/>
    <m/>
    <n v="1"/>
    <x v="0"/>
    <x v="4"/>
    <m/>
    <x v="0"/>
    <x v="0"/>
    <x v="0"/>
  </r>
  <r>
    <x v="805"/>
    <x v="15"/>
    <x v="1"/>
    <x v="0"/>
    <x v="0"/>
    <m/>
    <x v="1"/>
    <m/>
    <n v="1"/>
    <x v="0"/>
    <x v="4"/>
    <m/>
    <x v="0"/>
    <x v="0"/>
    <x v="0"/>
  </r>
  <r>
    <x v="806"/>
    <x v="15"/>
    <x v="1"/>
    <x v="0"/>
    <x v="0"/>
    <m/>
    <x v="1"/>
    <m/>
    <n v="1"/>
    <x v="0"/>
    <x v="4"/>
    <m/>
    <x v="0"/>
    <x v="0"/>
    <x v="0"/>
  </r>
  <r>
    <x v="807"/>
    <x v="15"/>
    <x v="1"/>
    <x v="0"/>
    <x v="0"/>
    <m/>
    <x v="1"/>
    <m/>
    <n v="1"/>
    <x v="0"/>
    <x v="4"/>
    <m/>
    <x v="0"/>
    <x v="0"/>
    <x v="0"/>
  </r>
  <r>
    <x v="808"/>
    <x v="15"/>
    <x v="1"/>
    <x v="0"/>
    <x v="0"/>
    <m/>
    <x v="1"/>
    <m/>
    <n v="1"/>
    <x v="0"/>
    <x v="4"/>
    <m/>
    <x v="0"/>
    <x v="0"/>
    <x v="0"/>
  </r>
  <r>
    <x v="809"/>
    <x v="15"/>
    <x v="1"/>
    <x v="0"/>
    <x v="0"/>
    <m/>
    <x v="1"/>
    <m/>
    <n v="1"/>
    <x v="0"/>
    <x v="4"/>
    <m/>
    <x v="0"/>
    <x v="0"/>
    <x v="0"/>
  </r>
  <r>
    <x v="810"/>
    <x v="15"/>
    <x v="1"/>
    <x v="0"/>
    <x v="0"/>
    <m/>
    <x v="1"/>
    <m/>
    <n v="1"/>
    <x v="0"/>
    <x v="4"/>
    <m/>
    <x v="0"/>
    <x v="0"/>
    <x v="0"/>
  </r>
  <r>
    <x v="811"/>
    <x v="15"/>
    <x v="1"/>
    <x v="0"/>
    <x v="0"/>
    <m/>
    <x v="1"/>
    <m/>
    <n v="1"/>
    <x v="0"/>
    <x v="4"/>
    <m/>
    <x v="0"/>
    <x v="0"/>
    <x v="0"/>
  </r>
  <r>
    <x v="812"/>
    <x v="15"/>
    <x v="1"/>
    <x v="0"/>
    <x v="0"/>
    <m/>
    <x v="1"/>
    <m/>
    <n v="1"/>
    <x v="0"/>
    <x v="4"/>
    <m/>
    <x v="0"/>
    <x v="0"/>
    <x v="0"/>
  </r>
  <r>
    <x v="813"/>
    <x v="15"/>
    <x v="1"/>
    <x v="0"/>
    <x v="0"/>
    <m/>
    <x v="1"/>
    <m/>
    <n v="1"/>
    <x v="0"/>
    <x v="4"/>
    <m/>
    <x v="0"/>
    <x v="0"/>
    <x v="0"/>
  </r>
  <r>
    <x v="814"/>
    <x v="15"/>
    <x v="1"/>
    <x v="0"/>
    <x v="0"/>
    <m/>
    <x v="1"/>
    <m/>
    <n v="1"/>
    <x v="0"/>
    <x v="4"/>
    <m/>
    <x v="0"/>
    <x v="0"/>
    <x v="0"/>
  </r>
  <r>
    <x v="815"/>
    <x v="15"/>
    <x v="1"/>
    <x v="0"/>
    <x v="0"/>
    <m/>
    <x v="1"/>
    <m/>
    <n v="1"/>
    <x v="0"/>
    <x v="4"/>
    <m/>
    <x v="0"/>
    <x v="0"/>
    <x v="0"/>
  </r>
  <r>
    <x v="816"/>
    <x v="15"/>
    <x v="1"/>
    <x v="0"/>
    <x v="0"/>
    <m/>
    <x v="1"/>
    <m/>
    <n v="1"/>
    <x v="0"/>
    <x v="4"/>
    <m/>
    <x v="0"/>
    <x v="0"/>
    <x v="0"/>
  </r>
  <r>
    <x v="817"/>
    <x v="15"/>
    <x v="1"/>
    <x v="0"/>
    <x v="0"/>
    <m/>
    <x v="1"/>
    <m/>
    <n v="1"/>
    <x v="0"/>
    <x v="4"/>
    <m/>
    <x v="0"/>
    <x v="0"/>
    <x v="0"/>
  </r>
  <r>
    <x v="818"/>
    <x v="15"/>
    <x v="1"/>
    <x v="0"/>
    <x v="0"/>
    <m/>
    <x v="1"/>
    <m/>
    <n v="1"/>
    <x v="0"/>
    <x v="4"/>
    <m/>
    <x v="0"/>
    <x v="0"/>
    <x v="0"/>
  </r>
  <r>
    <x v="819"/>
    <x v="15"/>
    <x v="1"/>
    <x v="0"/>
    <x v="0"/>
    <m/>
    <x v="1"/>
    <m/>
    <n v="1"/>
    <x v="0"/>
    <x v="4"/>
    <m/>
    <x v="0"/>
    <x v="0"/>
    <x v="0"/>
  </r>
  <r>
    <x v="820"/>
    <x v="15"/>
    <x v="1"/>
    <x v="0"/>
    <x v="0"/>
    <m/>
    <x v="1"/>
    <m/>
    <n v="1"/>
    <x v="0"/>
    <x v="4"/>
    <m/>
    <x v="0"/>
    <x v="0"/>
    <x v="0"/>
  </r>
  <r>
    <x v="821"/>
    <x v="15"/>
    <x v="1"/>
    <x v="0"/>
    <x v="0"/>
    <m/>
    <x v="1"/>
    <m/>
    <n v="1"/>
    <x v="0"/>
    <x v="4"/>
    <m/>
    <x v="0"/>
    <x v="0"/>
    <x v="0"/>
  </r>
  <r>
    <x v="822"/>
    <x v="15"/>
    <x v="1"/>
    <x v="0"/>
    <x v="0"/>
    <m/>
    <x v="1"/>
    <m/>
    <n v="1"/>
    <x v="0"/>
    <x v="4"/>
    <m/>
    <x v="0"/>
    <x v="0"/>
    <x v="0"/>
  </r>
  <r>
    <x v="823"/>
    <x v="15"/>
    <x v="1"/>
    <x v="0"/>
    <x v="0"/>
    <m/>
    <x v="1"/>
    <m/>
    <n v="1"/>
    <x v="0"/>
    <x v="4"/>
    <m/>
    <x v="0"/>
    <x v="0"/>
    <x v="0"/>
  </r>
  <r>
    <x v="824"/>
    <x v="15"/>
    <x v="1"/>
    <x v="0"/>
    <x v="0"/>
    <m/>
    <x v="1"/>
    <m/>
    <n v="1"/>
    <x v="0"/>
    <x v="4"/>
    <m/>
    <x v="0"/>
    <x v="0"/>
    <x v="0"/>
  </r>
  <r>
    <x v="825"/>
    <x v="15"/>
    <x v="1"/>
    <x v="0"/>
    <x v="0"/>
    <m/>
    <x v="1"/>
    <m/>
    <n v="1"/>
    <x v="0"/>
    <x v="4"/>
    <m/>
    <x v="0"/>
    <x v="0"/>
    <x v="0"/>
  </r>
  <r>
    <x v="826"/>
    <x v="15"/>
    <x v="1"/>
    <x v="0"/>
    <x v="0"/>
    <m/>
    <x v="1"/>
    <m/>
    <n v="1"/>
    <x v="0"/>
    <x v="4"/>
    <m/>
    <x v="0"/>
    <x v="0"/>
    <x v="0"/>
  </r>
  <r>
    <x v="827"/>
    <x v="15"/>
    <x v="1"/>
    <x v="0"/>
    <x v="0"/>
    <m/>
    <x v="1"/>
    <m/>
    <n v="1"/>
    <x v="0"/>
    <x v="4"/>
    <m/>
    <x v="0"/>
    <x v="0"/>
    <x v="0"/>
  </r>
  <r>
    <x v="828"/>
    <x v="15"/>
    <x v="1"/>
    <x v="0"/>
    <x v="0"/>
    <m/>
    <x v="1"/>
    <m/>
    <n v="1"/>
    <x v="0"/>
    <x v="4"/>
    <m/>
    <x v="0"/>
    <x v="0"/>
    <x v="0"/>
  </r>
  <r>
    <x v="829"/>
    <x v="15"/>
    <x v="1"/>
    <x v="0"/>
    <x v="0"/>
    <m/>
    <x v="1"/>
    <m/>
    <n v="1"/>
    <x v="0"/>
    <x v="4"/>
    <m/>
    <x v="0"/>
    <x v="0"/>
    <x v="0"/>
  </r>
  <r>
    <x v="830"/>
    <x v="15"/>
    <x v="1"/>
    <x v="0"/>
    <x v="0"/>
    <m/>
    <x v="1"/>
    <m/>
    <n v="1"/>
    <x v="0"/>
    <x v="4"/>
    <m/>
    <x v="0"/>
    <x v="0"/>
    <x v="0"/>
  </r>
  <r>
    <x v="831"/>
    <x v="15"/>
    <x v="1"/>
    <x v="0"/>
    <x v="0"/>
    <m/>
    <x v="1"/>
    <m/>
    <n v="1"/>
    <x v="0"/>
    <x v="4"/>
    <m/>
    <x v="0"/>
    <x v="0"/>
    <x v="0"/>
  </r>
  <r>
    <x v="832"/>
    <x v="15"/>
    <x v="1"/>
    <x v="0"/>
    <x v="0"/>
    <m/>
    <x v="1"/>
    <m/>
    <n v="1"/>
    <x v="0"/>
    <x v="4"/>
    <m/>
    <x v="0"/>
    <x v="0"/>
    <x v="0"/>
  </r>
  <r>
    <x v="833"/>
    <x v="15"/>
    <x v="1"/>
    <x v="0"/>
    <x v="0"/>
    <m/>
    <x v="1"/>
    <m/>
    <n v="1"/>
    <x v="0"/>
    <x v="4"/>
    <m/>
    <x v="0"/>
    <x v="0"/>
    <x v="0"/>
  </r>
  <r>
    <x v="834"/>
    <x v="15"/>
    <x v="1"/>
    <x v="0"/>
    <x v="0"/>
    <m/>
    <x v="1"/>
    <m/>
    <n v="1"/>
    <x v="0"/>
    <x v="4"/>
    <m/>
    <x v="0"/>
    <x v="0"/>
    <x v="0"/>
  </r>
  <r>
    <x v="835"/>
    <x v="15"/>
    <x v="1"/>
    <x v="0"/>
    <x v="0"/>
    <m/>
    <x v="1"/>
    <m/>
    <n v="1"/>
    <x v="0"/>
    <x v="4"/>
    <m/>
    <x v="0"/>
    <x v="0"/>
    <x v="0"/>
  </r>
  <r>
    <x v="836"/>
    <x v="15"/>
    <x v="1"/>
    <x v="0"/>
    <x v="0"/>
    <m/>
    <x v="1"/>
    <m/>
    <n v="1"/>
    <x v="0"/>
    <x v="4"/>
    <m/>
    <x v="0"/>
    <x v="0"/>
    <x v="0"/>
  </r>
  <r>
    <x v="837"/>
    <x v="15"/>
    <x v="1"/>
    <x v="0"/>
    <x v="0"/>
    <m/>
    <x v="1"/>
    <m/>
    <n v="1"/>
    <x v="0"/>
    <x v="4"/>
    <m/>
    <x v="0"/>
    <x v="0"/>
    <x v="0"/>
  </r>
  <r>
    <x v="838"/>
    <x v="15"/>
    <x v="1"/>
    <x v="0"/>
    <x v="0"/>
    <m/>
    <x v="1"/>
    <m/>
    <n v="1"/>
    <x v="0"/>
    <x v="4"/>
    <m/>
    <x v="0"/>
    <x v="0"/>
    <x v="0"/>
  </r>
  <r>
    <x v="839"/>
    <x v="15"/>
    <x v="1"/>
    <x v="0"/>
    <x v="0"/>
    <m/>
    <x v="1"/>
    <m/>
    <n v="1"/>
    <x v="0"/>
    <x v="4"/>
    <m/>
    <x v="0"/>
    <x v="0"/>
    <x v="0"/>
  </r>
  <r>
    <x v="840"/>
    <x v="15"/>
    <x v="1"/>
    <x v="0"/>
    <x v="0"/>
    <m/>
    <x v="1"/>
    <m/>
    <n v="1"/>
    <x v="0"/>
    <x v="4"/>
    <m/>
    <x v="0"/>
    <x v="0"/>
    <x v="0"/>
  </r>
  <r>
    <x v="841"/>
    <x v="15"/>
    <x v="1"/>
    <x v="0"/>
    <x v="0"/>
    <m/>
    <x v="1"/>
    <m/>
    <n v="1"/>
    <x v="0"/>
    <x v="4"/>
    <m/>
    <x v="0"/>
    <x v="0"/>
    <x v="0"/>
  </r>
  <r>
    <x v="842"/>
    <x v="15"/>
    <x v="1"/>
    <x v="0"/>
    <x v="0"/>
    <m/>
    <x v="1"/>
    <m/>
    <n v="1"/>
    <x v="0"/>
    <x v="4"/>
    <m/>
    <x v="0"/>
    <x v="0"/>
    <x v="0"/>
  </r>
  <r>
    <x v="843"/>
    <x v="15"/>
    <x v="1"/>
    <x v="0"/>
    <x v="0"/>
    <m/>
    <x v="1"/>
    <m/>
    <n v="1"/>
    <x v="0"/>
    <x v="4"/>
    <m/>
    <x v="0"/>
    <x v="0"/>
    <x v="0"/>
  </r>
  <r>
    <x v="844"/>
    <x v="15"/>
    <x v="1"/>
    <x v="0"/>
    <x v="0"/>
    <m/>
    <x v="1"/>
    <m/>
    <n v="1"/>
    <x v="0"/>
    <x v="4"/>
    <m/>
    <x v="0"/>
    <x v="0"/>
    <x v="0"/>
  </r>
  <r>
    <x v="845"/>
    <x v="15"/>
    <x v="1"/>
    <x v="0"/>
    <x v="0"/>
    <m/>
    <x v="1"/>
    <m/>
    <n v="1"/>
    <x v="0"/>
    <x v="4"/>
    <m/>
    <x v="0"/>
    <x v="0"/>
    <x v="0"/>
  </r>
  <r>
    <x v="846"/>
    <x v="15"/>
    <x v="1"/>
    <x v="0"/>
    <x v="0"/>
    <m/>
    <x v="1"/>
    <m/>
    <n v="1"/>
    <x v="0"/>
    <x v="4"/>
    <m/>
    <x v="0"/>
    <x v="0"/>
    <x v="0"/>
  </r>
  <r>
    <x v="847"/>
    <x v="15"/>
    <x v="1"/>
    <x v="0"/>
    <x v="0"/>
    <m/>
    <x v="1"/>
    <m/>
    <n v="1"/>
    <x v="0"/>
    <x v="4"/>
    <m/>
    <x v="0"/>
    <x v="0"/>
    <x v="0"/>
  </r>
  <r>
    <x v="848"/>
    <x v="15"/>
    <x v="1"/>
    <x v="0"/>
    <x v="0"/>
    <m/>
    <x v="1"/>
    <m/>
    <n v="1"/>
    <x v="0"/>
    <x v="4"/>
    <m/>
    <x v="0"/>
    <x v="0"/>
    <x v="0"/>
  </r>
  <r>
    <x v="849"/>
    <x v="15"/>
    <x v="1"/>
    <x v="0"/>
    <x v="0"/>
    <m/>
    <x v="1"/>
    <m/>
    <n v="1"/>
    <x v="0"/>
    <x v="4"/>
    <m/>
    <x v="0"/>
    <x v="0"/>
    <x v="0"/>
  </r>
  <r>
    <x v="850"/>
    <x v="15"/>
    <x v="1"/>
    <x v="0"/>
    <x v="0"/>
    <m/>
    <x v="1"/>
    <m/>
    <n v="1"/>
    <x v="0"/>
    <x v="4"/>
    <m/>
    <x v="0"/>
    <x v="0"/>
    <x v="0"/>
  </r>
  <r>
    <x v="851"/>
    <x v="15"/>
    <x v="1"/>
    <x v="0"/>
    <x v="0"/>
    <m/>
    <x v="1"/>
    <m/>
    <n v="1"/>
    <x v="0"/>
    <x v="4"/>
    <m/>
    <x v="0"/>
    <x v="0"/>
    <x v="0"/>
  </r>
  <r>
    <x v="852"/>
    <x v="15"/>
    <x v="1"/>
    <x v="0"/>
    <x v="0"/>
    <m/>
    <x v="1"/>
    <m/>
    <n v="1"/>
    <x v="0"/>
    <x v="4"/>
    <m/>
    <x v="0"/>
    <x v="0"/>
    <x v="0"/>
  </r>
  <r>
    <x v="853"/>
    <x v="15"/>
    <x v="1"/>
    <x v="0"/>
    <x v="0"/>
    <m/>
    <x v="1"/>
    <m/>
    <n v="1"/>
    <x v="0"/>
    <x v="4"/>
    <m/>
    <x v="0"/>
    <x v="0"/>
    <x v="0"/>
  </r>
  <r>
    <x v="854"/>
    <x v="15"/>
    <x v="1"/>
    <x v="0"/>
    <x v="0"/>
    <m/>
    <x v="1"/>
    <m/>
    <n v="1"/>
    <x v="0"/>
    <x v="4"/>
    <m/>
    <x v="0"/>
    <x v="0"/>
    <x v="0"/>
  </r>
  <r>
    <x v="855"/>
    <x v="15"/>
    <x v="1"/>
    <x v="0"/>
    <x v="0"/>
    <m/>
    <x v="1"/>
    <m/>
    <n v="1"/>
    <x v="0"/>
    <x v="4"/>
    <m/>
    <x v="0"/>
    <x v="0"/>
    <x v="0"/>
  </r>
  <r>
    <x v="856"/>
    <x v="15"/>
    <x v="1"/>
    <x v="0"/>
    <x v="0"/>
    <m/>
    <x v="1"/>
    <m/>
    <n v="1"/>
    <x v="0"/>
    <x v="4"/>
    <m/>
    <x v="0"/>
    <x v="0"/>
    <x v="0"/>
  </r>
  <r>
    <x v="857"/>
    <x v="15"/>
    <x v="1"/>
    <x v="0"/>
    <x v="0"/>
    <m/>
    <x v="1"/>
    <m/>
    <n v="1"/>
    <x v="0"/>
    <x v="4"/>
    <m/>
    <x v="0"/>
    <x v="0"/>
    <x v="0"/>
  </r>
  <r>
    <x v="858"/>
    <x v="15"/>
    <x v="1"/>
    <x v="0"/>
    <x v="0"/>
    <m/>
    <x v="1"/>
    <m/>
    <n v="1"/>
    <x v="0"/>
    <x v="4"/>
    <m/>
    <x v="0"/>
    <x v="0"/>
    <x v="0"/>
  </r>
  <r>
    <x v="859"/>
    <x v="15"/>
    <x v="1"/>
    <x v="0"/>
    <x v="0"/>
    <m/>
    <x v="1"/>
    <m/>
    <n v="1"/>
    <x v="0"/>
    <x v="4"/>
    <m/>
    <x v="0"/>
    <x v="0"/>
    <x v="0"/>
  </r>
  <r>
    <x v="860"/>
    <x v="15"/>
    <x v="1"/>
    <x v="0"/>
    <x v="0"/>
    <m/>
    <x v="1"/>
    <m/>
    <n v="1"/>
    <x v="0"/>
    <x v="4"/>
    <m/>
    <x v="0"/>
    <x v="0"/>
    <x v="0"/>
  </r>
  <r>
    <x v="861"/>
    <x v="15"/>
    <x v="1"/>
    <x v="0"/>
    <x v="0"/>
    <m/>
    <x v="1"/>
    <m/>
    <n v="1"/>
    <x v="0"/>
    <x v="4"/>
    <m/>
    <x v="0"/>
    <x v="0"/>
    <x v="0"/>
  </r>
  <r>
    <x v="862"/>
    <x v="15"/>
    <x v="1"/>
    <x v="0"/>
    <x v="0"/>
    <m/>
    <x v="1"/>
    <m/>
    <n v="1"/>
    <x v="0"/>
    <x v="4"/>
    <m/>
    <x v="0"/>
    <x v="0"/>
    <x v="0"/>
  </r>
  <r>
    <x v="863"/>
    <x v="15"/>
    <x v="1"/>
    <x v="0"/>
    <x v="0"/>
    <m/>
    <x v="1"/>
    <m/>
    <n v="1"/>
    <x v="0"/>
    <x v="4"/>
    <m/>
    <x v="0"/>
    <x v="0"/>
    <x v="0"/>
  </r>
  <r>
    <x v="864"/>
    <x v="15"/>
    <x v="1"/>
    <x v="0"/>
    <x v="0"/>
    <m/>
    <x v="1"/>
    <m/>
    <n v="1"/>
    <x v="0"/>
    <x v="4"/>
    <m/>
    <x v="0"/>
    <x v="0"/>
    <x v="0"/>
  </r>
  <r>
    <x v="865"/>
    <x v="15"/>
    <x v="1"/>
    <x v="0"/>
    <x v="0"/>
    <m/>
    <x v="1"/>
    <m/>
    <n v="1"/>
    <x v="0"/>
    <x v="4"/>
    <m/>
    <x v="0"/>
    <x v="0"/>
    <x v="0"/>
  </r>
  <r>
    <x v="866"/>
    <x v="15"/>
    <x v="1"/>
    <x v="0"/>
    <x v="0"/>
    <m/>
    <x v="1"/>
    <m/>
    <n v="1"/>
    <x v="0"/>
    <x v="4"/>
    <m/>
    <x v="0"/>
    <x v="0"/>
    <x v="0"/>
  </r>
  <r>
    <x v="867"/>
    <x v="15"/>
    <x v="1"/>
    <x v="0"/>
    <x v="0"/>
    <m/>
    <x v="1"/>
    <m/>
    <n v="1"/>
    <x v="0"/>
    <x v="4"/>
    <m/>
    <x v="0"/>
    <x v="0"/>
    <x v="0"/>
  </r>
  <r>
    <x v="868"/>
    <x v="15"/>
    <x v="1"/>
    <x v="0"/>
    <x v="0"/>
    <m/>
    <x v="1"/>
    <m/>
    <n v="1"/>
    <x v="0"/>
    <x v="4"/>
    <m/>
    <x v="0"/>
    <x v="0"/>
    <x v="0"/>
  </r>
  <r>
    <x v="869"/>
    <x v="15"/>
    <x v="1"/>
    <x v="0"/>
    <x v="0"/>
    <m/>
    <x v="1"/>
    <m/>
    <n v="1"/>
    <x v="0"/>
    <x v="4"/>
    <m/>
    <x v="0"/>
    <x v="0"/>
    <x v="0"/>
  </r>
  <r>
    <x v="870"/>
    <x v="15"/>
    <x v="1"/>
    <x v="0"/>
    <x v="0"/>
    <m/>
    <x v="1"/>
    <m/>
    <n v="1"/>
    <x v="0"/>
    <x v="4"/>
    <m/>
    <x v="0"/>
    <x v="0"/>
    <x v="0"/>
  </r>
  <r>
    <x v="871"/>
    <x v="15"/>
    <x v="1"/>
    <x v="0"/>
    <x v="0"/>
    <m/>
    <x v="1"/>
    <m/>
    <n v="1"/>
    <x v="0"/>
    <x v="4"/>
    <m/>
    <x v="0"/>
    <x v="0"/>
    <x v="0"/>
  </r>
  <r>
    <x v="872"/>
    <x v="15"/>
    <x v="1"/>
    <x v="0"/>
    <x v="0"/>
    <m/>
    <x v="1"/>
    <m/>
    <n v="1"/>
    <x v="0"/>
    <x v="4"/>
    <m/>
    <x v="0"/>
    <x v="0"/>
    <x v="0"/>
  </r>
  <r>
    <x v="873"/>
    <x v="15"/>
    <x v="1"/>
    <x v="0"/>
    <x v="0"/>
    <m/>
    <x v="1"/>
    <m/>
    <n v="1"/>
    <x v="0"/>
    <x v="4"/>
    <m/>
    <x v="0"/>
    <x v="0"/>
    <x v="0"/>
  </r>
  <r>
    <x v="874"/>
    <x v="15"/>
    <x v="1"/>
    <x v="0"/>
    <x v="0"/>
    <m/>
    <x v="1"/>
    <m/>
    <n v="1"/>
    <x v="0"/>
    <x v="4"/>
    <m/>
    <x v="0"/>
    <x v="0"/>
    <x v="0"/>
  </r>
  <r>
    <x v="875"/>
    <x v="15"/>
    <x v="1"/>
    <x v="0"/>
    <x v="0"/>
    <m/>
    <x v="1"/>
    <m/>
    <n v="1"/>
    <x v="0"/>
    <x v="4"/>
    <m/>
    <x v="0"/>
    <x v="0"/>
    <x v="0"/>
  </r>
  <r>
    <x v="876"/>
    <x v="14"/>
    <x v="2"/>
    <x v="0"/>
    <x v="0"/>
    <m/>
    <x v="1"/>
    <m/>
    <n v="1"/>
    <x v="0"/>
    <x v="4"/>
    <m/>
    <x v="0"/>
    <x v="0"/>
    <x v="0"/>
  </r>
  <r>
    <x v="877"/>
    <x v="14"/>
    <x v="2"/>
    <x v="0"/>
    <x v="0"/>
    <m/>
    <x v="1"/>
    <m/>
    <n v="1"/>
    <x v="0"/>
    <x v="4"/>
    <m/>
    <x v="0"/>
    <x v="0"/>
    <x v="0"/>
  </r>
  <r>
    <x v="878"/>
    <x v="14"/>
    <x v="2"/>
    <x v="0"/>
    <x v="0"/>
    <m/>
    <x v="1"/>
    <m/>
    <n v="1"/>
    <x v="0"/>
    <x v="4"/>
    <m/>
    <x v="0"/>
    <x v="0"/>
    <x v="0"/>
  </r>
  <r>
    <x v="879"/>
    <x v="14"/>
    <x v="2"/>
    <x v="0"/>
    <x v="0"/>
    <m/>
    <x v="1"/>
    <m/>
    <n v="1"/>
    <x v="0"/>
    <x v="4"/>
    <m/>
    <x v="0"/>
    <x v="0"/>
    <x v="0"/>
  </r>
  <r>
    <x v="880"/>
    <x v="14"/>
    <x v="2"/>
    <x v="0"/>
    <x v="0"/>
    <m/>
    <x v="1"/>
    <m/>
    <n v="1"/>
    <x v="0"/>
    <x v="4"/>
    <m/>
    <x v="0"/>
    <x v="0"/>
    <x v="0"/>
  </r>
  <r>
    <x v="881"/>
    <x v="14"/>
    <x v="2"/>
    <x v="0"/>
    <x v="0"/>
    <m/>
    <x v="1"/>
    <m/>
    <n v="1"/>
    <x v="0"/>
    <x v="4"/>
    <m/>
    <x v="0"/>
    <x v="0"/>
    <x v="0"/>
  </r>
  <r>
    <x v="882"/>
    <x v="14"/>
    <x v="2"/>
    <x v="0"/>
    <x v="0"/>
    <m/>
    <x v="1"/>
    <m/>
    <n v="1"/>
    <x v="0"/>
    <x v="4"/>
    <m/>
    <x v="0"/>
    <x v="0"/>
    <x v="0"/>
  </r>
  <r>
    <x v="883"/>
    <x v="14"/>
    <x v="2"/>
    <x v="0"/>
    <x v="0"/>
    <m/>
    <x v="1"/>
    <m/>
    <n v="1"/>
    <x v="0"/>
    <x v="4"/>
    <m/>
    <x v="0"/>
    <x v="0"/>
    <x v="0"/>
  </r>
  <r>
    <x v="884"/>
    <x v="14"/>
    <x v="2"/>
    <x v="0"/>
    <x v="0"/>
    <m/>
    <x v="1"/>
    <m/>
    <n v="1"/>
    <x v="0"/>
    <x v="4"/>
    <m/>
    <x v="0"/>
    <x v="0"/>
    <x v="0"/>
  </r>
  <r>
    <x v="885"/>
    <x v="14"/>
    <x v="2"/>
    <x v="0"/>
    <x v="0"/>
    <m/>
    <x v="1"/>
    <m/>
    <n v="1"/>
    <x v="0"/>
    <x v="4"/>
    <m/>
    <x v="0"/>
    <x v="0"/>
    <x v="0"/>
  </r>
  <r>
    <x v="886"/>
    <x v="14"/>
    <x v="2"/>
    <x v="0"/>
    <x v="0"/>
    <m/>
    <x v="1"/>
    <m/>
    <n v="1"/>
    <x v="0"/>
    <x v="4"/>
    <m/>
    <x v="0"/>
    <x v="0"/>
    <x v="0"/>
  </r>
  <r>
    <x v="887"/>
    <x v="14"/>
    <x v="2"/>
    <x v="0"/>
    <x v="0"/>
    <m/>
    <x v="1"/>
    <m/>
    <n v="1"/>
    <x v="0"/>
    <x v="4"/>
    <m/>
    <x v="0"/>
    <x v="0"/>
    <x v="0"/>
  </r>
  <r>
    <x v="888"/>
    <x v="14"/>
    <x v="2"/>
    <x v="0"/>
    <x v="0"/>
    <m/>
    <x v="1"/>
    <m/>
    <n v="1"/>
    <x v="0"/>
    <x v="4"/>
    <m/>
    <x v="0"/>
    <x v="0"/>
    <x v="0"/>
  </r>
  <r>
    <x v="889"/>
    <x v="14"/>
    <x v="2"/>
    <x v="0"/>
    <x v="0"/>
    <m/>
    <x v="1"/>
    <m/>
    <n v="1"/>
    <x v="0"/>
    <x v="4"/>
    <m/>
    <x v="0"/>
    <x v="0"/>
    <x v="0"/>
  </r>
  <r>
    <x v="890"/>
    <x v="14"/>
    <x v="2"/>
    <x v="0"/>
    <x v="0"/>
    <m/>
    <x v="1"/>
    <m/>
    <n v="1"/>
    <x v="0"/>
    <x v="4"/>
    <m/>
    <x v="0"/>
    <x v="0"/>
    <x v="0"/>
  </r>
  <r>
    <x v="891"/>
    <x v="14"/>
    <x v="2"/>
    <x v="0"/>
    <x v="0"/>
    <m/>
    <x v="1"/>
    <m/>
    <n v="1"/>
    <x v="0"/>
    <x v="4"/>
    <m/>
    <x v="0"/>
    <x v="0"/>
    <x v="0"/>
  </r>
  <r>
    <x v="892"/>
    <x v="14"/>
    <x v="2"/>
    <x v="0"/>
    <x v="0"/>
    <m/>
    <x v="1"/>
    <m/>
    <n v="1"/>
    <x v="0"/>
    <x v="4"/>
    <m/>
    <x v="0"/>
    <x v="0"/>
    <x v="0"/>
  </r>
  <r>
    <x v="893"/>
    <x v="14"/>
    <x v="2"/>
    <x v="0"/>
    <x v="0"/>
    <m/>
    <x v="1"/>
    <m/>
    <n v="1"/>
    <x v="0"/>
    <x v="4"/>
    <m/>
    <x v="0"/>
    <x v="0"/>
    <x v="0"/>
  </r>
  <r>
    <x v="894"/>
    <x v="14"/>
    <x v="2"/>
    <x v="0"/>
    <x v="0"/>
    <m/>
    <x v="1"/>
    <m/>
    <n v="1"/>
    <x v="0"/>
    <x v="4"/>
    <m/>
    <x v="0"/>
    <x v="0"/>
    <x v="0"/>
  </r>
  <r>
    <x v="895"/>
    <x v="14"/>
    <x v="2"/>
    <x v="0"/>
    <x v="0"/>
    <m/>
    <x v="1"/>
    <m/>
    <n v="1"/>
    <x v="0"/>
    <x v="4"/>
    <m/>
    <x v="0"/>
    <x v="0"/>
    <x v="0"/>
  </r>
  <r>
    <x v="896"/>
    <x v="14"/>
    <x v="2"/>
    <x v="0"/>
    <x v="0"/>
    <m/>
    <x v="1"/>
    <m/>
    <n v="1"/>
    <x v="0"/>
    <x v="4"/>
    <m/>
    <x v="0"/>
    <x v="0"/>
    <x v="0"/>
  </r>
  <r>
    <x v="897"/>
    <x v="14"/>
    <x v="2"/>
    <x v="0"/>
    <x v="0"/>
    <m/>
    <x v="1"/>
    <m/>
    <n v="1"/>
    <x v="0"/>
    <x v="4"/>
    <m/>
    <x v="0"/>
    <x v="0"/>
    <x v="0"/>
  </r>
  <r>
    <x v="898"/>
    <x v="14"/>
    <x v="2"/>
    <x v="0"/>
    <x v="0"/>
    <m/>
    <x v="1"/>
    <m/>
    <n v="1"/>
    <x v="0"/>
    <x v="4"/>
    <m/>
    <x v="0"/>
    <x v="0"/>
    <x v="0"/>
  </r>
  <r>
    <x v="899"/>
    <x v="14"/>
    <x v="2"/>
    <x v="0"/>
    <x v="0"/>
    <m/>
    <x v="1"/>
    <m/>
    <n v="1"/>
    <x v="0"/>
    <x v="4"/>
    <m/>
    <x v="0"/>
    <x v="0"/>
    <x v="0"/>
  </r>
  <r>
    <x v="900"/>
    <x v="14"/>
    <x v="2"/>
    <x v="0"/>
    <x v="0"/>
    <m/>
    <x v="1"/>
    <m/>
    <n v="1"/>
    <x v="0"/>
    <x v="4"/>
    <m/>
    <x v="0"/>
    <x v="0"/>
    <x v="0"/>
  </r>
  <r>
    <x v="901"/>
    <x v="14"/>
    <x v="2"/>
    <x v="0"/>
    <x v="0"/>
    <m/>
    <x v="1"/>
    <m/>
    <n v="1"/>
    <x v="0"/>
    <x v="4"/>
    <m/>
    <x v="0"/>
    <x v="0"/>
    <x v="0"/>
  </r>
  <r>
    <x v="902"/>
    <x v="14"/>
    <x v="2"/>
    <x v="0"/>
    <x v="0"/>
    <m/>
    <x v="1"/>
    <m/>
    <n v="1"/>
    <x v="0"/>
    <x v="4"/>
    <m/>
    <x v="0"/>
    <x v="0"/>
    <x v="0"/>
  </r>
  <r>
    <x v="903"/>
    <x v="14"/>
    <x v="2"/>
    <x v="0"/>
    <x v="0"/>
    <m/>
    <x v="1"/>
    <m/>
    <n v="1"/>
    <x v="0"/>
    <x v="4"/>
    <m/>
    <x v="0"/>
    <x v="0"/>
    <x v="0"/>
  </r>
  <r>
    <x v="904"/>
    <x v="14"/>
    <x v="2"/>
    <x v="0"/>
    <x v="0"/>
    <m/>
    <x v="1"/>
    <m/>
    <n v="1"/>
    <x v="0"/>
    <x v="4"/>
    <m/>
    <x v="0"/>
    <x v="0"/>
    <x v="0"/>
  </r>
  <r>
    <x v="905"/>
    <x v="14"/>
    <x v="2"/>
    <x v="0"/>
    <x v="0"/>
    <m/>
    <x v="1"/>
    <m/>
    <n v="1"/>
    <x v="0"/>
    <x v="4"/>
    <m/>
    <x v="0"/>
    <x v="0"/>
    <x v="0"/>
  </r>
  <r>
    <x v="906"/>
    <x v="14"/>
    <x v="2"/>
    <x v="0"/>
    <x v="0"/>
    <m/>
    <x v="1"/>
    <m/>
    <n v="1"/>
    <x v="0"/>
    <x v="4"/>
    <m/>
    <x v="0"/>
    <x v="0"/>
    <x v="0"/>
  </r>
  <r>
    <x v="907"/>
    <x v="14"/>
    <x v="2"/>
    <x v="0"/>
    <x v="0"/>
    <m/>
    <x v="1"/>
    <m/>
    <n v="1"/>
    <x v="0"/>
    <x v="4"/>
    <m/>
    <x v="0"/>
    <x v="0"/>
    <x v="0"/>
  </r>
  <r>
    <x v="908"/>
    <x v="14"/>
    <x v="2"/>
    <x v="0"/>
    <x v="0"/>
    <m/>
    <x v="1"/>
    <m/>
    <n v="1"/>
    <x v="0"/>
    <x v="4"/>
    <m/>
    <x v="0"/>
    <x v="0"/>
    <x v="0"/>
  </r>
  <r>
    <x v="909"/>
    <x v="14"/>
    <x v="2"/>
    <x v="0"/>
    <x v="0"/>
    <m/>
    <x v="1"/>
    <m/>
    <n v="1"/>
    <x v="0"/>
    <x v="4"/>
    <m/>
    <x v="0"/>
    <x v="0"/>
    <x v="0"/>
  </r>
  <r>
    <x v="910"/>
    <x v="14"/>
    <x v="2"/>
    <x v="0"/>
    <x v="0"/>
    <m/>
    <x v="1"/>
    <m/>
    <n v="1"/>
    <x v="0"/>
    <x v="4"/>
    <m/>
    <x v="0"/>
    <x v="0"/>
    <x v="0"/>
  </r>
  <r>
    <x v="911"/>
    <x v="14"/>
    <x v="2"/>
    <x v="0"/>
    <x v="0"/>
    <m/>
    <x v="1"/>
    <m/>
    <n v="1"/>
    <x v="0"/>
    <x v="4"/>
    <m/>
    <x v="0"/>
    <x v="0"/>
    <x v="0"/>
  </r>
  <r>
    <x v="912"/>
    <x v="14"/>
    <x v="2"/>
    <x v="0"/>
    <x v="0"/>
    <m/>
    <x v="1"/>
    <m/>
    <n v="1"/>
    <x v="0"/>
    <x v="4"/>
    <m/>
    <x v="0"/>
    <x v="0"/>
    <x v="0"/>
  </r>
  <r>
    <x v="913"/>
    <x v="14"/>
    <x v="2"/>
    <x v="0"/>
    <x v="0"/>
    <m/>
    <x v="1"/>
    <m/>
    <n v="1"/>
    <x v="0"/>
    <x v="4"/>
    <m/>
    <x v="0"/>
    <x v="0"/>
    <x v="0"/>
  </r>
  <r>
    <x v="914"/>
    <x v="14"/>
    <x v="2"/>
    <x v="0"/>
    <x v="0"/>
    <m/>
    <x v="1"/>
    <m/>
    <n v="1"/>
    <x v="0"/>
    <x v="4"/>
    <m/>
    <x v="0"/>
    <x v="0"/>
    <x v="0"/>
  </r>
  <r>
    <x v="915"/>
    <x v="14"/>
    <x v="2"/>
    <x v="0"/>
    <x v="0"/>
    <m/>
    <x v="1"/>
    <m/>
    <n v="1"/>
    <x v="0"/>
    <x v="4"/>
    <m/>
    <x v="0"/>
    <x v="0"/>
    <x v="0"/>
  </r>
  <r>
    <x v="916"/>
    <x v="14"/>
    <x v="2"/>
    <x v="0"/>
    <x v="0"/>
    <m/>
    <x v="1"/>
    <m/>
    <n v="1"/>
    <x v="0"/>
    <x v="4"/>
    <m/>
    <x v="0"/>
    <x v="0"/>
    <x v="0"/>
  </r>
  <r>
    <x v="917"/>
    <x v="14"/>
    <x v="2"/>
    <x v="0"/>
    <x v="0"/>
    <m/>
    <x v="1"/>
    <m/>
    <n v="1"/>
    <x v="0"/>
    <x v="4"/>
    <m/>
    <x v="0"/>
    <x v="0"/>
    <x v="0"/>
  </r>
  <r>
    <x v="918"/>
    <x v="14"/>
    <x v="2"/>
    <x v="0"/>
    <x v="0"/>
    <m/>
    <x v="1"/>
    <m/>
    <n v="1"/>
    <x v="0"/>
    <x v="4"/>
    <m/>
    <x v="0"/>
    <x v="0"/>
    <x v="0"/>
  </r>
  <r>
    <x v="919"/>
    <x v="14"/>
    <x v="2"/>
    <x v="0"/>
    <x v="0"/>
    <m/>
    <x v="1"/>
    <m/>
    <n v="1"/>
    <x v="0"/>
    <x v="4"/>
    <m/>
    <x v="0"/>
    <x v="0"/>
    <x v="0"/>
  </r>
  <r>
    <x v="920"/>
    <x v="14"/>
    <x v="2"/>
    <x v="0"/>
    <x v="0"/>
    <m/>
    <x v="1"/>
    <m/>
    <n v="1"/>
    <x v="0"/>
    <x v="4"/>
    <m/>
    <x v="0"/>
    <x v="0"/>
    <x v="0"/>
  </r>
  <r>
    <x v="921"/>
    <x v="14"/>
    <x v="2"/>
    <x v="0"/>
    <x v="0"/>
    <m/>
    <x v="1"/>
    <m/>
    <n v="1"/>
    <x v="0"/>
    <x v="4"/>
    <m/>
    <x v="0"/>
    <x v="0"/>
    <x v="0"/>
  </r>
  <r>
    <x v="922"/>
    <x v="14"/>
    <x v="2"/>
    <x v="0"/>
    <x v="0"/>
    <m/>
    <x v="1"/>
    <m/>
    <n v="1"/>
    <x v="0"/>
    <x v="4"/>
    <m/>
    <x v="0"/>
    <x v="0"/>
    <x v="0"/>
  </r>
  <r>
    <x v="923"/>
    <x v="14"/>
    <x v="2"/>
    <x v="0"/>
    <x v="0"/>
    <m/>
    <x v="1"/>
    <m/>
    <n v="1"/>
    <x v="0"/>
    <x v="4"/>
    <m/>
    <x v="0"/>
    <x v="0"/>
    <x v="0"/>
  </r>
  <r>
    <x v="924"/>
    <x v="14"/>
    <x v="2"/>
    <x v="0"/>
    <x v="0"/>
    <m/>
    <x v="1"/>
    <m/>
    <n v="1"/>
    <x v="0"/>
    <x v="4"/>
    <m/>
    <x v="0"/>
    <x v="0"/>
    <x v="0"/>
  </r>
  <r>
    <x v="925"/>
    <x v="14"/>
    <x v="2"/>
    <x v="0"/>
    <x v="0"/>
    <m/>
    <x v="1"/>
    <m/>
    <n v="1"/>
    <x v="0"/>
    <x v="4"/>
    <m/>
    <x v="0"/>
    <x v="0"/>
    <x v="0"/>
  </r>
  <r>
    <x v="926"/>
    <x v="14"/>
    <x v="2"/>
    <x v="0"/>
    <x v="0"/>
    <m/>
    <x v="1"/>
    <m/>
    <n v="1"/>
    <x v="0"/>
    <x v="4"/>
    <m/>
    <x v="0"/>
    <x v="0"/>
    <x v="0"/>
  </r>
  <r>
    <x v="927"/>
    <x v="14"/>
    <x v="2"/>
    <x v="0"/>
    <x v="0"/>
    <m/>
    <x v="1"/>
    <m/>
    <n v="1"/>
    <x v="0"/>
    <x v="4"/>
    <m/>
    <x v="0"/>
    <x v="0"/>
    <x v="0"/>
  </r>
  <r>
    <x v="928"/>
    <x v="14"/>
    <x v="2"/>
    <x v="0"/>
    <x v="0"/>
    <m/>
    <x v="1"/>
    <m/>
    <n v="1"/>
    <x v="0"/>
    <x v="4"/>
    <m/>
    <x v="0"/>
    <x v="0"/>
    <x v="0"/>
  </r>
  <r>
    <x v="929"/>
    <x v="14"/>
    <x v="2"/>
    <x v="0"/>
    <x v="0"/>
    <m/>
    <x v="1"/>
    <m/>
    <n v="1"/>
    <x v="0"/>
    <x v="4"/>
    <m/>
    <x v="0"/>
    <x v="0"/>
    <x v="0"/>
  </r>
  <r>
    <x v="930"/>
    <x v="14"/>
    <x v="2"/>
    <x v="0"/>
    <x v="0"/>
    <m/>
    <x v="1"/>
    <m/>
    <n v="1"/>
    <x v="0"/>
    <x v="4"/>
    <m/>
    <x v="0"/>
    <x v="0"/>
    <x v="0"/>
  </r>
  <r>
    <x v="931"/>
    <x v="14"/>
    <x v="2"/>
    <x v="0"/>
    <x v="0"/>
    <m/>
    <x v="1"/>
    <m/>
    <n v="1"/>
    <x v="0"/>
    <x v="4"/>
    <m/>
    <x v="0"/>
    <x v="0"/>
    <x v="0"/>
  </r>
  <r>
    <x v="932"/>
    <x v="14"/>
    <x v="2"/>
    <x v="0"/>
    <x v="0"/>
    <m/>
    <x v="1"/>
    <m/>
    <n v="1"/>
    <x v="0"/>
    <x v="4"/>
    <m/>
    <x v="0"/>
    <x v="0"/>
    <x v="0"/>
  </r>
  <r>
    <x v="933"/>
    <x v="14"/>
    <x v="2"/>
    <x v="0"/>
    <x v="0"/>
    <m/>
    <x v="1"/>
    <m/>
    <n v="1"/>
    <x v="0"/>
    <x v="4"/>
    <m/>
    <x v="0"/>
    <x v="0"/>
    <x v="0"/>
  </r>
  <r>
    <x v="934"/>
    <x v="14"/>
    <x v="2"/>
    <x v="0"/>
    <x v="0"/>
    <m/>
    <x v="1"/>
    <m/>
    <n v="1"/>
    <x v="0"/>
    <x v="4"/>
    <m/>
    <x v="0"/>
    <x v="0"/>
    <x v="0"/>
  </r>
  <r>
    <x v="935"/>
    <x v="14"/>
    <x v="2"/>
    <x v="0"/>
    <x v="0"/>
    <m/>
    <x v="1"/>
    <m/>
    <n v="1"/>
    <x v="0"/>
    <x v="4"/>
    <m/>
    <x v="0"/>
    <x v="0"/>
    <x v="0"/>
  </r>
  <r>
    <x v="936"/>
    <x v="14"/>
    <x v="2"/>
    <x v="0"/>
    <x v="0"/>
    <m/>
    <x v="1"/>
    <m/>
    <n v="1"/>
    <x v="0"/>
    <x v="4"/>
    <m/>
    <x v="0"/>
    <x v="0"/>
    <x v="0"/>
  </r>
  <r>
    <x v="937"/>
    <x v="14"/>
    <x v="2"/>
    <x v="0"/>
    <x v="0"/>
    <m/>
    <x v="1"/>
    <m/>
    <n v="1"/>
    <x v="0"/>
    <x v="4"/>
    <m/>
    <x v="0"/>
    <x v="0"/>
    <x v="0"/>
  </r>
  <r>
    <x v="938"/>
    <x v="14"/>
    <x v="2"/>
    <x v="0"/>
    <x v="0"/>
    <m/>
    <x v="1"/>
    <m/>
    <n v="1"/>
    <x v="0"/>
    <x v="4"/>
    <m/>
    <x v="0"/>
    <x v="0"/>
    <x v="0"/>
  </r>
  <r>
    <x v="939"/>
    <x v="14"/>
    <x v="2"/>
    <x v="0"/>
    <x v="0"/>
    <m/>
    <x v="1"/>
    <m/>
    <n v="1"/>
    <x v="0"/>
    <x v="4"/>
    <m/>
    <x v="0"/>
    <x v="0"/>
    <x v="0"/>
  </r>
  <r>
    <x v="940"/>
    <x v="14"/>
    <x v="2"/>
    <x v="0"/>
    <x v="0"/>
    <m/>
    <x v="1"/>
    <m/>
    <n v="1"/>
    <x v="0"/>
    <x v="4"/>
    <m/>
    <x v="0"/>
    <x v="0"/>
    <x v="0"/>
  </r>
  <r>
    <x v="941"/>
    <x v="14"/>
    <x v="2"/>
    <x v="0"/>
    <x v="0"/>
    <m/>
    <x v="1"/>
    <m/>
    <n v="1"/>
    <x v="0"/>
    <x v="4"/>
    <m/>
    <x v="0"/>
    <x v="0"/>
    <x v="0"/>
  </r>
  <r>
    <x v="942"/>
    <x v="14"/>
    <x v="2"/>
    <x v="0"/>
    <x v="0"/>
    <m/>
    <x v="1"/>
    <m/>
    <n v="1"/>
    <x v="0"/>
    <x v="4"/>
    <m/>
    <x v="0"/>
    <x v="0"/>
    <x v="0"/>
  </r>
  <r>
    <x v="943"/>
    <x v="14"/>
    <x v="2"/>
    <x v="0"/>
    <x v="0"/>
    <m/>
    <x v="1"/>
    <m/>
    <n v="1"/>
    <x v="0"/>
    <x v="4"/>
    <m/>
    <x v="0"/>
    <x v="0"/>
    <x v="0"/>
  </r>
  <r>
    <x v="944"/>
    <x v="14"/>
    <x v="2"/>
    <x v="0"/>
    <x v="0"/>
    <m/>
    <x v="1"/>
    <m/>
    <n v="1"/>
    <x v="0"/>
    <x v="4"/>
    <m/>
    <x v="0"/>
    <x v="0"/>
    <x v="0"/>
  </r>
  <r>
    <x v="945"/>
    <x v="14"/>
    <x v="2"/>
    <x v="0"/>
    <x v="0"/>
    <m/>
    <x v="1"/>
    <m/>
    <n v="1"/>
    <x v="0"/>
    <x v="4"/>
    <m/>
    <x v="0"/>
    <x v="0"/>
    <x v="0"/>
  </r>
  <r>
    <x v="946"/>
    <x v="14"/>
    <x v="2"/>
    <x v="0"/>
    <x v="0"/>
    <m/>
    <x v="1"/>
    <m/>
    <n v="1"/>
    <x v="0"/>
    <x v="4"/>
    <m/>
    <x v="0"/>
    <x v="0"/>
    <x v="0"/>
  </r>
  <r>
    <x v="947"/>
    <x v="14"/>
    <x v="2"/>
    <x v="0"/>
    <x v="0"/>
    <m/>
    <x v="1"/>
    <m/>
    <n v="1"/>
    <x v="0"/>
    <x v="4"/>
    <m/>
    <x v="0"/>
    <x v="0"/>
    <x v="0"/>
  </r>
  <r>
    <x v="948"/>
    <x v="14"/>
    <x v="2"/>
    <x v="0"/>
    <x v="0"/>
    <m/>
    <x v="1"/>
    <m/>
    <n v="1"/>
    <x v="0"/>
    <x v="4"/>
    <m/>
    <x v="0"/>
    <x v="0"/>
    <x v="0"/>
  </r>
  <r>
    <x v="949"/>
    <x v="14"/>
    <x v="2"/>
    <x v="0"/>
    <x v="0"/>
    <m/>
    <x v="1"/>
    <m/>
    <n v="1"/>
    <x v="0"/>
    <x v="4"/>
    <m/>
    <x v="0"/>
    <x v="0"/>
    <x v="0"/>
  </r>
  <r>
    <x v="950"/>
    <x v="14"/>
    <x v="2"/>
    <x v="0"/>
    <x v="0"/>
    <m/>
    <x v="1"/>
    <m/>
    <n v="1"/>
    <x v="0"/>
    <x v="4"/>
    <m/>
    <x v="0"/>
    <x v="0"/>
    <x v="0"/>
  </r>
  <r>
    <x v="951"/>
    <x v="14"/>
    <x v="2"/>
    <x v="0"/>
    <x v="0"/>
    <m/>
    <x v="1"/>
    <m/>
    <n v="1"/>
    <x v="0"/>
    <x v="4"/>
    <m/>
    <x v="0"/>
    <x v="0"/>
    <x v="0"/>
  </r>
  <r>
    <x v="952"/>
    <x v="14"/>
    <x v="2"/>
    <x v="0"/>
    <x v="0"/>
    <m/>
    <x v="1"/>
    <m/>
    <n v="1"/>
    <x v="0"/>
    <x v="4"/>
    <m/>
    <x v="0"/>
    <x v="0"/>
    <x v="0"/>
  </r>
  <r>
    <x v="953"/>
    <x v="14"/>
    <x v="2"/>
    <x v="0"/>
    <x v="0"/>
    <m/>
    <x v="1"/>
    <m/>
    <n v="1"/>
    <x v="0"/>
    <x v="4"/>
    <m/>
    <x v="0"/>
    <x v="0"/>
    <x v="0"/>
  </r>
  <r>
    <x v="954"/>
    <x v="14"/>
    <x v="2"/>
    <x v="0"/>
    <x v="0"/>
    <m/>
    <x v="1"/>
    <m/>
    <n v="1"/>
    <x v="0"/>
    <x v="4"/>
    <m/>
    <x v="0"/>
    <x v="0"/>
    <x v="0"/>
  </r>
  <r>
    <x v="955"/>
    <x v="14"/>
    <x v="2"/>
    <x v="0"/>
    <x v="0"/>
    <m/>
    <x v="1"/>
    <m/>
    <n v="1"/>
    <x v="0"/>
    <x v="4"/>
    <m/>
    <x v="0"/>
    <x v="0"/>
    <x v="0"/>
  </r>
  <r>
    <x v="956"/>
    <x v="14"/>
    <x v="2"/>
    <x v="0"/>
    <x v="0"/>
    <m/>
    <x v="1"/>
    <m/>
    <n v="1"/>
    <x v="0"/>
    <x v="4"/>
    <m/>
    <x v="0"/>
    <x v="0"/>
    <x v="0"/>
  </r>
  <r>
    <x v="957"/>
    <x v="14"/>
    <x v="2"/>
    <x v="0"/>
    <x v="0"/>
    <m/>
    <x v="1"/>
    <m/>
    <n v="1"/>
    <x v="0"/>
    <x v="4"/>
    <m/>
    <x v="0"/>
    <x v="0"/>
    <x v="0"/>
  </r>
  <r>
    <x v="958"/>
    <x v="14"/>
    <x v="2"/>
    <x v="0"/>
    <x v="0"/>
    <m/>
    <x v="1"/>
    <m/>
    <n v="1"/>
    <x v="0"/>
    <x v="4"/>
    <m/>
    <x v="0"/>
    <x v="0"/>
    <x v="0"/>
  </r>
  <r>
    <x v="959"/>
    <x v="14"/>
    <x v="2"/>
    <x v="0"/>
    <x v="0"/>
    <m/>
    <x v="1"/>
    <m/>
    <n v="1"/>
    <x v="0"/>
    <x v="4"/>
    <m/>
    <x v="0"/>
    <x v="0"/>
    <x v="0"/>
  </r>
  <r>
    <x v="960"/>
    <x v="14"/>
    <x v="2"/>
    <x v="0"/>
    <x v="0"/>
    <m/>
    <x v="1"/>
    <m/>
    <n v="1"/>
    <x v="0"/>
    <x v="4"/>
    <m/>
    <x v="0"/>
    <x v="0"/>
    <x v="0"/>
  </r>
  <r>
    <x v="961"/>
    <x v="14"/>
    <x v="2"/>
    <x v="0"/>
    <x v="0"/>
    <m/>
    <x v="1"/>
    <m/>
    <n v="1"/>
    <x v="0"/>
    <x v="4"/>
    <m/>
    <x v="0"/>
    <x v="0"/>
    <x v="0"/>
  </r>
  <r>
    <x v="962"/>
    <x v="14"/>
    <x v="2"/>
    <x v="0"/>
    <x v="0"/>
    <m/>
    <x v="1"/>
    <m/>
    <n v="1"/>
    <x v="0"/>
    <x v="4"/>
    <m/>
    <x v="0"/>
    <x v="0"/>
    <x v="0"/>
  </r>
  <r>
    <x v="963"/>
    <x v="14"/>
    <x v="2"/>
    <x v="0"/>
    <x v="0"/>
    <m/>
    <x v="1"/>
    <m/>
    <n v="1"/>
    <x v="0"/>
    <x v="4"/>
    <m/>
    <x v="0"/>
    <x v="0"/>
    <x v="0"/>
  </r>
  <r>
    <x v="964"/>
    <x v="14"/>
    <x v="2"/>
    <x v="0"/>
    <x v="0"/>
    <m/>
    <x v="1"/>
    <m/>
    <n v="1"/>
    <x v="0"/>
    <x v="4"/>
    <m/>
    <x v="0"/>
    <x v="0"/>
    <x v="0"/>
  </r>
  <r>
    <x v="965"/>
    <x v="14"/>
    <x v="2"/>
    <x v="0"/>
    <x v="0"/>
    <m/>
    <x v="1"/>
    <m/>
    <n v="1"/>
    <x v="0"/>
    <x v="4"/>
    <m/>
    <x v="0"/>
    <x v="0"/>
    <x v="0"/>
  </r>
  <r>
    <x v="966"/>
    <x v="14"/>
    <x v="2"/>
    <x v="0"/>
    <x v="0"/>
    <m/>
    <x v="1"/>
    <m/>
    <n v="1"/>
    <x v="0"/>
    <x v="4"/>
    <m/>
    <x v="0"/>
    <x v="0"/>
    <x v="0"/>
  </r>
  <r>
    <x v="967"/>
    <x v="14"/>
    <x v="2"/>
    <x v="0"/>
    <x v="0"/>
    <m/>
    <x v="1"/>
    <m/>
    <n v="1"/>
    <x v="0"/>
    <x v="4"/>
    <m/>
    <x v="0"/>
    <x v="0"/>
    <x v="0"/>
  </r>
  <r>
    <x v="968"/>
    <x v="14"/>
    <x v="2"/>
    <x v="0"/>
    <x v="0"/>
    <m/>
    <x v="1"/>
    <m/>
    <n v="1"/>
    <x v="0"/>
    <x v="4"/>
    <m/>
    <x v="0"/>
    <x v="0"/>
    <x v="0"/>
  </r>
  <r>
    <x v="969"/>
    <x v="14"/>
    <x v="2"/>
    <x v="0"/>
    <x v="0"/>
    <m/>
    <x v="1"/>
    <m/>
    <n v="1"/>
    <x v="0"/>
    <x v="4"/>
    <m/>
    <x v="0"/>
    <x v="0"/>
    <x v="0"/>
  </r>
  <r>
    <x v="970"/>
    <x v="14"/>
    <x v="2"/>
    <x v="0"/>
    <x v="0"/>
    <m/>
    <x v="1"/>
    <m/>
    <n v="1"/>
    <x v="0"/>
    <x v="4"/>
    <m/>
    <x v="0"/>
    <x v="0"/>
    <x v="0"/>
  </r>
  <r>
    <x v="971"/>
    <x v="14"/>
    <x v="2"/>
    <x v="0"/>
    <x v="0"/>
    <m/>
    <x v="1"/>
    <m/>
    <n v="1"/>
    <x v="0"/>
    <x v="4"/>
    <m/>
    <x v="0"/>
    <x v="0"/>
    <x v="0"/>
  </r>
  <r>
    <x v="972"/>
    <x v="14"/>
    <x v="2"/>
    <x v="0"/>
    <x v="0"/>
    <m/>
    <x v="1"/>
    <m/>
    <n v="1"/>
    <x v="0"/>
    <x v="4"/>
    <m/>
    <x v="0"/>
    <x v="0"/>
    <x v="0"/>
  </r>
  <r>
    <x v="973"/>
    <x v="14"/>
    <x v="2"/>
    <x v="0"/>
    <x v="0"/>
    <m/>
    <x v="1"/>
    <m/>
    <n v="1"/>
    <x v="0"/>
    <x v="4"/>
    <m/>
    <x v="0"/>
    <x v="0"/>
    <x v="0"/>
  </r>
  <r>
    <x v="974"/>
    <x v="14"/>
    <x v="2"/>
    <x v="0"/>
    <x v="0"/>
    <m/>
    <x v="1"/>
    <m/>
    <n v="1"/>
    <x v="0"/>
    <x v="4"/>
    <m/>
    <x v="0"/>
    <x v="0"/>
    <x v="0"/>
  </r>
  <r>
    <x v="975"/>
    <x v="14"/>
    <x v="2"/>
    <x v="0"/>
    <x v="0"/>
    <m/>
    <x v="1"/>
    <m/>
    <n v="1"/>
    <x v="0"/>
    <x v="4"/>
    <m/>
    <x v="0"/>
    <x v="0"/>
    <x v="0"/>
  </r>
  <r>
    <x v="976"/>
    <x v="14"/>
    <x v="2"/>
    <x v="0"/>
    <x v="0"/>
    <m/>
    <x v="1"/>
    <m/>
    <n v="1"/>
    <x v="0"/>
    <x v="4"/>
    <m/>
    <x v="0"/>
    <x v="0"/>
    <x v="0"/>
  </r>
  <r>
    <x v="977"/>
    <x v="14"/>
    <x v="2"/>
    <x v="0"/>
    <x v="0"/>
    <m/>
    <x v="1"/>
    <m/>
    <n v="1"/>
    <x v="0"/>
    <x v="4"/>
    <m/>
    <x v="0"/>
    <x v="0"/>
    <x v="0"/>
  </r>
  <r>
    <x v="978"/>
    <x v="14"/>
    <x v="2"/>
    <x v="0"/>
    <x v="0"/>
    <m/>
    <x v="1"/>
    <m/>
    <n v="1"/>
    <x v="0"/>
    <x v="4"/>
    <m/>
    <x v="0"/>
    <x v="0"/>
    <x v="0"/>
  </r>
  <r>
    <x v="979"/>
    <x v="14"/>
    <x v="2"/>
    <x v="0"/>
    <x v="0"/>
    <m/>
    <x v="1"/>
    <m/>
    <n v="1"/>
    <x v="0"/>
    <x v="4"/>
    <m/>
    <x v="0"/>
    <x v="0"/>
    <x v="0"/>
  </r>
  <r>
    <x v="980"/>
    <x v="14"/>
    <x v="2"/>
    <x v="0"/>
    <x v="0"/>
    <m/>
    <x v="1"/>
    <m/>
    <n v="1"/>
    <x v="0"/>
    <x v="4"/>
    <m/>
    <x v="0"/>
    <x v="0"/>
    <x v="0"/>
  </r>
  <r>
    <x v="981"/>
    <x v="14"/>
    <x v="2"/>
    <x v="0"/>
    <x v="0"/>
    <m/>
    <x v="1"/>
    <m/>
    <n v="1"/>
    <x v="0"/>
    <x v="4"/>
    <m/>
    <x v="0"/>
    <x v="0"/>
    <x v="0"/>
  </r>
  <r>
    <x v="982"/>
    <x v="14"/>
    <x v="2"/>
    <x v="0"/>
    <x v="0"/>
    <m/>
    <x v="1"/>
    <m/>
    <n v="1"/>
    <x v="0"/>
    <x v="4"/>
    <m/>
    <x v="0"/>
    <x v="0"/>
    <x v="0"/>
  </r>
  <r>
    <x v="983"/>
    <x v="14"/>
    <x v="2"/>
    <x v="0"/>
    <x v="0"/>
    <m/>
    <x v="1"/>
    <m/>
    <n v="1"/>
    <x v="0"/>
    <x v="4"/>
    <m/>
    <x v="0"/>
    <x v="0"/>
    <x v="0"/>
  </r>
  <r>
    <x v="984"/>
    <x v="14"/>
    <x v="2"/>
    <x v="0"/>
    <x v="0"/>
    <m/>
    <x v="1"/>
    <m/>
    <n v="1"/>
    <x v="0"/>
    <x v="4"/>
    <m/>
    <x v="0"/>
    <x v="0"/>
    <x v="0"/>
  </r>
  <r>
    <x v="985"/>
    <x v="14"/>
    <x v="2"/>
    <x v="0"/>
    <x v="0"/>
    <m/>
    <x v="1"/>
    <m/>
    <n v="1"/>
    <x v="0"/>
    <x v="4"/>
    <m/>
    <x v="0"/>
    <x v="0"/>
    <x v="0"/>
  </r>
  <r>
    <x v="986"/>
    <x v="14"/>
    <x v="2"/>
    <x v="0"/>
    <x v="0"/>
    <m/>
    <x v="1"/>
    <m/>
    <n v="1"/>
    <x v="0"/>
    <x v="4"/>
    <m/>
    <x v="0"/>
    <x v="0"/>
    <x v="0"/>
  </r>
  <r>
    <x v="987"/>
    <x v="14"/>
    <x v="2"/>
    <x v="0"/>
    <x v="0"/>
    <m/>
    <x v="1"/>
    <m/>
    <n v="1"/>
    <x v="0"/>
    <x v="4"/>
    <m/>
    <x v="0"/>
    <x v="0"/>
    <x v="0"/>
  </r>
  <r>
    <x v="988"/>
    <x v="14"/>
    <x v="2"/>
    <x v="0"/>
    <x v="0"/>
    <m/>
    <x v="1"/>
    <m/>
    <n v="1"/>
    <x v="0"/>
    <x v="4"/>
    <m/>
    <x v="0"/>
    <x v="0"/>
    <x v="0"/>
  </r>
  <r>
    <x v="989"/>
    <x v="14"/>
    <x v="2"/>
    <x v="0"/>
    <x v="0"/>
    <m/>
    <x v="1"/>
    <m/>
    <n v="1"/>
    <x v="0"/>
    <x v="4"/>
    <m/>
    <x v="0"/>
    <x v="0"/>
    <x v="0"/>
  </r>
  <r>
    <x v="990"/>
    <x v="14"/>
    <x v="2"/>
    <x v="0"/>
    <x v="0"/>
    <m/>
    <x v="1"/>
    <m/>
    <n v="1"/>
    <x v="0"/>
    <x v="4"/>
    <m/>
    <x v="0"/>
    <x v="0"/>
    <x v="0"/>
  </r>
  <r>
    <x v="991"/>
    <x v="14"/>
    <x v="2"/>
    <x v="0"/>
    <x v="0"/>
    <m/>
    <x v="1"/>
    <m/>
    <n v="1"/>
    <x v="0"/>
    <x v="4"/>
    <m/>
    <x v="0"/>
    <x v="0"/>
    <x v="0"/>
  </r>
  <r>
    <x v="992"/>
    <x v="14"/>
    <x v="2"/>
    <x v="0"/>
    <x v="0"/>
    <m/>
    <x v="1"/>
    <m/>
    <n v="1"/>
    <x v="0"/>
    <x v="4"/>
    <m/>
    <x v="0"/>
    <x v="0"/>
    <x v="0"/>
  </r>
  <r>
    <x v="993"/>
    <x v="14"/>
    <x v="2"/>
    <x v="0"/>
    <x v="0"/>
    <m/>
    <x v="1"/>
    <m/>
    <n v="1"/>
    <x v="0"/>
    <x v="4"/>
    <m/>
    <x v="0"/>
    <x v="0"/>
    <x v="0"/>
  </r>
  <r>
    <x v="994"/>
    <x v="14"/>
    <x v="2"/>
    <x v="0"/>
    <x v="0"/>
    <m/>
    <x v="1"/>
    <m/>
    <n v="1"/>
    <x v="0"/>
    <x v="4"/>
    <m/>
    <x v="0"/>
    <x v="0"/>
    <x v="0"/>
  </r>
  <r>
    <x v="995"/>
    <x v="14"/>
    <x v="2"/>
    <x v="0"/>
    <x v="0"/>
    <m/>
    <x v="1"/>
    <m/>
    <n v="1"/>
    <x v="0"/>
    <x v="4"/>
    <m/>
    <x v="0"/>
    <x v="0"/>
    <x v="0"/>
  </r>
  <r>
    <x v="996"/>
    <x v="14"/>
    <x v="2"/>
    <x v="0"/>
    <x v="0"/>
    <m/>
    <x v="1"/>
    <m/>
    <n v="1"/>
    <x v="0"/>
    <x v="4"/>
    <m/>
    <x v="0"/>
    <x v="0"/>
    <x v="0"/>
  </r>
  <r>
    <x v="997"/>
    <x v="14"/>
    <x v="2"/>
    <x v="0"/>
    <x v="0"/>
    <m/>
    <x v="1"/>
    <m/>
    <n v="1"/>
    <x v="0"/>
    <x v="4"/>
    <m/>
    <x v="0"/>
    <x v="0"/>
    <x v="0"/>
  </r>
  <r>
    <x v="998"/>
    <x v="14"/>
    <x v="2"/>
    <x v="0"/>
    <x v="0"/>
    <m/>
    <x v="1"/>
    <m/>
    <n v="1"/>
    <x v="0"/>
    <x v="4"/>
    <m/>
    <x v="0"/>
    <x v="0"/>
    <x v="0"/>
  </r>
  <r>
    <x v="999"/>
    <x v="14"/>
    <x v="2"/>
    <x v="0"/>
    <x v="0"/>
    <m/>
    <x v="1"/>
    <m/>
    <n v="1"/>
    <x v="0"/>
    <x v="4"/>
    <m/>
    <x v="0"/>
    <x v="0"/>
    <x v="0"/>
  </r>
  <r>
    <x v="1000"/>
    <x v="14"/>
    <x v="2"/>
    <x v="0"/>
    <x v="0"/>
    <m/>
    <x v="1"/>
    <m/>
    <n v="1"/>
    <x v="0"/>
    <x v="4"/>
    <m/>
    <x v="0"/>
    <x v="0"/>
    <x v="0"/>
  </r>
  <r>
    <x v="1001"/>
    <x v="14"/>
    <x v="2"/>
    <x v="0"/>
    <x v="0"/>
    <m/>
    <x v="1"/>
    <m/>
    <n v="1"/>
    <x v="0"/>
    <x v="4"/>
    <m/>
    <x v="0"/>
    <x v="0"/>
    <x v="0"/>
  </r>
  <r>
    <x v="1002"/>
    <x v="14"/>
    <x v="2"/>
    <x v="0"/>
    <x v="0"/>
    <m/>
    <x v="1"/>
    <m/>
    <n v="1"/>
    <x v="0"/>
    <x v="4"/>
    <m/>
    <x v="0"/>
    <x v="0"/>
    <x v="0"/>
  </r>
  <r>
    <x v="1003"/>
    <x v="16"/>
    <x v="0"/>
    <x v="0"/>
    <x v="0"/>
    <m/>
    <x v="1"/>
    <m/>
    <n v="1"/>
    <x v="0"/>
    <x v="4"/>
    <m/>
    <x v="0"/>
    <x v="0"/>
    <x v="0"/>
  </r>
  <r>
    <x v="1004"/>
    <x v="16"/>
    <x v="0"/>
    <x v="0"/>
    <x v="0"/>
    <m/>
    <x v="1"/>
    <m/>
    <n v="1"/>
    <x v="0"/>
    <x v="4"/>
    <m/>
    <x v="0"/>
    <x v="0"/>
    <x v="0"/>
  </r>
  <r>
    <x v="1005"/>
    <x v="16"/>
    <x v="0"/>
    <x v="0"/>
    <x v="0"/>
    <m/>
    <x v="1"/>
    <m/>
    <n v="1"/>
    <x v="0"/>
    <x v="4"/>
    <m/>
    <x v="0"/>
    <x v="0"/>
    <x v="0"/>
  </r>
  <r>
    <x v="1006"/>
    <x v="17"/>
    <x v="2"/>
    <x v="0"/>
    <x v="0"/>
    <m/>
    <x v="1"/>
    <m/>
    <n v="1"/>
    <x v="0"/>
    <x v="4"/>
    <m/>
    <x v="0"/>
    <x v="0"/>
    <x v="0"/>
  </r>
  <r>
    <x v="1007"/>
    <x v="17"/>
    <x v="2"/>
    <x v="0"/>
    <x v="0"/>
    <m/>
    <x v="1"/>
    <m/>
    <n v="1"/>
    <x v="0"/>
    <x v="4"/>
    <m/>
    <x v="0"/>
    <x v="0"/>
    <x v="0"/>
  </r>
  <r>
    <x v="1008"/>
    <x v="17"/>
    <x v="2"/>
    <x v="0"/>
    <x v="0"/>
    <m/>
    <x v="1"/>
    <m/>
    <n v="1"/>
    <x v="0"/>
    <x v="4"/>
    <m/>
    <x v="0"/>
    <x v="0"/>
    <x v="0"/>
  </r>
  <r>
    <x v="1009"/>
    <x v="17"/>
    <x v="2"/>
    <x v="0"/>
    <x v="0"/>
    <m/>
    <x v="1"/>
    <m/>
    <n v="1"/>
    <x v="0"/>
    <x v="4"/>
    <m/>
    <x v="0"/>
    <x v="0"/>
    <x v="0"/>
  </r>
  <r>
    <x v="1010"/>
    <x v="17"/>
    <x v="2"/>
    <x v="0"/>
    <x v="0"/>
    <m/>
    <x v="1"/>
    <m/>
    <n v="1"/>
    <x v="0"/>
    <x v="4"/>
    <m/>
    <x v="0"/>
    <x v="0"/>
    <x v="0"/>
  </r>
  <r>
    <x v="1011"/>
    <x v="17"/>
    <x v="2"/>
    <x v="0"/>
    <x v="0"/>
    <m/>
    <x v="1"/>
    <m/>
    <n v="1"/>
    <x v="0"/>
    <x v="4"/>
    <m/>
    <x v="0"/>
    <x v="0"/>
    <x v="0"/>
  </r>
  <r>
    <x v="1012"/>
    <x v="17"/>
    <x v="2"/>
    <x v="0"/>
    <x v="0"/>
    <m/>
    <x v="1"/>
    <m/>
    <n v="1"/>
    <x v="0"/>
    <x v="4"/>
    <m/>
    <x v="0"/>
    <x v="0"/>
    <x v="0"/>
  </r>
  <r>
    <x v="1013"/>
    <x v="17"/>
    <x v="2"/>
    <x v="0"/>
    <x v="0"/>
    <m/>
    <x v="1"/>
    <m/>
    <n v="1"/>
    <x v="0"/>
    <x v="4"/>
    <m/>
    <x v="0"/>
    <x v="0"/>
    <x v="0"/>
  </r>
  <r>
    <x v="1014"/>
    <x v="17"/>
    <x v="2"/>
    <x v="0"/>
    <x v="0"/>
    <m/>
    <x v="1"/>
    <m/>
    <n v="1"/>
    <x v="0"/>
    <x v="4"/>
    <m/>
    <x v="0"/>
    <x v="0"/>
    <x v="0"/>
  </r>
  <r>
    <x v="1015"/>
    <x v="17"/>
    <x v="2"/>
    <x v="0"/>
    <x v="0"/>
    <m/>
    <x v="1"/>
    <m/>
    <n v="1"/>
    <x v="0"/>
    <x v="4"/>
    <m/>
    <x v="0"/>
    <x v="0"/>
    <x v="0"/>
  </r>
  <r>
    <x v="1016"/>
    <x v="17"/>
    <x v="2"/>
    <x v="0"/>
    <x v="0"/>
    <m/>
    <x v="1"/>
    <m/>
    <n v="1"/>
    <x v="0"/>
    <x v="4"/>
    <m/>
    <x v="0"/>
    <x v="0"/>
    <x v="0"/>
  </r>
  <r>
    <x v="1017"/>
    <x v="17"/>
    <x v="2"/>
    <x v="0"/>
    <x v="0"/>
    <m/>
    <x v="1"/>
    <m/>
    <n v="1"/>
    <x v="0"/>
    <x v="4"/>
    <m/>
    <x v="0"/>
    <x v="0"/>
    <x v="0"/>
  </r>
  <r>
    <x v="1018"/>
    <x v="17"/>
    <x v="2"/>
    <x v="0"/>
    <x v="0"/>
    <m/>
    <x v="1"/>
    <m/>
    <n v="1"/>
    <x v="0"/>
    <x v="4"/>
    <m/>
    <x v="0"/>
    <x v="0"/>
    <x v="0"/>
  </r>
  <r>
    <x v="1019"/>
    <x v="17"/>
    <x v="2"/>
    <x v="0"/>
    <x v="0"/>
    <m/>
    <x v="1"/>
    <m/>
    <n v="1"/>
    <x v="0"/>
    <x v="4"/>
    <m/>
    <x v="0"/>
    <x v="0"/>
    <x v="0"/>
  </r>
  <r>
    <x v="1020"/>
    <x v="17"/>
    <x v="2"/>
    <x v="0"/>
    <x v="0"/>
    <m/>
    <x v="1"/>
    <m/>
    <n v="1"/>
    <x v="0"/>
    <x v="4"/>
    <m/>
    <x v="0"/>
    <x v="0"/>
    <x v="0"/>
  </r>
  <r>
    <x v="1021"/>
    <x v="17"/>
    <x v="2"/>
    <x v="0"/>
    <x v="0"/>
    <m/>
    <x v="1"/>
    <m/>
    <n v="1"/>
    <x v="0"/>
    <x v="4"/>
    <m/>
    <x v="0"/>
    <x v="0"/>
    <x v="0"/>
  </r>
  <r>
    <x v="1022"/>
    <x v="17"/>
    <x v="2"/>
    <x v="0"/>
    <x v="0"/>
    <m/>
    <x v="1"/>
    <m/>
    <n v="1"/>
    <x v="0"/>
    <x v="4"/>
    <m/>
    <x v="0"/>
    <x v="0"/>
    <x v="0"/>
  </r>
  <r>
    <x v="1023"/>
    <x v="17"/>
    <x v="2"/>
    <x v="0"/>
    <x v="0"/>
    <m/>
    <x v="1"/>
    <m/>
    <n v="1"/>
    <x v="0"/>
    <x v="4"/>
    <m/>
    <x v="0"/>
    <x v="0"/>
    <x v="0"/>
  </r>
  <r>
    <x v="1024"/>
    <x v="17"/>
    <x v="2"/>
    <x v="0"/>
    <x v="0"/>
    <m/>
    <x v="1"/>
    <m/>
    <n v="1"/>
    <x v="0"/>
    <x v="4"/>
    <m/>
    <x v="0"/>
    <x v="0"/>
    <x v="0"/>
  </r>
  <r>
    <x v="1025"/>
    <x v="17"/>
    <x v="2"/>
    <x v="0"/>
    <x v="0"/>
    <m/>
    <x v="1"/>
    <m/>
    <n v="1"/>
    <x v="0"/>
    <x v="4"/>
    <m/>
    <x v="0"/>
    <x v="0"/>
    <x v="0"/>
  </r>
  <r>
    <x v="1026"/>
    <x v="17"/>
    <x v="2"/>
    <x v="0"/>
    <x v="0"/>
    <m/>
    <x v="1"/>
    <m/>
    <n v="1"/>
    <x v="0"/>
    <x v="4"/>
    <m/>
    <x v="0"/>
    <x v="0"/>
    <x v="0"/>
  </r>
  <r>
    <x v="1027"/>
    <x v="17"/>
    <x v="2"/>
    <x v="0"/>
    <x v="0"/>
    <m/>
    <x v="1"/>
    <m/>
    <n v="1"/>
    <x v="0"/>
    <x v="4"/>
    <m/>
    <x v="0"/>
    <x v="0"/>
    <x v="0"/>
  </r>
  <r>
    <x v="1028"/>
    <x v="17"/>
    <x v="2"/>
    <x v="0"/>
    <x v="0"/>
    <m/>
    <x v="1"/>
    <m/>
    <n v="1"/>
    <x v="0"/>
    <x v="4"/>
    <m/>
    <x v="0"/>
    <x v="0"/>
    <x v="0"/>
  </r>
  <r>
    <x v="1029"/>
    <x v="17"/>
    <x v="2"/>
    <x v="0"/>
    <x v="0"/>
    <m/>
    <x v="1"/>
    <m/>
    <n v="1"/>
    <x v="0"/>
    <x v="4"/>
    <m/>
    <x v="0"/>
    <x v="0"/>
    <x v="0"/>
  </r>
  <r>
    <x v="1030"/>
    <x v="17"/>
    <x v="2"/>
    <x v="0"/>
    <x v="0"/>
    <m/>
    <x v="1"/>
    <m/>
    <n v="1"/>
    <x v="0"/>
    <x v="4"/>
    <m/>
    <x v="0"/>
    <x v="0"/>
    <x v="0"/>
  </r>
  <r>
    <x v="1031"/>
    <x v="17"/>
    <x v="2"/>
    <x v="0"/>
    <x v="0"/>
    <m/>
    <x v="1"/>
    <m/>
    <n v="1"/>
    <x v="0"/>
    <x v="4"/>
    <m/>
    <x v="0"/>
    <x v="0"/>
    <x v="0"/>
  </r>
  <r>
    <x v="1032"/>
    <x v="17"/>
    <x v="2"/>
    <x v="0"/>
    <x v="0"/>
    <m/>
    <x v="1"/>
    <m/>
    <n v="1"/>
    <x v="0"/>
    <x v="4"/>
    <m/>
    <x v="0"/>
    <x v="0"/>
    <x v="0"/>
  </r>
  <r>
    <x v="1033"/>
    <x v="17"/>
    <x v="2"/>
    <x v="0"/>
    <x v="0"/>
    <m/>
    <x v="1"/>
    <m/>
    <n v="1"/>
    <x v="0"/>
    <x v="4"/>
    <m/>
    <x v="0"/>
    <x v="0"/>
    <x v="0"/>
  </r>
  <r>
    <x v="1034"/>
    <x v="17"/>
    <x v="2"/>
    <x v="0"/>
    <x v="0"/>
    <m/>
    <x v="1"/>
    <m/>
    <n v="1"/>
    <x v="0"/>
    <x v="4"/>
    <m/>
    <x v="0"/>
    <x v="0"/>
    <x v="0"/>
  </r>
  <r>
    <x v="1035"/>
    <x v="17"/>
    <x v="2"/>
    <x v="0"/>
    <x v="0"/>
    <m/>
    <x v="1"/>
    <m/>
    <n v="1"/>
    <x v="0"/>
    <x v="4"/>
    <m/>
    <x v="0"/>
    <x v="0"/>
    <x v="0"/>
  </r>
  <r>
    <x v="1036"/>
    <x v="17"/>
    <x v="2"/>
    <x v="0"/>
    <x v="0"/>
    <m/>
    <x v="1"/>
    <m/>
    <n v="1"/>
    <x v="0"/>
    <x v="4"/>
    <m/>
    <x v="0"/>
    <x v="0"/>
    <x v="0"/>
  </r>
  <r>
    <x v="1037"/>
    <x v="17"/>
    <x v="2"/>
    <x v="0"/>
    <x v="0"/>
    <m/>
    <x v="1"/>
    <m/>
    <n v="1"/>
    <x v="0"/>
    <x v="4"/>
    <m/>
    <x v="0"/>
    <x v="0"/>
    <x v="0"/>
  </r>
  <r>
    <x v="1038"/>
    <x v="17"/>
    <x v="2"/>
    <x v="0"/>
    <x v="0"/>
    <m/>
    <x v="1"/>
    <m/>
    <n v="1"/>
    <x v="0"/>
    <x v="4"/>
    <m/>
    <x v="0"/>
    <x v="0"/>
    <x v="0"/>
  </r>
  <r>
    <x v="1039"/>
    <x v="17"/>
    <x v="2"/>
    <x v="0"/>
    <x v="0"/>
    <m/>
    <x v="1"/>
    <m/>
    <n v="1"/>
    <x v="0"/>
    <x v="4"/>
    <m/>
    <x v="0"/>
    <x v="0"/>
    <x v="0"/>
  </r>
  <r>
    <x v="1040"/>
    <x v="17"/>
    <x v="2"/>
    <x v="0"/>
    <x v="0"/>
    <m/>
    <x v="1"/>
    <m/>
    <n v="1"/>
    <x v="0"/>
    <x v="4"/>
    <m/>
    <x v="0"/>
    <x v="0"/>
    <x v="0"/>
  </r>
  <r>
    <x v="1041"/>
    <x v="17"/>
    <x v="2"/>
    <x v="0"/>
    <x v="0"/>
    <m/>
    <x v="1"/>
    <m/>
    <n v="1"/>
    <x v="0"/>
    <x v="4"/>
    <m/>
    <x v="0"/>
    <x v="0"/>
    <x v="0"/>
  </r>
  <r>
    <x v="1042"/>
    <x v="17"/>
    <x v="2"/>
    <x v="0"/>
    <x v="0"/>
    <m/>
    <x v="1"/>
    <m/>
    <n v="1"/>
    <x v="0"/>
    <x v="4"/>
    <m/>
    <x v="0"/>
    <x v="0"/>
    <x v="0"/>
  </r>
  <r>
    <x v="1043"/>
    <x v="17"/>
    <x v="2"/>
    <x v="0"/>
    <x v="0"/>
    <m/>
    <x v="1"/>
    <m/>
    <n v="1"/>
    <x v="0"/>
    <x v="4"/>
    <m/>
    <x v="0"/>
    <x v="0"/>
    <x v="0"/>
  </r>
  <r>
    <x v="1044"/>
    <x v="17"/>
    <x v="2"/>
    <x v="0"/>
    <x v="0"/>
    <m/>
    <x v="1"/>
    <m/>
    <n v="1"/>
    <x v="0"/>
    <x v="4"/>
    <m/>
    <x v="0"/>
    <x v="0"/>
    <x v="0"/>
  </r>
  <r>
    <x v="1045"/>
    <x v="17"/>
    <x v="2"/>
    <x v="0"/>
    <x v="0"/>
    <m/>
    <x v="1"/>
    <m/>
    <n v="1"/>
    <x v="0"/>
    <x v="4"/>
    <m/>
    <x v="0"/>
    <x v="0"/>
    <x v="0"/>
  </r>
  <r>
    <x v="1046"/>
    <x v="17"/>
    <x v="2"/>
    <x v="0"/>
    <x v="0"/>
    <m/>
    <x v="1"/>
    <m/>
    <n v="1"/>
    <x v="0"/>
    <x v="4"/>
    <m/>
    <x v="0"/>
    <x v="0"/>
    <x v="0"/>
  </r>
  <r>
    <x v="1047"/>
    <x v="17"/>
    <x v="2"/>
    <x v="0"/>
    <x v="0"/>
    <m/>
    <x v="1"/>
    <m/>
    <n v="1"/>
    <x v="0"/>
    <x v="4"/>
    <m/>
    <x v="0"/>
    <x v="0"/>
    <x v="0"/>
  </r>
  <r>
    <x v="1048"/>
    <x v="17"/>
    <x v="2"/>
    <x v="0"/>
    <x v="0"/>
    <m/>
    <x v="1"/>
    <m/>
    <n v="1"/>
    <x v="0"/>
    <x v="4"/>
    <m/>
    <x v="0"/>
    <x v="0"/>
    <x v="0"/>
  </r>
  <r>
    <x v="1049"/>
    <x v="17"/>
    <x v="2"/>
    <x v="0"/>
    <x v="0"/>
    <m/>
    <x v="1"/>
    <m/>
    <n v="1"/>
    <x v="0"/>
    <x v="4"/>
    <m/>
    <x v="0"/>
    <x v="0"/>
    <x v="0"/>
  </r>
  <r>
    <x v="1050"/>
    <x v="17"/>
    <x v="2"/>
    <x v="0"/>
    <x v="0"/>
    <m/>
    <x v="1"/>
    <m/>
    <n v="1"/>
    <x v="0"/>
    <x v="4"/>
    <m/>
    <x v="0"/>
    <x v="0"/>
    <x v="0"/>
  </r>
  <r>
    <x v="1051"/>
    <x v="17"/>
    <x v="2"/>
    <x v="0"/>
    <x v="0"/>
    <m/>
    <x v="1"/>
    <m/>
    <n v="1"/>
    <x v="0"/>
    <x v="4"/>
    <m/>
    <x v="0"/>
    <x v="0"/>
    <x v="0"/>
  </r>
  <r>
    <x v="1052"/>
    <x v="17"/>
    <x v="2"/>
    <x v="0"/>
    <x v="0"/>
    <m/>
    <x v="1"/>
    <m/>
    <n v="1"/>
    <x v="0"/>
    <x v="4"/>
    <m/>
    <x v="0"/>
    <x v="0"/>
    <x v="0"/>
  </r>
  <r>
    <x v="1053"/>
    <x v="17"/>
    <x v="2"/>
    <x v="0"/>
    <x v="0"/>
    <m/>
    <x v="1"/>
    <m/>
    <n v="1"/>
    <x v="0"/>
    <x v="4"/>
    <m/>
    <x v="0"/>
    <x v="0"/>
    <x v="0"/>
  </r>
  <r>
    <x v="1054"/>
    <x v="17"/>
    <x v="2"/>
    <x v="0"/>
    <x v="0"/>
    <m/>
    <x v="1"/>
    <m/>
    <n v="1"/>
    <x v="0"/>
    <x v="4"/>
    <m/>
    <x v="0"/>
    <x v="0"/>
    <x v="0"/>
  </r>
  <r>
    <x v="1055"/>
    <x v="17"/>
    <x v="2"/>
    <x v="0"/>
    <x v="0"/>
    <m/>
    <x v="1"/>
    <m/>
    <n v="1"/>
    <x v="0"/>
    <x v="4"/>
    <m/>
    <x v="0"/>
    <x v="0"/>
    <x v="0"/>
  </r>
  <r>
    <x v="1056"/>
    <x v="17"/>
    <x v="2"/>
    <x v="0"/>
    <x v="0"/>
    <m/>
    <x v="1"/>
    <m/>
    <n v="1"/>
    <x v="0"/>
    <x v="4"/>
    <m/>
    <x v="0"/>
    <x v="0"/>
    <x v="0"/>
  </r>
  <r>
    <x v="1057"/>
    <x v="17"/>
    <x v="2"/>
    <x v="0"/>
    <x v="0"/>
    <m/>
    <x v="1"/>
    <m/>
    <n v="1"/>
    <x v="0"/>
    <x v="4"/>
    <m/>
    <x v="0"/>
    <x v="0"/>
    <x v="0"/>
  </r>
  <r>
    <x v="1058"/>
    <x v="17"/>
    <x v="2"/>
    <x v="0"/>
    <x v="0"/>
    <m/>
    <x v="1"/>
    <m/>
    <n v="1"/>
    <x v="0"/>
    <x v="4"/>
    <m/>
    <x v="0"/>
    <x v="0"/>
    <x v="0"/>
  </r>
  <r>
    <x v="1059"/>
    <x v="17"/>
    <x v="2"/>
    <x v="0"/>
    <x v="0"/>
    <m/>
    <x v="1"/>
    <m/>
    <n v="1"/>
    <x v="0"/>
    <x v="4"/>
    <m/>
    <x v="0"/>
    <x v="0"/>
    <x v="0"/>
  </r>
  <r>
    <x v="1060"/>
    <x v="17"/>
    <x v="2"/>
    <x v="0"/>
    <x v="0"/>
    <m/>
    <x v="1"/>
    <m/>
    <n v="1"/>
    <x v="0"/>
    <x v="4"/>
    <m/>
    <x v="0"/>
    <x v="0"/>
    <x v="0"/>
  </r>
  <r>
    <x v="1061"/>
    <x v="17"/>
    <x v="2"/>
    <x v="0"/>
    <x v="0"/>
    <m/>
    <x v="1"/>
    <m/>
    <n v="1"/>
    <x v="0"/>
    <x v="4"/>
    <m/>
    <x v="0"/>
    <x v="0"/>
    <x v="0"/>
  </r>
  <r>
    <x v="1062"/>
    <x v="17"/>
    <x v="2"/>
    <x v="0"/>
    <x v="0"/>
    <m/>
    <x v="1"/>
    <m/>
    <n v="1"/>
    <x v="0"/>
    <x v="4"/>
    <m/>
    <x v="0"/>
    <x v="0"/>
    <x v="0"/>
  </r>
  <r>
    <x v="1063"/>
    <x v="17"/>
    <x v="2"/>
    <x v="0"/>
    <x v="0"/>
    <m/>
    <x v="1"/>
    <m/>
    <n v="1"/>
    <x v="0"/>
    <x v="4"/>
    <m/>
    <x v="0"/>
    <x v="0"/>
    <x v="0"/>
  </r>
  <r>
    <x v="1064"/>
    <x v="17"/>
    <x v="2"/>
    <x v="0"/>
    <x v="0"/>
    <m/>
    <x v="1"/>
    <m/>
    <n v="1"/>
    <x v="0"/>
    <x v="4"/>
    <m/>
    <x v="0"/>
    <x v="0"/>
    <x v="0"/>
  </r>
  <r>
    <x v="1065"/>
    <x v="17"/>
    <x v="2"/>
    <x v="0"/>
    <x v="0"/>
    <m/>
    <x v="1"/>
    <m/>
    <n v="1"/>
    <x v="0"/>
    <x v="4"/>
    <m/>
    <x v="0"/>
    <x v="0"/>
    <x v="0"/>
  </r>
  <r>
    <x v="1066"/>
    <x v="17"/>
    <x v="2"/>
    <x v="0"/>
    <x v="0"/>
    <m/>
    <x v="1"/>
    <m/>
    <n v="1"/>
    <x v="0"/>
    <x v="4"/>
    <m/>
    <x v="0"/>
    <x v="0"/>
    <x v="0"/>
  </r>
  <r>
    <x v="1067"/>
    <x v="17"/>
    <x v="2"/>
    <x v="0"/>
    <x v="0"/>
    <m/>
    <x v="1"/>
    <m/>
    <n v="1"/>
    <x v="0"/>
    <x v="4"/>
    <m/>
    <x v="0"/>
    <x v="0"/>
    <x v="0"/>
  </r>
  <r>
    <x v="1068"/>
    <x v="17"/>
    <x v="2"/>
    <x v="0"/>
    <x v="0"/>
    <m/>
    <x v="1"/>
    <m/>
    <n v="1"/>
    <x v="0"/>
    <x v="4"/>
    <m/>
    <x v="0"/>
    <x v="0"/>
    <x v="0"/>
  </r>
  <r>
    <x v="1069"/>
    <x v="17"/>
    <x v="2"/>
    <x v="0"/>
    <x v="0"/>
    <m/>
    <x v="1"/>
    <m/>
    <n v="1"/>
    <x v="0"/>
    <x v="4"/>
    <m/>
    <x v="0"/>
    <x v="0"/>
    <x v="0"/>
  </r>
  <r>
    <x v="1070"/>
    <x v="17"/>
    <x v="2"/>
    <x v="0"/>
    <x v="0"/>
    <m/>
    <x v="1"/>
    <m/>
    <n v="1"/>
    <x v="0"/>
    <x v="4"/>
    <m/>
    <x v="0"/>
    <x v="0"/>
    <x v="0"/>
  </r>
  <r>
    <x v="1071"/>
    <x v="17"/>
    <x v="2"/>
    <x v="0"/>
    <x v="0"/>
    <m/>
    <x v="1"/>
    <m/>
    <n v="1"/>
    <x v="0"/>
    <x v="4"/>
    <m/>
    <x v="0"/>
    <x v="0"/>
    <x v="0"/>
  </r>
  <r>
    <x v="1072"/>
    <x v="17"/>
    <x v="2"/>
    <x v="0"/>
    <x v="0"/>
    <m/>
    <x v="1"/>
    <m/>
    <n v="1"/>
    <x v="0"/>
    <x v="4"/>
    <m/>
    <x v="0"/>
    <x v="0"/>
    <x v="0"/>
  </r>
  <r>
    <x v="1073"/>
    <x v="17"/>
    <x v="2"/>
    <x v="0"/>
    <x v="0"/>
    <m/>
    <x v="1"/>
    <m/>
    <n v="1"/>
    <x v="0"/>
    <x v="4"/>
    <m/>
    <x v="0"/>
    <x v="0"/>
    <x v="0"/>
  </r>
  <r>
    <x v="1074"/>
    <x v="17"/>
    <x v="2"/>
    <x v="0"/>
    <x v="0"/>
    <m/>
    <x v="1"/>
    <m/>
    <n v="1"/>
    <x v="0"/>
    <x v="4"/>
    <m/>
    <x v="0"/>
    <x v="0"/>
    <x v="0"/>
  </r>
  <r>
    <x v="1075"/>
    <x v="17"/>
    <x v="2"/>
    <x v="0"/>
    <x v="0"/>
    <m/>
    <x v="1"/>
    <m/>
    <n v="1"/>
    <x v="0"/>
    <x v="4"/>
    <m/>
    <x v="0"/>
    <x v="0"/>
    <x v="0"/>
  </r>
  <r>
    <x v="1076"/>
    <x v="17"/>
    <x v="2"/>
    <x v="0"/>
    <x v="0"/>
    <m/>
    <x v="1"/>
    <m/>
    <n v="1"/>
    <x v="0"/>
    <x v="4"/>
    <m/>
    <x v="0"/>
    <x v="0"/>
    <x v="0"/>
  </r>
  <r>
    <x v="1077"/>
    <x v="17"/>
    <x v="2"/>
    <x v="0"/>
    <x v="0"/>
    <m/>
    <x v="1"/>
    <m/>
    <n v="1"/>
    <x v="0"/>
    <x v="4"/>
    <m/>
    <x v="0"/>
    <x v="0"/>
    <x v="0"/>
  </r>
  <r>
    <x v="1078"/>
    <x v="17"/>
    <x v="2"/>
    <x v="0"/>
    <x v="0"/>
    <m/>
    <x v="1"/>
    <m/>
    <n v="1"/>
    <x v="0"/>
    <x v="4"/>
    <m/>
    <x v="0"/>
    <x v="0"/>
    <x v="0"/>
  </r>
  <r>
    <x v="1079"/>
    <x v="17"/>
    <x v="2"/>
    <x v="0"/>
    <x v="0"/>
    <m/>
    <x v="1"/>
    <m/>
    <n v="1"/>
    <x v="0"/>
    <x v="4"/>
    <m/>
    <x v="0"/>
    <x v="0"/>
    <x v="0"/>
  </r>
  <r>
    <x v="1080"/>
    <x v="17"/>
    <x v="2"/>
    <x v="0"/>
    <x v="0"/>
    <m/>
    <x v="1"/>
    <m/>
    <n v="1"/>
    <x v="0"/>
    <x v="4"/>
    <m/>
    <x v="0"/>
    <x v="0"/>
    <x v="0"/>
  </r>
  <r>
    <x v="1081"/>
    <x v="17"/>
    <x v="2"/>
    <x v="0"/>
    <x v="0"/>
    <m/>
    <x v="1"/>
    <m/>
    <n v="1"/>
    <x v="0"/>
    <x v="4"/>
    <m/>
    <x v="0"/>
    <x v="0"/>
    <x v="0"/>
  </r>
  <r>
    <x v="1082"/>
    <x v="17"/>
    <x v="2"/>
    <x v="0"/>
    <x v="0"/>
    <m/>
    <x v="1"/>
    <m/>
    <n v="1"/>
    <x v="0"/>
    <x v="4"/>
    <m/>
    <x v="0"/>
    <x v="0"/>
    <x v="0"/>
  </r>
  <r>
    <x v="1083"/>
    <x v="17"/>
    <x v="2"/>
    <x v="0"/>
    <x v="0"/>
    <m/>
    <x v="1"/>
    <m/>
    <n v="1"/>
    <x v="0"/>
    <x v="4"/>
    <m/>
    <x v="0"/>
    <x v="0"/>
    <x v="0"/>
  </r>
  <r>
    <x v="1084"/>
    <x v="17"/>
    <x v="2"/>
    <x v="0"/>
    <x v="0"/>
    <m/>
    <x v="1"/>
    <m/>
    <n v="1"/>
    <x v="0"/>
    <x v="4"/>
    <m/>
    <x v="0"/>
    <x v="0"/>
    <x v="0"/>
  </r>
  <r>
    <x v="1085"/>
    <x v="17"/>
    <x v="2"/>
    <x v="0"/>
    <x v="0"/>
    <m/>
    <x v="1"/>
    <m/>
    <n v="1"/>
    <x v="0"/>
    <x v="4"/>
    <m/>
    <x v="0"/>
    <x v="0"/>
    <x v="0"/>
  </r>
  <r>
    <x v="1086"/>
    <x v="17"/>
    <x v="2"/>
    <x v="0"/>
    <x v="0"/>
    <m/>
    <x v="1"/>
    <m/>
    <n v="1"/>
    <x v="0"/>
    <x v="4"/>
    <m/>
    <x v="0"/>
    <x v="0"/>
    <x v="0"/>
  </r>
  <r>
    <x v="1087"/>
    <x v="17"/>
    <x v="2"/>
    <x v="0"/>
    <x v="0"/>
    <m/>
    <x v="1"/>
    <m/>
    <n v="1"/>
    <x v="0"/>
    <x v="4"/>
    <m/>
    <x v="0"/>
    <x v="0"/>
    <x v="0"/>
  </r>
  <r>
    <x v="1088"/>
    <x v="17"/>
    <x v="2"/>
    <x v="0"/>
    <x v="0"/>
    <m/>
    <x v="1"/>
    <m/>
    <n v="1"/>
    <x v="0"/>
    <x v="4"/>
    <m/>
    <x v="0"/>
    <x v="0"/>
    <x v="0"/>
  </r>
  <r>
    <x v="1089"/>
    <x v="17"/>
    <x v="2"/>
    <x v="0"/>
    <x v="0"/>
    <m/>
    <x v="1"/>
    <m/>
    <n v="1"/>
    <x v="0"/>
    <x v="4"/>
    <m/>
    <x v="0"/>
    <x v="0"/>
    <x v="0"/>
  </r>
  <r>
    <x v="1090"/>
    <x v="17"/>
    <x v="2"/>
    <x v="0"/>
    <x v="0"/>
    <m/>
    <x v="1"/>
    <m/>
    <n v="1"/>
    <x v="0"/>
    <x v="4"/>
    <m/>
    <x v="0"/>
    <x v="0"/>
    <x v="0"/>
  </r>
  <r>
    <x v="1091"/>
    <x v="17"/>
    <x v="2"/>
    <x v="0"/>
    <x v="0"/>
    <m/>
    <x v="1"/>
    <m/>
    <n v="1"/>
    <x v="0"/>
    <x v="4"/>
    <m/>
    <x v="0"/>
    <x v="0"/>
    <x v="0"/>
  </r>
  <r>
    <x v="1092"/>
    <x v="17"/>
    <x v="2"/>
    <x v="0"/>
    <x v="0"/>
    <m/>
    <x v="1"/>
    <m/>
    <n v="1"/>
    <x v="0"/>
    <x v="4"/>
    <m/>
    <x v="0"/>
    <x v="0"/>
    <x v="0"/>
  </r>
  <r>
    <x v="1093"/>
    <x v="17"/>
    <x v="2"/>
    <x v="0"/>
    <x v="0"/>
    <m/>
    <x v="1"/>
    <m/>
    <n v="1"/>
    <x v="0"/>
    <x v="4"/>
    <m/>
    <x v="0"/>
    <x v="0"/>
    <x v="0"/>
  </r>
  <r>
    <x v="1094"/>
    <x v="17"/>
    <x v="2"/>
    <x v="0"/>
    <x v="0"/>
    <m/>
    <x v="1"/>
    <m/>
    <n v="1"/>
    <x v="0"/>
    <x v="4"/>
    <m/>
    <x v="0"/>
    <x v="0"/>
    <x v="0"/>
  </r>
  <r>
    <x v="1095"/>
    <x v="17"/>
    <x v="2"/>
    <x v="0"/>
    <x v="0"/>
    <m/>
    <x v="1"/>
    <m/>
    <n v="1"/>
    <x v="0"/>
    <x v="4"/>
    <m/>
    <x v="0"/>
    <x v="0"/>
    <x v="0"/>
  </r>
  <r>
    <x v="1096"/>
    <x v="17"/>
    <x v="2"/>
    <x v="0"/>
    <x v="0"/>
    <m/>
    <x v="1"/>
    <m/>
    <n v="1"/>
    <x v="0"/>
    <x v="4"/>
    <m/>
    <x v="0"/>
    <x v="0"/>
    <x v="0"/>
  </r>
  <r>
    <x v="1097"/>
    <x v="17"/>
    <x v="2"/>
    <x v="0"/>
    <x v="0"/>
    <m/>
    <x v="1"/>
    <m/>
    <n v="1"/>
    <x v="0"/>
    <x v="4"/>
    <m/>
    <x v="0"/>
    <x v="0"/>
    <x v="0"/>
  </r>
  <r>
    <x v="1098"/>
    <x v="17"/>
    <x v="2"/>
    <x v="0"/>
    <x v="0"/>
    <m/>
    <x v="1"/>
    <m/>
    <n v="1"/>
    <x v="0"/>
    <x v="4"/>
    <m/>
    <x v="0"/>
    <x v="0"/>
    <x v="0"/>
  </r>
  <r>
    <x v="1099"/>
    <x v="17"/>
    <x v="2"/>
    <x v="0"/>
    <x v="0"/>
    <m/>
    <x v="1"/>
    <m/>
    <n v="1"/>
    <x v="0"/>
    <x v="4"/>
    <m/>
    <x v="0"/>
    <x v="0"/>
    <x v="0"/>
  </r>
  <r>
    <x v="1100"/>
    <x v="17"/>
    <x v="2"/>
    <x v="0"/>
    <x v="0"/>
    <m/>
    <x v="1"/>
    <m/>
    <n v="1"/>
    <x v="0"/>
    <x v="4"/>
    <m/>
    <x v="0"/>
    <x v="0"/>
    <x v="0"/>
  </r>
  <r>
    <x v="1101"/>
    <x v="17"/>
    <x v="2"/>
    <x v="0"/>
    <x v="0"/>
    <m/>
    <x v="1"/>
    <m/>
    <n v="1"/>
    <x v="0"/>
    <x v="4"/>
    <m/>
    <x v="0"/>
    <x v="0"/>
    <x v="0"/>
  </r>
  <r>
    <x v="1102"/>
    <x v="17"/>
    <x v="2"/>
    <x v="0"/>
    <x v="0"/>
    <m/>
    <x v="1"/>
    <m/>
    <n v="1"/>
    <x v="0"/>
    <x v="4"/>
    <m/>
    <x v="0"/>
    <x v="0"/>
    <x v="0"/>
  </r>
  <r>
    <x v="1103"/>
    <x v="17"/>
    <x v="2"/>
    <x v="0"/>
    <x v="0"/>
    <m/>
    <x v="1"/>
    <m/>
    <n v="1"/>
    <x v="0"/>
    <x v="4"/>
    <m/>
    <x v="0"/>
    <x v="0"/>
    <x v="0"/>
  </r>
  <r>
    <x v="1104"/>
    <x v="17"/>
    <x v="2"/>
    <x v="0"/>
    <x v="0"/>
    <m/>
    <x v="1"/>
    <m/>
    <n v="1"/>
    <x v="0"/>
    <x v="4"/>
    <m/>
    <x v="0"/>
    <x v="0"/>
    <x v="0"/>
  </r>
  <r>
    <x v="1105"/>
    <x v="17"/>
    <x v="2"/>
    <x v="0"/>
    <x v="0"/>
    <m/>
    <x v="1"/>
    <m/>
    <n v="1"/>
    <x v="0"/>
    <x v="4"/>
    <m/>
    <x v="0"/>
    <x v="0"/>
    <x v="0"/>
  </r>
  <r>
    <x v="1106"/>
    <x v="17"/>
    <x v="2"/>
    <x v="0"/>
    <x v="0"/>
    <m/>
    <x v="1"/>
    <m/>
    <n v="1"/>
    <x v="0"/>
    <x v="4"/>
    <m/>
    <x v="0"/>
    <x v="0"/>
    <x v="0"/>
  </r>
  <r>
    <x v="1107"/>
    <x v="17"/>
    <x v="2"/>
    <x v="0"/>
    <x v="0"/>
    <m/>
    <x v="1"/>
    <m/>
    <n v="1"/>
    <x v="0"/>
    <x v="4"/>
    <m/>
    <x v="0"/>
    <x v="0"/>
    <x v="0"/>
  </r>
  <r>
    <x v="1108"/>
    <x v="17"/>
    <x v="2"/>
    <x v="0"/>
    <x v="0"/>
    <m/>
    <x v="1"/>
    <m/>
    <n v="1"/>
    <x v="0"/>
    <x v="4"/>
    <m/>
    <x v="0"/>
    <x v="0"/>
    <x v="0"/>
  </r>
  <r>
    <x v="1109"/>
    <x v="17"/>
    <x v="2"/>
    <x v="0"/>
    <x v="0"/>
    <m/>
    <x v="1"/>
    <m/>
    <n v="1"/>
    <x v="0"/>
    <x v="4"/>
    <m/>
    <x v="0"/>
    <x v="0"/>
    <x v="0"/>
  </r>
  <r>
    <x v="1110"/>
    <x v="17"/>
    <x v="2"/>
    <x v="0"/>
    <x v="0"/>
    <m/>
    <x v="1"/>
    <m/>
    <n v="1"/>
    <x v="0"/>
    <x v="4"/>
    <m/>
    <x v="0"/>
    <x v="0"/>
    <x v="0"/>
  </r>
  <r>
    <x v="1111"/>
    <x v="17"/>
    <x v="2"/>
    <x v="0"/>
    <x v="0"/>
    <m/>
    <x v="1"/>
    <m/>
    <n v="1"/>
    <x v="0"/>
    <x v="4"/>
    <m/>
    <x v="0"/>
    <x v="0"/>
    <x v="0"/>
  </r>
  <r>
    <x v="1112"/>
    <x v="17"/>
    <x v="2"/>
    <x v="0"/>
    <x v="0"/>
    <m/>
    <x v="1"/>
    <m/>
    <n v="1"/>
    <x v="0"/>
    <x v="4"/>
    <m/>
    <x v="0"/>
    <x v="0"/>
    <x v="0"/>
  </r>
  <r>
    <x v="1113"/>
    <x v="17"/>
    <x v="2"/>
    <x v="0"/>
    <x v="0"/>
    <m/>
    <x v="1"/>
    <m/>
    <n v="1"/>
    <x v="0"/>
    <x v="4"/>
    <m/>
    <x v="0"/>
    <x v="0"/>
    <x v="0"/>
  </r>
  <r>
    <x v="1114"/>
    <x v="17"/>
    <x v="2"/>
    <x v="0"/>
    <x v="0"/>
    <m/>
    <x v="1"/>
    <m/>
    <n v="1"/>
    <x v="0"/>
    <x v="4"/>
    <m/>
    <x v="0"/>
    <x v="0"/>
    <x v="0"/>
  </r>
  <r>
    <x v="1115"/>
    <x v="17"/>
    <x v="2"/>
    <x v="0"/>
    <x v="0"/>
    <m/>
    <x v="1"/>
    <m/>
    <n v="1"/>
    <x v="0"/>
    <x v="4"/>
    <m/>
    <x v="0"/>
    <x v="0"/>
    <x v="0"/>
  </r>
  <r>
    <x v="1116"/>
    <x v="17"/>
    <x v="2"/>
    <x v="0"/>
    <x v="0"/>
    <m/>
    <x v="1"/>
    <m/>
    <n v="1"/>
    <x v="0"/>
    <x v="4"/>
    <m/>
    <x v="0"/>
    <x v="0"/>
    <x v="0"/>
  </r>
  <r>
    <x v="1117"/>
    <x v="17"/>
    <x v="2"/>
    <x v="0"/>
    <x v="0"/>
    <m/>
    <x v="1"/>
    <m/>
    <n v="1"/>
    <x v="0"/>
    <x v="4"/>
    <m/>
    <x v="0"/>
    <x v="0"/>
    <x v="0"/>
  </r>
  <r>
    <x v="1118"/>
    <x v="17"/>
    <x v="2"/>
    <x v="0"/>
    <x v="0"/>
    <m/>
    <x v="1"/>
    <m/>
    <n v="1"/>
    <x v="0"/>
    <x v="4"/>
    <m/>
    <x v="0"/>
    <x v="0"/>
    <x v="0"/>
  </r>
  <r>
    <x v="1119"/>
    <x v="17"/>
    <x v="2"/>
    <x v="0"/>
    <x v="0"/>
    <m/>
    <x v="1"/>
    <m/>
    <n v="1"/>
    <x v="0"/>
    <x v="4"/>
    <m/>
    <x v="0"/>
    <x v="0"/>
    <x v="0"/>
  </r>
  <r>
    <x v="1120"/>
    <x v="17"/>
    <x v="2"/>
    <x v="0"/>
    <x v="0"/>
    <m/>
    <x v="1"/>
    <m/>
    <n v="1"/>
    <x v="0"/>
    <x v="4"/>
    <m/>
    <x v="0"/>
    <x v="0"/>
    <x v="0"/>
  </r>
  <r>
    <x v="1121"/>
    <x v="17"/>
    <x v="2"/>
    <x v="0"/>
    <x v="0"/>
    <m/>
    <x v="1"/>
    <m/>
    <n v="1"/>
    <x v="0"/>
    <x v="4"/>
    <m/>
    <x v="0"/>
    <x v="0"/>
    <x v="0"/>
  </r>
  <r>
    <x v="1122"/>
    <x v="17"/>
    <x v="2"/>
    <x v="0"/>
    <x v="0"/>
    <m/>
    <x v="1"/>
    <m/>
    <n v="1"/>
    <x v="0"/>
    <x v="4"/>
    <m/>
    <x v="0"/>
    <x v="0"/>
    <x v="0"/>
  </r>
  <r>
    <x v="1123"/>
    <x v="17"/>
    <x v="2"/>
    <x v="0"/>
    <x v="0"/>
    <m/>
    <x v="1"/>
    <m/>
    <n v="1"/>
    <x v="0"/>
    <x v="4"/>
    <m/>
    <x v="0"/>
    <x v="0"/>
    <x v="0"/>
  </r>
  <r>
    <x v="1124"/>
    <x v="17"/>
    <x v="2"/>
    <x v="0"/>
    <x v="0"/>
    <m/>
    <x v="1"/>
    <m/>
    <n v="1"/>
    <x v="0"/>
    <x v="4"/>
    <m/>
    <x v="0"/>
    <x v="0"/>
    <x v="0"/>
  </r>
  <r>
    <x v="1125"/>
    <x v="17"/>
    <x v="2"/>
    <x v="0"/>
    <x v="0"/>
    <m/>
    <x v="1"/>
    <m/>
    <n v="1"/>
    <x v="0"/>
    <x v="4"/>
    <m/>
    <x v="0"/>
    <x v="0"/>
    <x v="0"/>
  </r>
  <r>
    <x v="1126"/>
    <x v="17"/>
    <x v="2"/>
    <x v="0"/>
    <x v="0"/>
    <m/>
    <x v="1"/>
    <m/>
    <n v="1"/>
    <x v="0"/>
    <x v="4"/>
    <m/>
    <x v="0"/>
    <x v="0"/>
    <x v="0"/>
  </r>
  <r>
    <x v="1127"/>
    <x v="17"/>
    <x v="2"/>
    <x v="0"/>
    <x v="0"/>
    <m/>
    <x v="1"/>
    <m/>
    <n v="1"/>
    <x v="0"/>
    <x v="4"/>
    <m/>
    <x v="0"/>
    <x v="0"/>
    <x v="0"/>
  </r>
  <r>
    <x v="1128"/>
    <x v="17"/>
    <x v="2"/>
    <x v="0"/>
    <x v="0"/>
    <m/>
    <x v="1"/>
    <m/>
    <n v="1"/>
    <x v="0"/>
    <x v="4"/>
    <m/>
    <x v="0"/>
    <x v="0"/>
    <x v="0"/>
  </r>
  <r>
    <x v="1129"/>
    <x v="17"/>
    <x v="2"/>
    <x v="0"/>
    <x v="0"/>
    <m/>
    <x v="1"/>
    <m/>
    <n v="1"/>
    <x v="0"/>
    <x v="4"/>
    <m/>
    <x v="0"/>
    <x v="0"/>
    <x v="0"/>
  </r>
  <r>
    <x v="1130"/>
    <x v="17"/>
    <x v="2"/>
    <x v="0"/>
    <x v="0"/>
    <m/>
    <x v="1"/>
    <m/>
    <n v="1"/>
    <x v="0"/>
    <x v="4"/>
    <m/>
    <x v="0"/>
    <x v="0"/>
    <x v="0"/>
  </r>
  <r>
    <x v="1131"/>
    <x v="17"/>
    <x v="2"/>
    <x v="0"/>
    <x v="0"/>
    <m/>
    <x v="1"/>
    <m/>
    <n v="1"/>
    <x v="0"/>
    <x v="4"/>
    <m/>
    <x v="0"/>
    <x v="0"/>
    <x v="0"/>
  </r>
  <r>
    <x v="1132"/>
    <x v="17"/>
    <x v="2"/>
    <x v="0"/>
    <x v="0"/>
    <m/>
    <x v="1"/>
    <m/>
    <n v="1"/>
    <x v="0"/>
    <x v="4"/>
    <m/>
    <x v="0"/>
    <x v="0"/>
    <x v="0"/>
  </r>
  <r>
    <x v="1133"/>
    <x v="17"/>
    <x v="2"/>
    <x v="0"/>
    <x v="0"/>
    <m/>
    <x v="1"/>
    <m/>
    <n v="1"/>
    <x v="0"/>
    <x v="4"/>
    <m/>
    <x v="0"/>
    <x v="0"/>
    <x v="0"/>
  </r>
  <r>
    <x v="1134"/>
    <x v="17"/>
    <x v="2"/>
    <x v="0"/>
    <x v="0"/>
    <m/>
    <x v="1"/>
    <m/>
    <n v="1"/>
    <x v="0"/>
    <x v="4"/>
    <m/>
    <x v="0"/>
    <x v="0"/>
    <x v="0"/>
  </r>
  <r>
    <x v="1135"/>
    <x v="17"/>
    <x v="2"/>
    <x v="0"/>
    <x v="0"/>
    <m/>
    <x v="1"/>
    <m/>
    <n v="1"/>
    <x v="0"/>
    <x v="4"/>
    <m/>
    <x v="0"/>
    <x v="0"/>
    <x v="0"/>
  </r>
  <r>
    <x v="1136"/>
    <x v="17"/>
    <x v="2"/>
    <x v="0"/>
    <x v="0"/>
    <m/>
    <x v="1"/>
    <m/>
    <n v="1"/>
    <x v="0"/>
    <x v="4"/>
    <m/>
    <x v="0"/>
    <x v="0"/>
    <x v="0"/>
  </r>
  <r>
    <x v="1137"/>
    <x v="17"/>
    <x v="2"/>
    <x v="0"/>
    <x v="0"/>
    <m/>
    <x v="1"/>
    <m/>
    <n v="1"/>
    <x v="0"/>
    <x v="4"/>
    <m/>
    <x v="0"/>
    <x v="0"/>
    <x v="0"/>
  </r>
  <r>
    <x v="1138"/>
    <x v="17"/>
    <x v="2"/>
    <x v="0"/>
    <x v="0"/>
    <m/>
    <x v="1"/>
    <m/>
    <n v="1"/>
    <x v="0"/>
    <x v="4"/>
    <m/>
    <x v="0"/>
    <x v="0"/>
    <x v="0"/>
  </r>
  <r>
    <x v="1139"/>
    <x v="17"/>
    <x v="2"/>
    <x v="0"/>
    <x v="0"/>
    <m/>
    <x v="1"/>
    <m/>
    <n v="1"/>
    <x v="0"/>
    <x v="4"/>
    <m/>
    <x v="0"/>
    <x v="0"/>
    <x v="0"/>
  </r>
  <r>
    <x v="1140"/>
    <x v="17"/>
    <x v="2"/>
    <x v="0"/>
    <x v="0"/>
    <m/>
    <x v="1"/>
    <m/>
    <n v="1"/>
    <x v="0"/>
    <x v="4"/>
    <m/>
    <x v="0"/>
    <x v="0"/>
    <x v="0"/>
  </r>
  <r>
    <x v="1141"/>
    <x v="17"/>
    <x v="2"/>
    <x v="0"/>
    <x v="0"/>
    <m/>
    <x v="1"/>
    <m/>
    <n v="1"/>
    <x v="0"/>
    <x v="4"/>
    <m/>
    <x v="0"/>
    <x v="0"/>
    <x v="0"/>
  </r>
  <r>
    <x v="1142"/>
    <x v="17"/>
    <x v="2"/>
    <x v="0"/>
    <x v="0"/>
    <m/>
    <x v="1"/>
    <m/>
    <n v="1"/>
    <x v="0"/>
    <x v="4"/>
    <m/>
    <x v="0"/>
    <x v="0"/>
    <x v="0"/>
  </r>
  <r>
    <x v="1143"/>
    <x v="17"/>
    <x v="2"/>
    <x v="0"/>
    <x v="0"/>
    <m/>
    <x v="1"/>
    <m/>
    <n v="1"/>
    <x v="0"/>
    <x v="4"/>
    <m/>
    <x v="0"/>
    <x v="0"/>
    <x v="0"/>
  </r>
  <r>
    <x v="1144"/>
    <x v="17"/>
    <x v="2"/>
    <x v="0"/>
    <x v="0"/>
    <m/>
    <x v="1"/>
    <m/>
    <n v="1"/>
    <x v="0"/>
    <x v="4"/>
    <m/>
    <x v="0"/>
    <x v="0"/>
    <x v="0"/>
  </r>
  <r>
    <x v="1145"/>
    <x v="17"/>
    <x v="2"/>
    <x v="0"/>
    <x v="0"/>
    <m/>
    <x v="1"/>
    <m/>
    <n v="1"/>
    <x v="0"/>
    <x v="4"/>
    <m/>
    <x v="0"/>
    <x v="0"/>
    <x v="0"/>
  </r>
  <r>
    <x v="1146"/>
    <x v="17"/>
    <x v="2"/>
    <x v="0"/>
    <x v="0"/>
    <m/>
    <x v="1"/>
    <m/>
    <n v="1"/>
    <x v="0"/>
    <x v="4"/>
    <m/>
    <x v="0"/>
    <x v="0"/>
    <x v="0"/>
  </r>
  <r>
    <x v="1147"/>
    <x v="17"/>
    <x v="2"/>
    <x v="0"/>
    <x v="0"/>
    <m/>
    <x v="1"/>
    <m/>
    <n v="1"/>
    <x v="0"/>
    <x v="4"/>
    <m/>
    <x v="0"/>
    <x v="0"/>
    <x v="0"/>
  </r>
  <r>
    <x v="1148"/>
    <x v="17"/>
    <x v="2"/>
    <x v="0"/>
    <x v="0"/>
    <m/>
    <x v="1"/>
    <m/>
    <n v="1"/>
    <x v="0"/>
    <x v="4"/>
    <m/>
    <x v="0"/>
    <x v="0"/>
    <x v="0"/>
  </r>
  <r>
    <x v="1149"/>
    <x v="17"/>
    <x v="2"/>
    <x v="0"/>
    <x v="0"/>
    <m/>
    <x v="1"/>
    <m/>
    <n v="1"/>
    <x v="0"/>
    <x v="4"/>
    <m/>
    <x v="0"/>
    <x v="0"/>
    <x v="0"/>
  </r>
  <r>
    <x v="1150"/>
    <x v="17"/>
    <x v="2"/>
    <x v="0"/>
    <x v="0"/>
    <m/>
    <x v="1"/>
    <m/>
    <n v="1"/>
    <x v="0"/>
    <x v="4"/>
    <m/>
    <x v="0"/>
    <x v="0"/>
    <x v="0"/>
  </r>
  <r>
    <x v="1151"/>
    <x v="17"/>
    <x v="2"/>
    <x v="0"/>
    <x v="0"/>
    <m/>
    <x v="1"/>
    <m/>
    <n v="1"/>
    <x v="0"/>
    <x v="4"/>
    <m/>
    <x v="0"/>
    <x v="0"/>
    <x v="0"/>
  </r>
  <r>
    <x v="1152"/>
    <x v="17"/>
    <x v="2"/>
    <x v="0"/>
    <x v="0"/>
    <m/>
    <x v="1"/>
    <m/>
    <n v="1"/>
    <x v="0"/>
    <x v="4"/>
    <m/>
    <x v="0"/>
    <x v="0"/>
    <x v="0"/>
  </r>
  <r>
    <x v="1153"/>
    <x v="17"/>
    <x v="2"/>
    <x v="0"/>
    <x v="0"/>
    <m/>
    <x v="1"/>
    <m/>
    <n v="1"/>
    <x v="0"/>
    <x v="4"/>
    <m/>
    <x v="0"/>
    <x v="0"/>
    <x v="0"/>
  </r>
  <r>
    <x v="1154"/>
    <x v="17"/>
    <x v="2"/>
    <x v="0"/>
    <x v="0"/>
    <m/>
    <x v="1"/>
    <m/>
    <n v="1"/>
    <x v="0"/>
    <x v="4"/>
    <m/>
    <x v="0"/>
    <x v="0"/>
    <x v="0"/>
  </r>
  <r>
    <x v="1155"/>
    <x v="17"/>
    <x v="2"/>
    <x v="0"/>
    <x v="0"/>
    <m/>
    <x v="1"/>
    <m/>
    <n v="1"/>
    <x v="0"/>
    <x v="4"/>
    <m/>
    <x v="0"/>
    <x v="0"/>
    <x v="0"/>
  </r>
  <r>
    <x v="1156"/>
    <x v="17"/>
    <x v="2"/>
    <x v="0"/>
    <x v="0"/>
    <m/>
    <x v="1"/>
    <m/>
    <n v="1"/>
    <x v="0"/>
    <x v="4"/>
    <m/>
    <x v="0"/>
    <x v="0"/>
    <x v="0"/>
  </r>
  <r>
    <x v="1157"/>
    <x v="17"/>
    <x v="2"/>
    <x v="0"/>
    <x v="0"/>
    <m/>
    <x v="1"/>
    <m/>
    <n v="1"/>
    <x v="0"/>
    <x v="4"/>
    <m/>
    <x v="0"/>
    <x v="0"/>
    <x v="0"/>
  </r>
  <r>
    <x v="1158"/>
    <x v="17"/>
    <x v="2"/>
    <x v="0"/>
    <x v="0"/>
    <m/>
    <x v="1"/>
    <m/>
    <n v="1"/>
    <x v="0"/>
    <x v="4"/>
    <m/>
    <x v="0"/>
    <x v="0"/>
    <x v="0"/>
  </r>
  <r>
    <x v="1159"/>
    <x v="17"/>
    <x v="2"/>
    <x v="0"/>
    <x v="0"/>
    <m/>
    <x v="1"/>
    <m/>
    <n v="1"/>
    <x v="0"/>
    <x v="4"/>
    <m/>
    <x v="0"/>
    <x v="0"/>
    <x v="0"/>
  </r>
  <r>
    <x v="1160"/>
    <x v="17"/>
    <x v="2"/>
    <x v="0"/>
    <x v="0"/>
    <m/>
    <x v="1"/>
    <m/>
    <n v="1"/>
    <x v="0"/>
    <x v="4"/>
    <m/>
    <x v="0"/>
    <x v="0"/>
    <x v="0"/>
  </r>
  <r>
    <x v="1161"/>
    <x v="17"/>
    <x v="2"/>
    <x v="0"/>
    <x v="0"/>
    <m/>
    <x v="1"/>
    <m/>
    <n v="1"/>
    <x v="0"/>
    <x v="4"/>
    <m/>
    <x v="0"/>
    <x v="0"/>
    <x v="0"/>
  </r>
  <r>
    <x v="1162"/>
    <x v="17"/>
    <x v="2"/>
    <x v="0"/>
    <x v="0"/>
    <m/>
    <x v="1"/>
    <m/>
    <n v="1"/>
    <x v="0"/>
    <x v="4"/>
    <m/>
    <x v="0"/>
    <x v="0"/>
    <x v="0"/>
  </r>
  <r>
    <x v="1163"/>
    <x v="17"/>
    <x v="2"/>
    <x v="0"/>
    <x v="0"/>
    <m/>
    <x v="1"/>
    <m/>
    <n v="1"/>
    <x v="0"/>
    <x v="4"/>
    <m/>
    <x v="0"/>
    <x v="0"/>
    <x v="0"/>
  </r>
  <r>
    <x v="1164"/>
    <x v="17"/>
    <x v="2"/>
    <x v="0"/>
    <x v="0"/>
    <m/>
    <x v="1"/>
    <m/>
    <n v="1"/>
    <x v="0"/>
    <x v="4"/>
    <m/>
    <x v="0"/>
    <x v="0"/>
    <x v="0"/>
  </r>
  <r>
    <x v="1165"/>
    <x v="17"/>
    <x v="2"/>
    <x v="0"/>
    <x v="0"/>
    <m/>
    <x v="1"/>
    <m/>
    <n v="1"/>
    <x v="0"/>
    <x v="4"/>
    <m/>
    <x v="0"/>
    <x v="0"/>
    <x v="0"/>
  </r>
  <r>
    <x v="1166"/>
    <x v="17"/>
    <x v="2"/>
    <x v="0"/>
    <x v="0"/>
    <m/>
    <x v="1"/>
    <m/>
    <n v="1"/>
    <x v="0"/>
    <x v="4"/>
    <m/>
    <x v="0"/>
    <x v="0"/>
    <x v="0"/>
  </r>
  <r>
    <x v="1167"/>
    <x v="17"/>
    <x v="2"/>
    <x v="0"/>
    <x v="0"/>
    <m/>
    <x v="1"/>
    <m/>
    <n v="1"/>
    <x v="0"/>
    <x v="4"/>
    <m/>
    <x v="0"/>
    <x v="0"/>
    <x v="0"/>
  </r>
  <r>
    <x v="1168"/>
    <x v="17"/>
    <x v="2"/>
    <x v="0"/>
    <x v="0"/>
    <m/>
    <x v="1"/>
    <m/>
    <n v="1"/>
    <x v="0"/>
    <x v="4"/>
    <m/>
    <x v="0"/>
    <x v="0"/>
    <x v="0"/>
  </r>
  <r>
    <x v="1169"/>
    <x v="17"/>
    <x v="2"/>
    <x v="0"/>
    <x v="0"/>
    <m/>
    <x v="1"/>
    <m/>
    <n v="1"/>
    <x v="0"/>
    <x v="4"/>
    <m/>
    <x v="0"/>
    <x v="0"/>
    <x v="0"/>
  </r>
  <r>
    <x v="1170"/>
    <x v="17"/>
    <x v="2"/>
    <x v="0"/>
    <x v="0"/>
    <m/>
    <x v="1"/>
    <m/>
    <n v="1"/>
    <x v="0"/>
    <x v="4"/>
    <m/>
    <x v="0"/>
    <x v="0"/>
    <x v="0"/>
  </r>
  <r>
    <x v="1171"/>
    <x v="17"/>
    <x v="2"/>
    <x v="0"/>
    <x v="0"/>
    <m/>
    <x v="1"/>
    <m/>
    <n v="1"/>
    <x v="0"/>
    <x v="4"/>
    <m/>
    <x v="0"/>
    <x v="0"/>
    <x v="0"/>
  </r>
  <r>
    <x v="1172"/>
    <x v="17"/>
    <x v="2"/>
    <x v="0"/>
    <x v="0"/>
    <m/>
    <x v="1"/>
    <m/>
    <n v="1"/>
    <x v="0"/>
    <x v="4"/>
    <m/>
    <x v="0"/>
    <x v="0"/>
    <x v="0"/>
  </r>
  <r>
    <x v="1173"/>
    <x v="17"/>
    <x v="2"/>
    <x v="0"/>
    <x v="0"/>
    <m/>
    <x v="1"/>
    <m/>
    <n v="1"/>
    <x v="0"/>
    <x v="4"/>
    <m/>
    <x v="0"/>
    <x v="0"/>
    <x v="0"/>
  </r>
  <r>
    <x v="1174"/>
    <x v="17"/>
    <x v="2"/>
    <x v="0"/>
    <x v="0"/>
    <m/>
    <x v="1"/>
    <m/>
    <n v="1"/>
    <x v="0"/>
    <x v="4"/>
    <m/>
    <x v="0"/>
    <x v="0"/>
    <x v="0"/>
  </r>
  <r>
    <x v="1175"/>
    <x v="17"/>
    <x v="2"/>
    <x v="0"/>
    <x v="0"/>
    <m/>
    <x v="1"/>
    <m/>
    <n v="1"/>
    <x v="0"/>
    <x v="4"/>
    <m/>
    <x v="0"/>
    <x v="0"/>
    <x v="0"/>
  </r>
  <r>
    <x v="1176"/>
    <x v="17"/>
    <x v="2"/>
    <x v="0"/>
    <x v="0"/>
    <m/>
    <x v="1"/>
    <m/>
    <n v="1"/>
    <x v="0"/>
    <x v="4"/>
    <m/>
    <x v="0"/>
    <x v="0"/>
    <x v="0"/>
  </r>
  <r>
    <x v="1177"/>
    <x v="17"/>
    <x v="2"/>
    <x v="0"/>
    <x v="0"/>
    <m/>
    <x v="1"/>
    <m/>
    <n v="1"/>
    <x v="0"/>
    <x v="4"/>
    <m/>
    <x v="0"/>
    <x v="0"/>
    <x v="0"/>
  </r>
  <r>
    <x v="1178"/>
    <x v="17"/>
    <x v="2"/>
    <x v="0"/>
    <x v="0"/>
    <m/>
    <x v="1"/>
    <m/>
    <n v="1"/>
    <x v="0"/>
    <x v="4"/>
    <m/>
    <x v="0"/>
    <x v="0"/>
    <x v="0"/>
  </r>
  <r>
    <x v="1179"/>
    <x v="17"/>
    <x v="2"/>
    <x v="0"/>
    <x v="0"/>
    <m/>
    <x v="1"/>
    <m/>
    <n v="1"/>
    <x v="0"/>
    <x v="4"/>
    <m/>
    <x v="0"/>
    <x v="0"/>
    <x v="0"/>
  </r>
  <r>
    <x v="1180"/>
    <x v="17"/>
    <x v="2"/>
    <x v="0"/>
    <x v="0"/>
    <m/>
    <x v="1"/>
    <m/>
    <n v="1"/>
    <x v="0"/>
    <x v="4"/>
    <m/>
    <x v="0"/>
    <x v="0"/>
    <x v="0"/>
  </r>
  <r>
    <x v="1181"/>
    <x v="17"/>
    <x v="2"/>
    <x v="0"/>
    <x v="0"/>
    <m/>
    <x v="1"/>
    <m/>
    <n v="1"/>
    <x v="0"/>
    <x v="4"/>
    <m/>
    <x v="0"/>
    <x v="0"/>
    <x v="0"/>
  </r>
  <r>
    <x v="1182"/>
    <x v="17"/>
    <x v="2"/>
    <x v="0"/>
    <x v="0"/>
    <m/>
    <x v="1"/>
    <m/>
    <n v="1"/>
    <x v="0"/>
    <x v="4"/>
    <m/>
    <x v="0"/>
    <x v="0"/>
    <x v="0"/>
  </r>
  <r>
    <x v="1183"/>
    <x v="17"/>
    <x v="2"/>
    <x v="0"/>
    <x v="0"/>
    <m/>
    <x v="1"/>
    <m/>
    <n v="1"/>
    <x v="0"/>
    <x v="4"/>
    <m/>
    <x v="0"/>
    <x v="0"/>
    <x v="0"/>
  </r>
  <r>
    <x v="1184"/>
    <x v="17"/>
    <x v="2"/>
    <x v="0"/>
    <x v="0"/>
    <m/>
    <x v="1"/>
    <m/>
    <n v="1"/>
    <x v="0"/>
    <x v="4"/>
    <m/>
    <x v="0"/>
    <x v="0"/>
    <x v="0"/>
  </r>
  <r>
    <x v="1185"/>
    <x v="17"/>
    <x v="2"/>
    <x v="0"/>
    <x v="0"/>
    <m/>
    <x v="1"/>
    <m/>
    <n v="1"/>
    <x v="0"/>
    <x v="4"/>
    <m/>
    <x v="0"/>
    <x v="0"/>
    <x v="0"/>
  </r>
  <r>
    <x v="1186"/>
    <x v="17"/>
    <x v="2"/>
    <x v="0"/>
    <x v="0"/>
    <m/>
    <x v="1"/>
    <m/>
    <n v="1"/>
    <x v="0"/>
    <x v="4"/>
    <m/>
    <x v="0"/>
    <x v="0"/>
    <x v="0"/>
  </r>
  <r>
    <x v="1187"/>
    <x v="17"/>
    <x v="2"/>
    <x v="0"/>
    <x v="0"/>
    <m/>
    <x v="1"/>
    <m/>
    <n v="1"/>
    <x v="0"/>
    <x v="4"/>
    <m/>
    <x v="0"/>
    <x v="0"/>
    <x v="0"/>
  </r>
  <r>
    <x v="1188"/>
    <x v="17"/>
    <x v="2"/>
    <x v="0"/>
    <x v="0"/>
    <m/>
    <x v="1"/>
    <m/>
    <n v="1"/>
    <x v="0"/>
    <x v="4"/>
    <m/>
    <x v="0"/>
    <x v="0"/>
    <x v="0"/>
  </r>
  <r>
    <x v="1189"/>
    <x v="17"/>
    <x v="2"/>
    <x v="0"/>
    <x v="0"/>
    <m/>
    <x v="1"/>
    <m/>
    <n v="1"/>
    <x v="0"/>
    <x v="4"/>
    <m/>
    <x v="0"/>
    <x v="0"/>
    <x v="0"/>
  </r>
  <r>
    <x v="1190"/>
    <x v="17"/>
    <x v="2"/>
    <x v="0"/>
    <x v="0"/>
    <m/>
    <x v="1"/>
    <m/>
    <n v="1"/>
    <x v="0"/>
    <x v="4"/>
    <m/>
    <x v="0"/>
    <x v="0"/>
    <x v="0"/>
  </r>
  <r>
    <x v="1191"/>
    <x v="17"/>
    <x v="2"/>
    <x v="0"/>
    <x v="0"/>
    <m/>
    <x v="1"/>
    <m/>
    <n v="1"/>
    <x v="0"/>
    <x v="4"/>
    <m/>
    <x v="0"/>
    <x v="0"/>
    <x v="0"/>
  </r>
  <r>
    <x v="1192"/>
    <x v="17"/>
    <x v="2"/>
    <x v="0"/>
    <x v="0"/>
    <m/>
    <x v="1"/>
    <m/>
    <n v="1"/>
    <x v="0"/>
    <x v="4"/>
    <m/>
    <x v="0"/>
    <x v="0"/>
    <x v="0"/>
  </r>
  <r>
    <x v="1193"/>
    <x v="17"/>
    <x v="2"/>
    <x v="0"/>
    <x v="0"/>
    <m/>
    <x v="1"/>
    <m/>
    <n v="1"/>
    <x v="0"/>
    <x v="4"/>
    <m/>
    <x v="0"/>
    <x v="0"/>
    <x v="0"/>
  </r>
  <r>
    <x v="1194"/>
    <x v="17"/>
    <x v="2"/>
    <x v="0"/>
    <x v="0"/>
    <m/>
    <x v="1"/>
    <m/>
    <n v="1"/>
    <x v="0"/>
    <x v="4"/>
    <m/>
    <x v="0"/>
    <x v="0"/>
    <x v="0"/>
  </r>
  <r>
    <x v="1195"/>
    <x v="17"/>
    <x v="2"/>
    <x v="0"/>
    <x v="0"/>
    <m/>
    <x v="1"/>
    <m/>
    <n v="1"/>
    <x v="0"/>
    <x v="4"/>
    <m/>
    <x v="0"/>
    <x v="0"/>
    <x v="0"/>
  </r>
  <r>
    <x v="1196"/>
    <x v="17"/>
    <x v="2"/>
    <x v="0"/>
    <x v="0"/>
    <m/>
    <x v="1"/>
    <m/>
    <n v="1"/>
    <x v="0"/>
    <x v="4"/>
    <m/>
    <x v="0"/>
    <x v="0"/>
    <x v="0"/>
  </r>
  <r>
    <x v="1197"/>
    <x v="17"/>
    <x v="2"/>
    <x v="0"/>
    <x v="0"/>
    <m/>
    <x v="1"/>
    <m/>
    <n v="1"/>
    <x v="0"/>
    <x v="4"/>
    <m/>
    <x v="0"/>
    <x v="0"/>
    <x v="0"/>
  </r>
  <r>
    <x v="1198"/>
    <x v="17"/>
    <x v="2"/>
    <x v="0"/>
    <x v="0"/>
    <m/>
    <x v="1"/>
    <m/>
    <n v="1"/>
    <x v="0"/>
    <x v="4"/>
    <m/>
    <x v="0"/>
    <x v="0"/>
    <x v="0"/>
  </r>
  <r>
    <x v="1199"/>
    <x v="17"/>
    <x v="2"/>
    <x v="0"/>
    <x v="0"/>
    <m/>
    <x v="1"/>
    <m/>
    <n v="1"/>
    <x v="0"/>
    <x v="4"/>
    <m/>
    <x v="0"/>
    <x v="0"/>
    <x v="0"/>
  </r>
  <r>
    <x v="1200"/>
    <x v="17"/>
    <x v="2"/>
    <x v="0"/>
    <x v="0"/>
    <m/>
    <x v="1"/>
    <m/>
    <n v="1"/>
    <x v="0"/>
    <x v="4"/>
    <m/>
    <x v="0"/>
    <x v="0"/>
    <x v="0"/>
  </r>
  <r>
    <x v="1201"/>
    <x v="17"/>
    <x v="2"/>
    <x v="0"/>
    <x v="0"/>
    <m/>
    <x v="1"/>
    <m/>
    <n v="1"/>
    <x v="0"/>
    <x v="4"/>
    <m/>
    <x v="0"/>
    <x v="0"/>
    <x v="0"/>
  </r>
  <r>
    <x v="1202"/>
    <x v="17"/>
    <x v="2"/>
    <x v="0"/>
    <x v="0"/>
    <m/>
    <x v="1"/>
    <m/>
    <n v="1"/>
    <x v="0"/>
    <x v="4"/>
    <m/>
    <x v="0"/>
    <x v="0"/>
    <x v="0"/>
  </r>
  <r>
    <x v="1203"/>
    <x v="17"/>
    <x v="2"/>
    <x v="0"/>
    <x v="0"/>
    <m/>
    <x v="1"/>
    <m/>
    <n v="1"/>
    <x v="0"/>
    <x v="4"/>
    <m/>
    <x v="0"/>
    <x v="0"/>
    <x v="0"/>
  </r>
  <r>
    <x v="1204"/>
    <x v="17"/>
    <x v="2"/>
    <x v="0"/>
    <x v="0"/>
    <m/>
    <x v="1"/>
    <m/>
    <n v="1"/>
    <x v="0"/>
    <x v="4"/>
    <m/>
    <x v="0"/>
    <x v="0"/>
    <x v="0"/>
  </r>
  <r>
    <x v="1205"/>
    <x v="17"/>
    <x v="2"/>
    <x v="0"/>
    <x v="0"/>
    <m/>
    <x v="1"/>
    <m/>
    <n v="1"/>
    <x v="0"/>
    <x v="4"/>
    <m/>
    <x v="0"/>
    <x v="0"/>
    <x v="0"/>
  </r>
  <r>
    <x v="1206"/>
    <x v="17"/>
    <x v="2"/>
    <x v="0"/>
    <x v="0"/>
    <m/>
    <x v="1"/>
    <m/>
    <n v="1"/>
    <x v="0"/>
    <x v="4"/>
    <m/>
    <x v="0"/>
    <x v="0"/>
    <x v="0"/>
  </r>
  <r>
    <x v="1207"/>
    <x v="17"/>
    <x v="2"/>
    <x v="0"/>
    <x v="0"/>
    <m/>
    <x v="1"/>
    <m/>
    <n v="1"/>
    <x v="0"/>
    <x v="4"/>
    <m/>
    <x v="0"/>
    <x v="0"/>
    <x v="0"/>
  </r>
  <r>
    <x v="1208"/>
    <x v="17"/>
    <x v="2"/>
    <x v="0"/>
    <x v="0"/>
    <m/>
    <x v="1"/>
    <m/>
    <n v="1"/>
    <x v="0"/>
    <x v="4"/>
    <m/>
    <x v="0"/>
    <x v="0"/>
    <x v="0"/>
  </r>
  <r>
    <x v="1209"/>
    <x v="17"/>
    <x v="2"/>
    <x v="0"/>
    <x v="0"/>
    <m/>
    <x v="1"/>
    <m/>
    <n v="1"/>
    <x v="0"/>
    <x v="4"/>
    <m/>
    <x v="0"/>
    <x v="0"/>
    <x v="0"/>
  </r>
  <r>
    <x v="1210"/>
    <x v="17"/>
    <x v="2"/>
    <x v="0"/>
    <x v="0"/>
    <m/>
    <x v="1"/>
    <m/>
    <n v="1"/>
    <x v="0"/>
    <x v="4"/>
    <m/>
    <x v="0"/>
    <x v="0"/>
    <x v="0"/>
  </r>
  <r>
    <x v="1211"/>
    <x v="17"/>
    <x v="2"/>
    <x v="0"/>
    <x v="0"/>
    <m/>
    <x v="1"/>
    <m/>
    <n v="1"/>
    <x v="0"/>
    <x v="4"/>
    <m/>
    <x v="0"/>
    <x v="0"/>
    <x v="0"/>
  </r>
  <r>
    <x v="1212"/>
    <x v="17"/>
    <x v="2"/>
    <x v="0"/>
    <x v="0"/>
    <m/>
    <x v="1"/>
    <m/>
    <n v="1"/>
    <x v="0"/>
    <x v="4"/>
    <m/>
    <x v="0"/>
    <x v="0"/>
    <x v="0"/>
  </r>
  <r>
    <x v="1213"/>
    <x v="17"/>
    <x v="2"/>
    <x v="0"/>
    <x v="0"/>
    <m/>
    <x v="1"/>
    <m/>
    <n v="1"/>
    <x v="0"/>
    <x v="4"/>
    <m/>
    <x v="0"/>
    <x v="0"/>
    <x v="0"/>
  </r>
  <r>
    <x v="1214"/>
    <x v="17"/>
    <x v="2"/>
    <x v="0"/>
    <x v="0"/>
    <m/>
    <x v="1"/>
    <m/>
    <n v="1"/>
    <x v="0"/>
    <x v="4"/>
    <m/>
    <x v="0"/>
    <x v="0"/>
    <x v="0"/>
  </r>
  <r>
    <x v="1215"/>
    <x v="17"/>
    <x v="2"/>
    <x v="0"/>
    <x v="0"/>
    <m/>
    <x v="1"/>
    <m/>
    <n v="1"/>
    <x v="0"/>
    <x v="4"/>
    <m/>
    <x v="0"/>
    <x v="0"/>
    <x v="0"/>
  </r>
  <r>
    <x v="1216"/>
    <x v="17"/>
    <x v="2"/>
    <x v="0"/>
    <x v="0"/>
    <m/>
    <x v="1"/>
    <m/>
    <n v="1"/>
    <x v="0"/>
    <x v="4"/>
    <m/>
    <x v="0"/>
    <x v="0"/>
    <x v="0"/>
  </r>
  <r>
    <x v="1217"/>
    <x v="17"/>
    <x v="2"/>
    <x v="0"/>
    <x v="0"/>
    <m/>
    <x v="1"/>
    <m/>
    <n v="1"/>
    <x v="0"/>
    <x v="4"/>
    <m/>
    <x v="0"/>
    <x v="0"/>
    <x v="0"/>
  </r>
  <r>
    <x v="1218"/>
    <x v="17"/>
    <x v="2"/>
    <x v="0"/>
    <x v="0"/>
    <m/>
    <x v="1"/>
    <m/>
    <n v="1"/>
    <x v="0"/>
    <x v="4"/>
    <m/>
    <x v="0"/>
    <x v="0"/>
    <x v="0"/>
  </r>
  <r>
    <x v="1219"/>
    <x v="17"/>
    <x v="2"/>
    <x v="0"/>
    <x v="0"/>
    <m/>
    <x v="1"/>
    <m/>
    <n v="1"/>
    <x v="0"/>
    <x v="4"/>
    <m/>
    <x v="0"/>
    <x v="0"/>
    <x v="0"/>
  </r>
  <r>
    <x v="1220"/>
    <x v="17"/>
    <x v="2"/>
    <x v="0"/>
    <x v="0"/>
    <m/>
    <x v="1"/>
    <m/>
    <n v="1"/>
    <x v="0"/>
    <x v="4"/>
    <m/>
    <x v="0"/>
    <x v="0"/>
    <x v="0"/>
  </r>
  <r>
    <x v="1221"/>
    <x v="17"/>
    <x v="2"/>
    <x v="0"/>
    <x v="0"/>
    <m/>
    <x v="1"/>
    <m/>
    <n v="1"/>
    <x v="0"/>
    <x v="4"/>
    <m/>
    <x v="0"/>
    <x v="0"/>
    <x v="0"/>
  </r>
  <r>
    <x v="1222"/>
    <x v="17"/>
    <x v="2"/>
    <x v="0"/>
    <x v="0"/>
    <m/>
    <x v="1"/>
    <m/>
    <n v="1"/>
    <x v="0"/>
    <x v="4"/>
    <m/>
    <x v="0"/>
    <x v="0"/>
    <x v="0"/>
  </r>
  <r>
    <x v="1223"/>
    <x v="17"/>
    <x v="2"/>
    <x v="0"/>
    <x v="0"/>
    <m/>
    <x v="1"/>
    <m/>
    <n v="1"/>
    <x v="0"/>
    <x v="4"/>
    <m/>
    <x v="0"/>
    <x v="0"/>
    <x v="0"/>
  </r>
  <r>
    <x v="1224"/>
    <x v="17"/>
    <x v="2"/>
    <x v="0"/>
    <x v="0"/>
    <m/>
    <x v="1"/>
    <m/>
    <n v="1"/>
    <x v="0"/>
    <x v="4"/>
    <m/>
    <x v="0"/>
    <x v="0"/>
    <x v="0"/>
  </r>
  <r>
    <x v="1225"/>
    <x v="17"/>
    <x v="2"/>
    <x v="0"/>
    <x v="0"/>
    <m/>
    <x v="1"/>
    <m/>
    <n v="1"/>
    <x v="0"/>
    <x v="4"/>
    <m/>
    <x v="0"/>
    <x v="0"/>
    <x v="0"/>
  </r>
  <r>
    <x v="1226"/>
    <x v="17"/>
    <x v="2"/>
    <x v="0"/>
    <x v="0"/>
    <m/>
    <x v="1"/>
    <m/>
    <n v="1"/>
    <x v="0"/>
    <x v="4"/>
    <m/>
    <x v="0"/>
    <x v="0"/>
    <x v="0"/>
  </r>
  <r>
    <x v="1227"/>
    <x v="17"/>
    <x v="2"/>
    <x v="0"/>
    <x v="0"/>
    <m/>
    <x v="1"/>
    <m/>
    <n v="1"/>
    <x v="0"/>
    <x v="4"/>
    <m/>
    <x v="0"/>
    <x v="0"/>
    <x v="0"/>
  </r>
  <r>
    <x v="1228"/>
    <x v="17"/>
    <x v="2"/>
    <x v="0"/>
    <x v="0"/>
    <m/>
    <x v="1"/>
    <m/>
    <n v="1"/>
    <x v="0"/>
    <x v="4"/>
    <m/>
    <x v="0"/>
    <x v="0"/>
    <x v="0"/>
  </r>
  <r>
    <x v="1229"/>
    <x v="17"/>
    <x v="2"/>
    <x v="0"/>
    <x v="0"/>
    <m/>
    <x v="1"/>
    <m/>
    <n v="1"/>
    <x v="0"/>
    <x v="4"/>
    <m/>
    <x v="0"/>
    <x v="0"/>
    <x v="0"/>
  </r>
  <r>
    <x v="1230"/>
    <x v="17"/>
    <x v="2"/>
    <x v="0"/>
    <x v="0"/>
    <m/>
    <x v="1"/>
    <m/>
    <n v="1"/>
    <x v="0"/>
    <x v="4"/>
    <m/>
    <x v="0"/>
    <x v="0"/>
    <x v="0"/>
  </r>
  <r>
    <x v="1231"/>
    <x v="17"/>
    <x v="2"/>
    <x v="0"/>
    <x v="0"/>
    <m/>
    <x v="1"/>
    <m/>
    <n v="1"/>
    <x v="0"/>
    <x v="4"/>
    <m/>
    <x v="0"/>
    <x v="0"/>
    <x v="0"/>
  </r>
  <r>
    <x v="1232"/>
    <x v="17"/>
    <x v="2"/>
    <x v="0"/>
    <x v="0"/>
    <m/>
    <x v="1"/>
    <m/>
    <n v="1"/>
    <x v="0"/>
    <x v="4"/>
    <m/>
    <x v="0"/>
    <x v="0"/>
    <x v="0"/>
  </r>
  <r>
    <x v="1233"/>
    <x v="17"/>
    <x v="2"/>
    <x v="0"/>
    <x v="0"/>
    <m/>
    <x v="1"/>
    <m/>
    <n v="1"/>
    <x v="0"/>
    <x v="4"/>
    <m/>
    <x v="0"/>
    <x v="0"/>
    <x v="0"/>
  </r>
  <r>
    <x v="1234"/>
    <x v="17"/>
    <x v="2"/>
    <x v="0"/>
    <x v="0"/>
    <m/>
    <x v="1"/>
    <m/>
    <n v="1"/>
    <x v="0"/>
    <x v="4"/>
    <m/>
    <x v="0"/>
    <x v="0"/>
    <x v="0"/>
  </r>
  <r>
    <x v="1235"/>
    <x v="17"/>
    <x v="2"/>
    <x v="0"/>
    <x v="0"/>
    <m/>
    <x v="1"/>
    <m/>
    <n v="1"/>
    <x v="0"/>
    <x v="4"/>
    <m/>
    <x v="0"/>
    <x v="0"/>
    <x v="0"/>
  </r>
  <r>
    <x v="1236"/>
    <x v="17"/>
    <x v="2"/>
    <x v="0"/>
    <x v="0"/>
    <m/>
    <x v="1"/>
    <m/>
    <n v="1"/>
    <x v="0"/>
    <x v="4"/>
    <m/>
    <x v="0"/>
    <x v="0"/>
    <x v="0"/>
  </r>
  <r>
    <x v="1237"/>
    <x v="17"/>
    <x v="2"/>
    <x v="0"/>
    <x v="0"/>
    <m/>
    <x v="1"/>
    <m/>
    <n v="1"/>
    <x v="0"/>
    <x v="4"/>
    <m/>
    <x v="0"/>
    <x v="0"/>
    <x v="0"/>
  </r>
  <r>
    <x v="1238"/>
    <x v="17"/>
    <x v="2"/>
    <x v="0"/>
    <x v="0"/>
    <m/>
    <x v="1"/>
    <m/>
    <n v="1"/>
    <x v="0"/>
    <x v="4"/>
    <m/>
    <x v="0"/>
    <x v="0"/>
    <x v="0"/>
  </r>
  <r>
    <x v="1239"/>
    <x v="17"/>
    <x v="2"/>
    <x v="0"/>
    <x v="0"/>
    <m/>
    <x v="1"/>
    <m/>
    <n v="1"/>
    <x v="0"/>
    <x v="4"/>
    <m/>
    <x v="0"/>
    <x v="0"/>
    <x v="0"/>
  </r>
  <r>
    <x v="1240"/>
    <x v="17"/>
    <x v="2"/>
    <x v="0"/>
    <x v="0"/>
    <m/>
    <x v="1"/>
    <m/>
    <n v="1"/>
    <x v="0"/>
    <x v="4"/>
    <m/>
    <x v="0"/>
    <x v="0"/>
    <x v="0"/>
  </r>
  <r>
    <x v="1241"/>
    <x v="17"/>
    <x v="2"/>
    <x v="0"/>
    <x v="0"/>
    <m/>
    <x v="1"/>
    <m/>
    <n v="1"/>
    <x v="0"/>
    <x v="4"/>
    <m/>
    <x v="0"/>
    <x v="0"/>
    <x v="0"/>
  </r>
  <r>
    <x v="1242"/>
    <x v="17"/>
    <x v="2"/>
    <x v="0"/>
    <x v="0"/>
    <m/>
    <x v="1"/>
    <m/>
    <n v="1"/>
    <x v="0"/>
    <x v="4"/>
    <m/>
    <x v="0"/>
    <x v="0"/>
    <x v="0"/>
  </r>
  <r>
    <x v="1243"/>
    <x v="17"/>
    <x v="2"/>
    <x v="0"/>
    <x v="0"/>
    <m/>
    <x v="1"/>
    <m/>
    <n v="1"/>
    <x v="0"/>
    <x v="4"/>
    <m/>
    <x v="0"/>
    <x v="0"/>
    <x v="0"/>
  </r>
  <r>
    <x v="1244"/>
    <x v="17"/>
    <x v="2"/>
    <x v="0"/>
    <x v="0"/>
    <m/>
    <x v="1"/>
    <m/>
    <n v="1"/>
    <x v="0"/>
    <x v="4"/>
    <m/>
    <x v="0"/>
    <x v="0"/>
    <x v="0"/>
  </r>
  <r>
    <x v="1245"/>
    <x v="17"/>
    <x v="2"/>
    <x v="0"/>
    <x v="0"/>
    <m/>
    <x v="1"/>
    <m/>
    <n v="1"/>
    <x v="0"/>
    <x v="4"/>
    <m/>
    <x v="0"/>
    <x v="0"/>
    <x v="0"/>
  </r>
  <r>
    <x v="1246"/>
    <x v="17"/>
    <x v="2"/>
    <x v="0"/>
    <x v="0"/>
    <m/>
    <x v="1"/>
    <m/>
    <n v="1"/>
    <x v="0"/>
    <x v="4"/>
    <m/>
    <x v="0"/>
    <x v="0"/>
    <x v="0"/>
  </r>
  <r>
    <x v="1247"/>
    <x v="17"/>
    <x v="2"/>
    <x v="0"/>
    <x v="0"/>
    <m/>
    <x v="1"/>
    <m/>
    <n v="1"/>
    <x v="0"/>
    <x v="4"/>
    <m/>
    <x v="0"/>
    <x v="0"/>
    <x v="0"/>
  </r>
  <r>
    <x v="1248"/>
    <x v="17"/>
    <x v="2"/>
    <x v="0"/>
    <x v="0"/>
    <m/>
    <x v="1"/>
    <m/>
    <n v="1"/>
    <x v="0"/>
    <x v="4"/>
    <m/>
    <x v="0"/>
    <x v="0"/>
    <x v="0"/>
  </r>
  <r>
    <x v="1249"/>
    <x v="17"/>
    <x v="2"/>
    <x v="0"/>
    <x v="0"/>
    <m/>
    <x v="1"/>
    <m/>
    <n v="1"/>
    <x v="0"/>
    <x v="4"/>
    <m/>
    <x v="0"/>
    <x v="0"/>
    <x v="0"/>
  </r>
  <r>
    <x v="1250"/>
    <x v="17"/>
    <x v="2"/>
    <x v="0"/>
    <x v="0"/>
    <m/>
    <x v="1"/>
    <m/>
    <n v="1"/>
    <x v="0"/>
    <x v="4"/>
    <m/>
    <x v="0"/>
    <x v="0"/>
    <x v="0"/>
  </r>
  <r>
    <x v="1251"/>
    <x v="17"/>
    <x v="2"/>
    <x v="0"/>
    <x v="0"/>
    <m/>
    <x v="1"/>
    <m/>
    <n v="1"/>
    <x v="0"/>
    <x v="4"/>
    <m/>
    <x v="0"/>
    <x v="0"/>
    <x v="0"/>
  </r>
  <r>
    <x v="1252"/>
    <x v="17"/>
    <x v="2"/>
    <x v="0"/>
    <x v="0"/>
    <m/>
    <x v="1"/>
    <m/>
    <n v="1"/>
    <x v="0"/>
    <x v="4"/>
    <m/>
    <x v="0"/>
    <x v="0"/>
    <x v="0"/>
  </r>
  <r>
    <x v="1253"/>
    <x v="17"/>
    <x v="2"/>
    <x v="0"/>
    <x v="0"/>
    <m/>
    <x v="1"/>
    <m/>
    <n v="1"/>
    <x v="0"/>
    <x v="4"/>
    <m/>
    <x v="0"/>
    <x v="0"/>
    <x v="0"/>
  </r>
  <r>
    <x v="1254"/>
    <x v="17"/>
    <x v="2"/>
    <x v="0"/>
    <x v="0"/>
    <m/>
    <x v="1"/>
    <m/>
    <n v="1"/>
    <x v="0"/>
    <x v="4"/>
    <m/>
    <x v="0"/>
    <x v="0"/>
    <x v="0"/>
  </r>
  <r>
    <x v="1255"/>
    <x v="17"/>
    <x v="2"/>
    <x v="0"/>
    <x v="0"/>
    <m/>
    <x v="1"/>
    <m/>
    <n v="1"/>
    <x v="0"/>
    <x v="4"/>
    <m/>
    <x v="0"/>
    <x v="0"/>
    <x v="0"/>
  </r>
  <r>
    <x v="1256"/>
    <x v="17"/>
    <x v="2"/>
    <x v="0"/>
    <x v="0"/>
    <m/>
    <x v="1"/>
    <m/>
    <n v="1"/>
    <x v="0"/>
    <x v="4"/>
    <m/>
    <x v="0"/>
    <x v="0"/>
    <x v="0"/>
  </r>
  <r>
    <x v="1257"/>
    <x v="17"/>
    <x v="2"/>
    <x v="0"/>
    <x v="0"/>
    <m/>
    <x v="1"/>
    <m/>
    <n v="1"/>
    <x v="0"/>
    <x v="4"/>
    <m/>
    <x v="0"/>
    <x v="0"/>
    <x v="0"/>
  </r>
  <r>
    <x v="1258"/>
    <x v="17"/>
    <x v="2"/>
    <x v="0"/>
    <x v="0"/>
    <m/>
    <x v="1"/>
    <m/>
    <n v="1"/>
    <x v="0"/>
    <x v="4"/>
    <m/>
    <x v="0"/>
    <x v="0"/>
    <x v="0"/>
  </r>
  <r>
    <x v="1259"/>
    <x v="17"/>
    <x v="2"/>
    <x v="0"/>
    <x v="0"/>
    <m/>
    <x v="1"/>
    <m/>
    <n v="1"/>
    <x v="0"/>
    <x v="4"/>
    <m/>
    <x v="0"/>
    <x v="0"/>
    <x v="0"/>
  </r>
  <r>
    <x v="1260"/>
    <x v="17"/>
    <x v="2"/>
    <x v="0"/>
    <x v="0"/>
    <m/>
    <x v="1"/>
    <m/>
    <n v="1"/>
    <x v="0"/>
    <x v="4"/>
    <m/>
    <x v="0"/>
    <x v="0"/>
    <x v="0"/>
  </r>
  <r>
    <x v="1261"/>
    <x v="17"/>
    <x v="2"/>
    <x v="0"/>
    <x v="0"/>
    <m/>
    <x v="1"/>
    <m/>
    <n v="1"/>
    <x v="0"/>
    <x v="4"/>
    <m/>
    <x v="0"/>
    <x v="0"/>
    <x v="0"/>
  </r>
  <r>
    <x v="1262"/>
    <x v="17"/>
    <x v="2"/>
    <x v="0"/>
    <x v="0"/>
    <m/>
    <x v="1"/>
    <m/>
    <n v="1"/>
    <x v="0"/>
    <x v="4"/>
    <m/>
    <x v="0"/>
    <x v="0"/>
    <x v="0"/>
  </r>
  <r>
    <x v="1263"/>
    <x v="17"/>
    <x v="2"/>
    <x v="0"/>
    <x v="0"/>
    <m/>
    <x v="1"/>
    <m/>
    <n v="1"/>
    <x v="0"/>
    <x v="4"/>
    <m/>
    <x v="0"/>
    <x v="0"/>
    <x v="0"/>
  </r>
  <r>
    <x v="1264"/>
    <x v="17"/>
    <x v="2"/>
    <x v="0"/>
    <x v="0"/>
    <m/>
    <x v="1"/>
    <m/>
    <n v="1"/>
    <x v="0"/>
    <x v="4"/>
    <m/>
    <x v="0"/>
    <x v="0"/>
    <x v="0"/>
  </r>
  <r>
    <x v="1265"/>
    <x v="17"/>
    <x v="2"/>
    <x v="0"/>
    <x v="0"/>
    <m/>
    <x v="1"/>
    <m/>
    <n v="1"/>
    <x v="0"/>
    <x v="4"/>
    <m/>
    <x v="0"/>
    <x v="0"/>
    <x v="0"/>
  </r>
  <r>
    <x v="1266"/>
    <x v="17"/>
    <x v="2"/>
    <x v="0"/>
    <x v="0"/>
    <m/>
    <x v="1"/>
    <m/>
    <n v="1"/>
    <x v="0"/>
    <x v="4"/>
    <m/>
    <x v="0"/>
    <x v="0"/>
    <x v="0"/>
  </r>
  <r>
    <x v="1267"/>
    <x v="17"/>
    <x v="2"/>
    <x v="0"/>
    <x v="0"/>
    <m/>
    <x v="1"/>
    <m/>
    <n v="1"/>
    <x v="0"/>
    <x v="4"/>
    <m/>
    <x v="0"/>
    <x v="0"/>
    <x v="0"/>
  </r>
  <r>
    <x v="1268"/>
    <x v="17"/>
    <x v="2"/>
    <x v="0"/>
    <x v="0"/>
    <m/>
    <x v="1"/>
    <m/>
    <n v="1"/>
    <x v="0"/>
    <x v="4"/>
    <m/>
    <x v="0"/>
    <x v="0"/>
    <x v="0"/>
  </r>
  <r>
    <x v="1269"/>
    <x v="17"/>
    <x v="2"/>
    <x v="0"/>
    <x v="0"/>
    <m/>
    <x v="1"/>
    <m/>
    <n v="1"/>
    <x v="0"/>
    <x v="4"/>
    <m/>
    <x v="0"/>
    <x v="0"/>
    <x v="0"/>
  </r>
  <r>
    <x v="1270"/>
    <x v="17"/>
    <x v="2"/>
    <x v="0"/>
    <x v="0"/>
    <m/>
    <x v="1"/>
    <m/>
    <n v="1"/>
    <x v="0"/>
    <x v="4"/>
    <m/>
    <x v="0"/>
    <x v="0"/>
    <x v="0"/>
  </r>
  <r>
    <x v="1271"/>
    <x v="17"/>
    <x v="2"/>
    <x v="0"/>
    <x v="0"/>
    <m/>
    <x v="1"/>
    <m/>
    <n v="1"/>
    <x v="0"/>
    <x v="4"/>
    <m/>
    <x v="0"/>
    <x v="0"/>
    <x v="0"/>
  </r>
  <r>
    <x v="1272"/>
    <x v="17"/>
    <x v="2"/>
    <x v="0"/>
    <x v="0"/>
    <m/>
    <x v="1"/>
    <m/>
    <n v="1"/>
    <x v="0"/>
    <x v="4"/>
    <m/>
    <x v="0"/>
    <x v="0"/>
    <x v="0"/>
  </r>
  <r>
    <x v="1273"/>
    <x v="17"/>
    <x v="2"/>
    <x v="0"/>
    <x v="0"/>
    <m/>
    <x v="1"/>
    <m/>
    <n v="1"/>
    <x v="0"/>
    <x v="4"/>
    <m/>
    <x v="0"/>
    <x v="0"/>
    <x v="0"/>
  </r>
  <r>
    <x v="1274"/>
    <x v="17"/>
    <x v="2"/>
    <x v="0"/>
    <x v="0"/>
    <m/>
    <x v="1"/>
    <m/>
    <n v="1"/>
    <x v="0"/>
    <x v="4"/>
    <m/>
    <x v="0"/>
    <x v="0"/>
    <x v="0"/>
  </r>
  <r>
    <x v="1275"/>
    <x v="17"/>
    <x v="2"/>
    <x v="0"/>
    <x v="0"/>
    <m/>
    <x v="1"/>
    <m/>
    <n v="1"/>
    <x v="0"/>
    <x v="4"/>
    <m/>
    <x v="0"/>
    <x v="0"/>
    <x v="0"/>
  </r>
  <r>
    <x v="1276"/>
    <x v="17"/>
    <x v="2"/>
    <x v="0"/>
    <x v="0"/>
    <m/>
    <x v="1"/>
    <m/>
    <n v="1"/>
    <x v="0"/>
    <x v="4"/>
    <m/>
    <x v="0"/>
    <x v="0"/>
    <x v="0"/>
  </r>
  <r>
    <x v="1277"/>
    <x v="17"/>
    <x v="2"/>
    <x v="0"/>
    <x v="0"/>
    <m/>
    <x v="1"/>
    <m/>
    <n v="1"/>
    <x v="0"/>
    <x v="4"/>
    <m/>
    <x v="0"/>
    <x v="0"/>
    <x v="0"/>
  </r>
  <r>
    <x v="1278"/>
    <x v="17"/>
    <x v="2"/>
    <x v="0"/>
    <x v="0"/>
    <m/>
    <x v="1"/>
    <m/>
    <n v="1"/>
    <x v="0"/>
    <x v="4"/>
    <m/>
    <x v="0"/>
    <x v="0"/>
    <x v="0"/>
  </r>
  <r>
    <x v="1279"/>
    <x v="17"/>
    <x v="2"/>
    <x v="0"/>
    <x v="0"/>
    <m/>
    <x v="1"/>
    <m/>
    <n v="1"/>
    <x v="0"/>
    <x v="4"/>
    <m/>
    <x v="0"/>
    <x v="0"/>
    <x v="0"/>
  </r>
  <r>
    <x v="1280"/>
    <x v="17"/>
    <x v="2"/>
    <x v="0"/>
    <x v="0"/>
    <m/>
    <x v="1"/>
    <m/>
    <n v="1"/>
    <x v="0"/>
    <x v="4"/>
    <m/>
    <x v="0"/>
    <x v="0"/>
    <x v="0"/>
  </r>
  <r>
    <x v="1281"/>
    <x v="17"/>
    <x v="2"/>
    <x v="0"/>
    <x v="0"/>
    <m/>
    <x v="1"/>
    <m/>
    <n v="1"/>
    <x v="0"/>
    <x v="4"/>
    <m/>
    <x v="0"/>
    <x v="0"/>
    <x v="0"/>
  </r>
  <r>
    <x v="1282"/>
    <x v="17"/>
    <x v="2"/>
    <x v="0"/>
    <x v="0"/>
    <m/>
    <x v="1"/>
    <m/>
    <n v="1"/>
    <x v="0"/>
    <x v="4"/>
    <m/>
    <x v="0"/>
    <x v="0"/>
    <x v="0"/>
  </r>
  <r>
    <x v="1283"/>
    <x v="17"/>
    <x v="2"/>
    <x v="0"/>
    <x v="0"/>
    <m/>
    <x v="1"/>
    <m/>
    <n v="1"/>
    <x v="0"/>
    <x v="4"/>
    <m/>
    <x v="0"/>
    <x v="0"/>
    <x v="0"/>
  </r>
  <r>
    <x v="1284"/>
    <x v="17"/>
    <x v="2"/>
    <x v="0"/>
    <x v="0"/>
    <m/>
    <x v="1"/>
    <m/>
    <n v="1"/>
    <x v="0"/>
    <x v="4"/>
    <m/>
    <x v="0"/>
    <x v="0"/>
    <x v="0"/>
  </r>
  <r>
    <x v="1285"/>
    <x v="17"/>
    <x v="2"/>
    <x v="0"/>
    <x v="0"/>
    <m/>
    <x v="1"/>
    <m/>
    <n v="1"/>
    <x v="0"/>
    <x v="4"/>
    <m/>
    <x v="0"/>
    <x v="0"/>
    <x v="0"/>
  </r>
  <r>
    <x v="1286"/>
    <x v="17"/>
    <x v="2"/>
    <x v="0"/>
    <x v="0"/>
    <m/>
    <x v="1"/>
    <m/>
    <n v="1"/>
    <x v="0"/>
    <x v="4"/>
    <m/>
    <x v="0"/>
    <x v="0"/>
    <x v="0"/>
  </r>
  <r>
    <x v="1287"/>
    <x v="17"/>
    <x v="2"/>
    <x v="0"/>
    <x v="0"/>
    <m/>
    <x v="1"/>
    <m/>
    <n v="1"/>
    <x v="0"/>
    <x v="4"/>
    <m/>
    <x v="0"/>
    <x v="0"/>
    <x v="0"/>
  </r>
  <r>
    <x v="1288"/>
    <x v="16"/>
    <x v="1"/>
    <x v="0"/>
    <x v="0"/>
    <m/>
    <x v="1"/>
    <m/>
    <n v="1"/>
    <x v="0"/>
    <x v="4"/>
    <m/>
    <x v="0"/>
    <x v="0"/>
    <x v="0"/>
  </r>
  <r>
    <x v="1289"/>
    <x v="16"/>
    <x v="1"/>
    <x v="0"/>
    <x v="0"/>
    <m/>
    <x v="1"/>
    <m/>
    <n v="1"/>
    <x v="0"/>
    <x v="4"/>
    <m/>
    <x v="0"/>
    <x v="0"/>
    <x v="0"/>
  </r>
  <r>
    <x v="1290"/>
    <x v="16"/>
    <x v="1"/>
    <x v="0"/>
    <x v="0"/>
    <m/>
    <x v="1"/>
    <m/>
    <n v="1"/>
    <x v="0"/>
    <x v="4"/>
    <m/>
    <x v="0"/>
    <x v="0"/>
    <x v="0"/>
  </r>
  <r>
    <x v="1291"/>
    <x v="16"/>
    <x v="1"/>
    <x v="0"/>
    <x v="0"/>
    <m/>
    <x v="1"/>
    <m/>
    <n v="1"/>
    <x v="0"/>
    <x v="4"/>
    <m/>
    <x v="0"/>
    <x v="0"/>
    <x v="0"/>
  </r>
  <r>
    <x v="1292"/>
    <x v="16"/>
    <x v="1"/>
    <x v="0"/>
    <x v="0"/>
    <m/>
    <x v="1"/>
    <m/>
    <n v="1"/>
    <x v="0"/>
    <x v="4"/>
    <m/>
    <x v="0"/>
    <x v="0"/>
    <x v="0"/>
  </r>
  <r>
    <x v="1293"/>
    <x v="16"/>
    <x v="1"/>
    <x v="0"/>
    <x v="0"/>
    <m/>
    <x v="1"/>
    <m/>
    <n v="1"/>
    <x v="0"/>
    <x v="4"/>
    <m/>
    <x v="0"/>
    <x v="0"/>
    <x v="0"/>
  </r>
  <r>
    <x v="1294"/>
    <x v="16"/>
    <x v="2"/>
    <x v="0"/>
    <x v="0"/>
    <m/>
    <x v="1"/>
    <m/>
    <n v="1"/>
    <x v="0"/>
    <x v="4"/>
    <m/>
    <x v="0"/>
    <x v="0"/>
    <x v="0"/>
  </r>
  <r>
    <x v="1295"/>
    <x v="16"/>
    <x v="2"/>
    <x v="0"/>
    <x v="0"/>
    <m/>
    <x v="1"/>
    <m/>
    <n v="1"/>
    <x v="0"/>
    <x v="4"/>
    <m/>
    <x v="0"/>
    <x v="0"/>
    <x v="0"/>
  </r>
  <r>
    <x v="1296"/>
    <x v="16"/>
    <x v="2"/>
    <x v="0"/>
    <x v="0"/>
    <m/>
    <x v="1"/>
    <m/>
    <n v="1"/>
    <x v="0"/>
    <x v="4"/>
    <m/>
    <x v="0"/>
    <x v="0"/>
    <x v="0"/>
  </r>
  <r>
    <x v="1297"/>
    <x v="16"/>
    <x v="2"/>
    <x v="0"/>
    <x v="0"/>
    <m/>
    <x v="1"/>
    <m/>
    <n v="1"/>
    <x v="0"/>
    <x v="4"/>
    <m/>
    <x v="0"/>
    <x v="0"/>
    <x v="0"/>
  </r>
  <r>
    <x v="1298"/>
    <x v="16"/>
    <x v="2"/>
    <x v="0"/>
    <x v="0"/>
    <m/>
    <x v="1"/>
    <m/>
    <n v="1"/>
    <x v="0"/>
    <x v="4"/>
    <m/>
    <x v="0"/>
    <x v="0"/>
    <x v="0"/>
  </r>
  <r>
    <x v="1299"/>
    <x v="17"/>
    <x v="0"/>
    <x v="0"/>
    <x v="0"/>
    <m/>
    <x v="1"/>
    <m/>
    <n v="1"/>
    <x v="0"/>
    <x v="4"/>
    <m/>
    <x v="0"/>
    <x v="0"/>
    <x v="0"/>
  </r>
  <r>
    <x v="1300"/>
    <x v="17"/>
    <x v="0"/>
    <x v="0"/>
    <x v="0"/>
    <m/>
    <x v="1"/>
    <m/>
    <n v="1"/>
    <x v="0"/>
    <x v="4"/>
    <m/>
    <x v="0"/>
    <x v="0"/>
    <x v="0"/>
  </r>
  <r>
    <x v="1301"/>
    <x v="17"/>
    <x v="0"/>
    <x v="0"/>
    <x v="0"/>
    <m/>
    <x v="1"/>
    <m/>
    <n v="1"/>
    <x v="0"/>
    <x v="4"/>
    <m/>
    <x v="0"/>
    <x v="0"/>
    <x v="0"/>
  </r>
  <r>
    <x v="1302"/>
    <x v="17"/>
    <x v="0"/>
    <x v="0"/>
    <x v="0"/>
    <m/>
    <x v="1"/>
    <m/>
    <n v="1"/>
    <x v="0"/>
    <x v="4"/>
    <m/>
    <x v="0"/>
    <x v="0"/>
    <x v="0"/>
  </r>
  <r>
    <x v="1303"/>
    <x v="17"/>
    <x v="0"/>
    <x v="0"/>
    <x v="0"/>
    <m/>
    <x v="1"/>
    <m/>
    <n v="1"/>
    <x v="0"/>
    <x v="4"/>
    <m/>
    <x v="0"/>
    <x v="0"/>
    <x v="0"/>
  </r>
  <r>
    <x v="1304"/>
    <x v="17"/>
    <x v="0"/>
    <x v="0"/>
    <x v="0"/>
    <m/>
    <x v="1"/>
    <m/>
    <n v="1"/>
    <x v="0"/>
    <x v="4"/>
    <m/>
    <x v="0"/>
    <x v="0"/>
    <x v="0"/>
  </r>
  <r>
    <x v="1305"/>
    <x v="17"/>
    <x v="0"/>
    <x v="0"/>
    <x v="0"/>
    <m/>
    <x v="1"/>
    <m/>
    <n v="1"/>
    <x v="0"/>
    <x v="4"/>
    <m/>
    <x v="0"/>
    <x v="0"/>
    <x v="0"/>
  </r>
  <r>
    <x v="1306"/>
    <x v="17"/>
    <x v="0"/>
    <x v="0"/>
    <x v="0"/>
    <m/>
    <x v="1"/>
    <m/>
    <n v="1"/>
    <x v="0"/>
    <x v="4"/>
    <m/>
    <x v="0"/>
    <x v="0"/>
    <x v="0"/>
  </r>
  <r>
    <x v="1307"/>
    <x v="17"/>
    <x v="0"/>
    <x v="0"/>
    <x v="0"/>
    <m/>
    <x v="1"/>
    <m/>
    <n v="1"/>
    <x v="0"/>
    <x v="4"/>
    <m/>
    <x v="0"/>
    <x v="0"/>
    <x v="0"/>
  </r>
  <r>
    <x v="1308"/>
    <x v="17"/>
    <x v="0"/>
    <x v="0"/>
    <x v="0"/>
    <m/>
    <x v="1"/>
    <m/>
    <n v="1"/>
    <x v="0"/>
    <x v="4"/>
    <m/>
    <x v="0"/>
    <x v="0"/>
    <x v="0"/>
  </r>
  <r>
    <x v="1309"/>
    <x v="17"/>
    <x v="0"/>
    <x v="0"/>
    <x v="0"/>
    <m/>
    <x v="1"/>
    <m/>
    <n v="1"/>
    <x v="0"/>
    <x v="4"/>
    <m/>
    <x v="0"/>
    <x v="0"/>
    <x v="0"/>
  </r>
  <r>
    <x v="1310"/>
    <x v="17"/>
    <x v="0"/>
    <x v="0"/>
    <x v="0"/>
    <m/>
    <x v="1"/>
    <m/>
    <n v="1"/>
    <x v="0"/>
    <x v="4"/>
    <m/>
    <x v="0"/>
    <x v="0"/>
    <x v="0"/>
  </r>
  <r>
    <x v="1311"/>
    <x v="17"/>
    <x v="0"/>
    <x v="0"/>
    <x v="0"/>
    <m/>
    <x v="1"/>
    <m/>
    <n v="1"/>
    <x v="0"/>
    <x v="4"/>
    <m/>
    <x v="0"/>
    <x v="0"/>
    <x v="0"/>
  </r>
  <r>
    <x v="1312"/>
    <x v="17"/>
    <x v="0"/>
    <x v="0"/>
    <x v="0"/>
    <m/>
    <x v="1"/>
    <m/>
    <n v="1"/>
    <x v="0"/>
    <x v="4"/>
    <m/>
    <x v="0"/>
    <x v="0"/>
    <x v="0"/>
  </r>
  <r>
    <x v="1313"/>
    <x v="17"/>
    <x v="0"/>
    <x v="0"/>
    <x v="0"/>
    <m/>
    <x v="1"/>
    <m/>
    <n v="1"/>
    <x v="0"/>
    <x v="4"/>
    <m/>
    <x v="0"/>
    <x v="0"/>
    <x v="0"/>
  </r>
  <r>
    <x v="1314"/>
    <x v="17"/>
    <x v="0"/>
    <x v="0"/>
    <x v="0"/>
    <m/>
    <x v="1"/>
    <m/>
    <n v="1"/>
    <x v="0"/>
    <x v="4"/>
    <m/>
    <x v="0"/>
    <x v="0"/>
    <x v="0"/>
  </r>
  <r>
    <x v="1315"/>
    <x v="17"/>
    <x v="0"/>
    <x v="0"/>
    <x v="0"/>
    <m/>
    <x v="1"/>
    <m/>
    <n v="1"/>
    <x v="0"/>
    <x v="4"/>
    <m/>
    <x v="0"/>
    <x v="0"/>
    <x v="0"/>
  </r>
  <r>
    <x v="1316"/>
    <x v="17"/>
    <x v="0"/>
    <x v="0"/>
    <x v="0"/>
    <m/>
    <x v="1"/>
    <m/>
    <n v="1"/>
    <x v="0"/>
    <x v="4"/>
    <m/>
    <x v="0"/>
    <x v="0"/>
    <x v="0"/>
  </r>
  <r>
    <x v="1317"/>
    <x v="17"/>
    <x v="0"/>
    <x v="0"/>
    <x v="0"/>
    <m/>
    <x v="1"/>
    <m/>
    <n v="1"/>
    <x v="0"/>
    <x v="4"/>
    <m/>
    <x v="0"/>
    <x v="0"/>
    <x v="0"/>
  </r>
  <r>
    <x v="1318"/>
    <x v="17"/>
    <x v="0"/>
    <x v="0"/>
    <x v="0"/>
    <m/>
    <x v="1"/>
    <m/>
    <n v="1"/>
    <x v="0"/>
    <x v="4"/>
    <m/>
    <x v="0"/>
    <x v="0"/>
    <x v="0"/>
  </r>
  <r>
    <x v="1319"/>
    <x v="17"/>
    <x v="0"/>
    <x v="0"/>
    <x v="0"/>
    <m/>
    <x v="1"/>
    <m/>
    <n v="1"/>
    <x v="0"/>
    <x v="4"/>
    <m/>
    <x v="0"/>
    <x v="0"/>
    <x v="0"/>
  </r>
  <r>
    <x v="1320"/>
    <x v="17"/>
    <x v="0"/>
    <x v="0"/>
    <x v="0"/>
    <m/>
    <x v="1"/>
    <m/>
    <n v="1"/>
    <x v="0"/>
    <x v="4"/>
    <m/>
    <x v="0"/>
    <x v="0"/>
    <x v="0"/>
  </r>
  <r>
    <x v="1321"/>
    <x v="17"/>
    <x v="0"/>
    <x v="0"/>
    <x v="0"/>
    <m/>
    <x v="1"/>
    <m/>
    <n v="1"/>
    <x v="0"/>
    <x v="4"/>
    <m/>
    <x v="0"/>
    <x v="0"/>
    <x v="0"/>
  </r>
  <r>
    <x v="1322"/>
    <x v="17"/>
    <x v="0"/>
    <x v="0"/>
    <x v="0"/>
    <m/>
    <x v="1"/>
    <m/>
    <n v="1"/>
    <x v="0"/>
    <x v="4"/>
    <m/>
    <x v="0"/>
    <x v="0"/>
    <x v="0"/>
  </r>
  <r>
    <x v="1323"/>
    <x v="17"/>
    <x v="0"/>
    <x v="0"/>
    <x v="0"/>
    <m/>
    <x v="1"/>
    <m/>
    <n v="1"/>
    <x v="0"/>
    <x v="4"/>
    <m/>
    <x v="0"/>
    <x v="0"/>
    <x v="0"/>
  </r>
  <r>
    <x v="1324"/>
    <x v="17"/>
    <x v="0"/>
    <x v="0"/>
    <x v="0"/>
    <m/>
    <x v="1"/>
    <m/>
    <n v="1"/>
    <x v="0"/>
    <x v="4"/>
    <m/>
    <x v="0"/>
    <x v="0"/>
    <x v="0"/>
  </r>
  <r>
    <x v="1325"/>
    <x v="17"/>
    <x v="0"/>
    <x v="0"/>
    <x v="0"/>
    <m/>
    <x v="1"/>
    <m/>
    <n v="1"/>
    <x v="0"/>
    <x v="4"/>
    <m/>
    <x v="0"/>
    <x v="0"/>
    <x v="0"/>
  </r>
  <r>
    <x v="1326"/>
    <x v="17"/>
    <x v="0"/>
    <x v="0"/>
    <x v="0"/>
    <m/>
    <x v="1"/>
    <m/>
    <n v="1"/>
    <x v="0"/>
    <x v="4"/>
    <m/>
    <x v="0"/>
    <x v="0"/>
    <x v="0"/>
  </r>
  <r>
    <x v="1327"/>
    <x v="17"/>
    <x v="0"/>
    <x v="0"/>
    <x v="0"/>
    <m/>
    <x v="1"/>
    <m/>
    <n v="1"/>
    <x v="0"/>
    <x v="4"/>
    <m/>
    <x v="0"/>
    <x v="0"/>
    <x v="0"/>
  </r>
  <r>
    <x v="1328"/>
    <x v="17"/>
    <x v="0"/>
    <x v="0"/>
    <x v="0"/>
    <m/>
    <x v="1"/>
    <m/>
    <n v="1"/>
    <x v="0"/>
    <x v="4"/>
    <m/>
    <x v="0"/>
    <x v="0"/>
    <x v="0"/>
  </r>
  <r>
    <x v="1329"/>
    <x v="17"/>
    <x v="0"/>
    <x v="0"/>
    <x v="0"/>
    <m/>
    <x v="1"/>
    <m/>
    <n v="1"/>
    <x v="0"/>
    <x v="4"/>
    <m/>
    <x v="0"/>
    <x v="0"/>
    <x v="0"/>
  </r>
  <r>
    <x v="1330"/>
    <x v="17"/>
    <x v="0"/>
    <x v="0"/>
    <x v="0"/>
    <m/>
    <x v="1"/>
    <m/>
    <n v="1"/>
    <x v="0"/>
    <x v="4"/>
    <m/>
    <x v="0"/>
    <x v="0"/>
    <x v="0"/>
  </r>
  <r>
    <x v="1331"/>
    <x v="17"/>
    <x v="0"/>
    <x v="0"/>
    <x v="0"/>
    <m/>
    <x v="1"/>
    <m/>
    <n v="1"/>
    <x v="0"/>
    <x v="4"/>
    <m/>
    <x v="0"/>
    <x v="0"/>
    <x v="0"/>
  </r>
  <r>
    <x v="1332"/>
    <x v="17"/>
    <x v="0"/>
    <x v="0"/>
    <x v="0"/>
    <m/>
    <x v="1"/>
    <m/>
    <n v="1"/>
    <x v="0"/>
    <x v="4"/>
    <m/>
    <x v="0"/>
    <x v="0"/>
    <x v="0"/>
  </r>
  <r>
    <x v="1333"/>
    <x v="17"/>
    <x v="0"/>
    <x v="0"/>
    <x v="0"/>
    <m/>
    <x v="1"/>
    <m/>
    <n v="1"/>
    <x v="0"/>
    <x v="4"/>
    <m/>
    <x v="0"/>
    <x v="0"/>
    <x v="0"/>
  </r>
  <r>
    <x v="1334"/>
    <x v="17"/>
    <x v="0"/>
    <x v="0"/>
    <x v="0"/>
    <m/>
    <x v="1"/>
    <m/>
    <n v="1"/>
    <x v="0"/>
    <x v="4"/>
    <m/>
    <x v="0"/>
    <x v="0"/>
    <x v="0"/>
  </r>
  <r>
    <x v="1335"/>
    <x v="17"/>
    <x v="0"/>
    <x v="0"/>
    <x v="0"/>
    <m/>
    <x v="1"/>
    <m/>
    <n v="1"/>
    <x v="0"/>
    <x v="4"/>
    <m/>
    <x v="0"/>
    <x v="0"/>
    <x v="0"/>
  </r>
  <r>
    <x v="1336"/>
    <x v="17"/>
    <x v="0"/>
    <x v="0"/>
    <x v="0"/>
    <m/>
    <x v="1"/>
    <m/>
    <n v="1"/>
    <x v="0"/>
    <x v="4"/>
    <m/>
    <x v="0"/>
    <x v="0"/>
    <x v="0"/>
  </r>
  <r>
    <x v="1337"/>
    <x v="17"/>
    <x v="0"/>
    <x v="0"/>
    <x v="0"/>
    <m/>
    <x v="1"/>
    <m/>
    <n v="1"/>
    <x v="0"/>
    <x v="4"/>
    <m/>
    <x v="0"/>
    <x v="0"/>
    <x v="0"/>
  </r>
  <r>
    <x v="1338"/>
    <x v="17"/>
    <x v="0"/>
    <x v="0"/>
    <x v="0"/>
    <m/>
    <x v="1"/>
    <m/>
    <n v="1"/>
    <x v="0"/>
    <x v="4"/>
    <m/>
    <x v="0"/>
    <x v="0"/>
    <x v="0"/>
  </r>
  <r>
    <x v="1339"/>
    <x v="17"/>
    <x v="0"/>
    <x v="0"/>
    <x v="0"/>
    <m/>
    <x v="1"/>
    <m/>
    <n v="1"/>
    <x v="0"/>
    <x v="4"/>
    <m/>
    <x v="0"/>
    <x v="0"/>
    <x v="0"/>
  </r>
  <r>
    <x v="1340"/>
    <x v="17"/>
    <x v="0"/>
    <x v="0"/>
    <x v="0"/>
    <m/>
    <x v="1"/>
    <m/>
    <n v="1"/>
    <x v="0"/>
    <x v="4"/>
    <m/>
    <x v="0"/>
    <x v="0"/>
    <x v="0"/>
  </r>
  <r>
    <x v="1341"/>
    <x v="17"/>
    <x v="0"/>
    <x v="0"/>
    <x v="0"/>
    <m/>
    <x v="1"/>
    <m/>
    <n v="1"/>
    <x v="0"/>
    <x v="4"/>
    <m/>
    <x v="0"/>
    <x v="0"/>
    <x v="0"/>
  </r>
  <r>
    <x v="1342"/>
    <x v="17"/>
    <x v="0"/>
    <x v="0"/>
    <x v="0"/>
    <m/>
    <x v="1"/>
    <m/>
    <n v="1"/>
    <x v="0"/>
    <x v="4"/>
    <m/>
    <x v="0"/>
    <x v="0"/>
    <x v="0"/>
  </r>
  <r>
    <x v="1343"/>
    <x v="17"/>
    <x v="0"/>
    <x v="0"/>
    <x v="0"/>
    <m/>
    <x v="1"/>
    <m/>
    <n v="1"/>
    <x v="0"/>
    <x v="4"/>
    <m/>
    <x v="0"/>
    <x v="0"/>
    <x v="0"/>
  </r>
  <r>
    <x v="1344"/>
    <x v="17"/>
    <x v="0"/>
    <x v="0"/>
    <x v="0"/>
    <m/>
    <x v="1"/>
    <m/>
    <n v="1"/>
    <x v="0"/>
    <x v="4"/>
    <m/>
    <x v="0"/>
    <x v="0"/>
    <x v="0"/>
  </r>
  <r>
    <x v="1345"/>
    <x v="17"/>
    <x v="0"/>
    <x v="0"/>
    <x v="0"/>
    <m/>
    <x v="1"/>
    <m/>
    <n v="1"/>
    <x v="0"/>
    <x v="4"/>
    <m/>
    <x v="0"/>
    <x v="0"/>
    <x v="0"/>
  </r>
  <r>
    <x v="1346"/>
    <x v="17"/>
    <x v="0"/>
    <x v="0"/>
    <x v="0"/>
    <m/>
    <x v="1"/>
    <m/>
    <n v="1"/>
    <x v="0"/>
    <x v="4"/>
    <m/>
    <x v="0"/>
    <x v="0"/>
    <x v="0"/>
  </r>
  <r>
    <x v="1347"/>
    <x v="17"/>
    <x v="0"/>
    <x v="0"/>
    <x v="0"/>
    <m/>
    <x v="1"/>
    <m/>
    <n v="1"/>
    <x v="0"/>
    <x v="4"/>
    <m/>
    <x v="0"/>
    <x v="0"/>
    <x v="0"/>
  </r>
  <r>
    <x v="1348"/>
    <x v="17"/>
    <x v="0"/>
    <x v="0"/>
    <x v="0"/>
    <m/>
    <x v="1"/>
    <m/>
    <n v="1"/>
    <x v="0"/>
    <x v="4"/>
    <m/>
    <x v="0"/>
    <x v="0"/>
    <x v="0"/>
  </r>
  <r>
    <x v="1349"/>
    <x v="17"/>
    <x v="0"/>
    <x v="0"/>
    <x v="0"/>
    <m/>
    <x v="1"/>
    <m/>
    <n v="1"/>
    <x v="0"/>
    <x v="4"/>
    <m/>
    <x v="0"/>
    <x v="0"/>
    <x v="0"/>
  </r>
  <r>
    <x v="1350"/>
    <x v="17"/>
    <x v="0"/>
    <x v="0"/>
    <x v="0"/>
    <m/>
    <x v="1"/>
    <m/>
    <n v="1"/>
    <x v="0"/>
    <x v="4"/>
    <m/>
    <x v="0"/>
    <x v="0"/>
    <x v="0"/>
  </r>
  <r>
    <x v="1351"/>
    <x v="17"/>
    <x v="0"/>
    <x v="0"/>
    <x v="0"/>
    <m/>
    <x v="1"/>
    <m/>
    <n v="1"/>
    <x v="0"/>
    <x v="4"/>
    <m/>
    <x v="0"/>
    <x v="0"/>
    <x v="0"/>
  </r>
  <r>
    <x v="1352"/>
    <x v="17"/>
    <x v="0"/>
    <x v="0"/>
    <x v="0"/>
    <m/>
    <x v="1"/>
    <m/>
    <n v="1"/>
    <x v="0"/>
    <x v="4"/>
    <m/>
    <x v="0"/>
    <x v="0"/>
    <x v="0"/>
  </r>
  <r>
    <x v="1353"/>
    <x v="17"/>
    <x v="0"/>
    <x v="0"/>
    <x v="0"/>
    <m/>
    <x v="1"/>
    <m/>
    <n v="1"/>
    <x v="0"/>
    <x v="4"/>
    <m/>
    <x v="0"/>
    <x v="0"/>
    <x v="0"/>
  </r>
  <r>
    <x v="1354"/>
    <x v="17"/>
    <x v="0"/>
    <x v="0"/>
    <x v="0"/>
    <m/>
    <x v="1"/>
    <m/>
    <n v="1"/>
    <x v="0"/>
    <x v="4"/>
    <m/>
    <x v="0"/>
    <x v="0"/>
    <x v="0"/>
  </r>
  <r>
    <x v="1355"/>
    <x v="17"/>
    <x v="0"/>
    <x v="0"/>
    <x v="0"/>
    <m/>
    <x v="1"/>
    <m/>
    <n v="1"/>
    <x v="0"/>
    <x v="4"/>
    <m/>
    <x v="0"/>
    <x v="0"/>
    <x v="0"/>
  </r>
  <r>
    <x v="1356"/>
    <x v="17"/>
    <x v="0"/>
    <x v="0"/>
    <x v="0"/>
    <m/>
    <x v="1"/>
    <m/>
    <n v="1"/>
    <x v="0"/>
    <x v="4"/>
    <m/>
    <x v="0"/>
    <x v="0"/>
    <x v="0"/>
  </r>
  <r>
    <x v="1357"/>
    <x v="17"/>
    <x v="0"/>
    <x v="0"/>
    <x v="0"/>
    <m/>
    <x v="1"/>
    <m/>
    <n v="1"/>
    <x v="0"/>
    <x v="4"/>
    <m/>
    <x v="0"/>
    <x v="0"/>
    <x v="0"/>
  </r>
  <r>
    <x v="1358"/>
    <x v="17"/>
    <x v="0"/>
    <x v="0"/>
    <x v="0"/>
    <m/>
    <x v="1"/>
    <m/>
    <n v="1"/>
    <x v="0"/>
    <x v="4"/>
    <m/>
    <x v="0"/>
    <x v="0"/>
    <x v="0"/>
  </r>
  <r>
    <x v="1359"/>
    <x v="17"/>
    <x v="0"/>
    <x v="0"/>
    <x v="0"/>
    <m/>
    <x v="1"/>
    <m/>
    <n v="1"/>
    <x v="0"/>
    <x v="4"/>
    <m/>
    <x v="0"/>
    <x v="0"/>
    <x v="0"/>
  </r>
  <r>
    <x v="1360"/>
    <x v="17"/>
    <x v="0"/>
    <x v="0"/>
    <x v="0"/>
    <m/>
    <x v="1"/>
    <m/>
    <n v="1"/>
    <x v="0"/>
    <x v="4"/>
    <m/>
    <x v="0"/>
    <x v="0"/>
    <x v="0"/>
  </r>
  <r>
    <x v="1361"/>
    <x v="17"/>
    <x v="0"/>
    <x v="0"/>
    <x v="0"/>
    <m/>
    <x v="1"/>
    <m/>
    <n v="1"/>
    <x v="0"/>
    <x v="4"/>
    <m/>
    <x v="0"/>
    <x v="0"/>
    <x v="0"/>
  </r>
  <r>
    <x v="1362"/>
    <x v="17"/>
    <x v="0"/>
    <x v="0"/>
    <x v="0"/>
    <m/>
    <x v="1"/>
    <m/>
    <n v="1"/>
    <x v="0"/>
    <x v="4"/>
    <m/>
    <x v="0"/>
    <x v="0"/>
    <x v="0"/>
  </r>
  <r>
    <x v="1363"/>
    <x v="17"/>
    <x v="0"/>
    <x v="0"/>
    <x v="0"/>
    <m/>
    <x v="1"/>
    <m/>
    <n v="1"/>
    <x v="0"/>
    <x v="4"/>
    <m/>
    <x v="0"/>
    <x v="0"/>
    <x v="0"/>
  </r>
  <r>
    <x v="1364"/>
    <x v="17"/>
    <x v="0"/>
    <x v="0"/>
    <x v="0"/>
    <m/>
    <x v="1"/>
    <m/>
    <n v="1"/>
    <x v="0"/>
    <x v="4"/>
    <m/>
    <x v="0"/>
    <x v="0"/>
    <x v="0"/>
  </r>
  <r>
    <x v="1365"/>
    <x v="17"/>
    <x v="0"/>
    <x v="0"/>
    <x v="0"/>
    <m/>
    <x v="1"/>
    <m/>
    <n v="1"/>
    <x v="0"/>
    <x v="4"/>
    <m/>
    <x v="0"/>
    <x v="0"/>
    <x v="0"/>
  </r>
  <r>
    <x v="1366"/>
    <x v="17"/>
    <x v="0"/>
    <x v="0"/>
    <x v="0"/>
    <m/>
    <x v="1"/>
    <m/>
    <n v="1"/>
    <x v="0"/>
    <x v="4"/>
    <m/>
    <x v="0"/>
    <x v="0"/>
    <x v="0"/>
  </r>
  <r>
    <x v="1367"/>
    <x v="17"/>
    <x v="0"/>
    <x v="0"/>
    <x v="0"/>
    <m/>
    <x v="1"/>
    <m/>
    <n v="1"/>
    <x v="0"/>
    <x v="4"/>
    <m/>
    <x v="0"/>
    <x v="0"/>
    <x v="0"/>
  </r>
  <r>
    <x v="1368"/>
    <x v="17"/>
    <x v="0"/>
    <x v="0"/>
    <x v="0"/>
    <m/>
    <x v="1"/>
    <m/>
    <n v="1"/>
    <x v="0"/>
    <x v="4"/>
    <m/>
    <x v="0"/>
    <x v="0"/>
    <x v="0"/>
  </r>
  <r>
    <x v="1369"/>
    <x v="17"/>
    <x v="0"/>
    <x v="0"/>
    <x v="0"/>
    <m/>
    <x v="1"/>
    <m/>
    <n v="1"/>
    <x v="0"/>
    <x v="4"/>
    <m/>
    <x v="0"/>
    <x v="0"/>
    <x v="0"/>
  </r>
  <r>
    <x v="1370"/>
    <x v="17"/>
    <x v="0"/>
    <x v="0"/>
    <x v="0"/>
    <m/>
    <x v="1"/>
    <m/>
    <n v="1"/>
    <x v="0"/>
    <x v="4"/>
    <m/>
    <x v="0"/>
    <x v="0"/>
    <x v="0"/>
  </r>
  <r>
    <x v="1371"/>
    <x v="17"/>
    <x v="0"/>
    <x v="0"/>
    <x v="0"/>
    <m/>
    <x v="1"/>
    <m/>
    <n v="1"/>
    <x v="0"/>
    <x v="4"/>
    <m/>
    <x v="0"/>
    <x v="0"/>
    <x v="0"/>
  </r>
  <r>
    <x v="1372"/>
    <x v="17"/>
    <x v="0"/>
    <x v="0"/>
    <x v="0"/>
    <m/>
    <x v="1"/>
    <m/>
    <n v="1"/>
    <x v="0"/>
    <x v="4"/>
    <m/>
    <x v="0"/>
    <x v="0"/>
    <x v="0"/>
  </r>
  <r>
    <x v="1373"/>
    <x v="17"/>
    <x v="0"/>
    <x v="0"/>
    <x v="0"/>
    <m/>
    <x v="1"/>
    <m/>
    <n v="1"/>
    <x v="0"/>
    <x v="4"/>
    <m/>
    <x v="0"/>
    <x v="0"/>
    <x v="0"/>
  </r>
  <r>
    <x v="1374"/>
    <x v="17"/>
    <x v="0"/>
    <x v="0"/>
    <x v="0"/>
    <m/>
    <x v="1"/>
    <m/>
    <n v="1"/>
    <x v="0"/>
    <x v="4"/>
    <m/>
    <x v="0"/>
    <x v="0"/>
    <x v="0"/>
  </r>
  <r>
    <x v="1375"/>
    <x v="17"/>
    <x v="0"/>
    <x v="0"/>
    <x v="0"/>
    <m/>
    <x v="1"/>
    <m/>
    <n v="1"/>
    <x v="0"/>
    <x v="4"/>
    <m/>
    <x v="0"/>
    <x v="0"/>
    <x v="0"/>
  </r>
  <r>
    <x v="1376"/>
    <x v="17"/>
    <x v="0"/>
    <x v="0"/>
    <x v="0"/>
    <m/>
    <x v="1"/>
    <m/>
    <n v="1"/>
    <x v="0"/>
    <x v="4"/>
    <m/>
    <x v="0"/>
    <x v="0"/>
    <x v="0"/>
  </r>
  <r>
    <x v="1377"/>
    <x v="17"/>
    <x v="0"/>
    <x v="0"/>
    <x v="0"/>
    <m/>
    <x v="1"/>
    <m/>
    <n v="1"/>
    <x v="0"/>
    <x v="4"/>
    <m/>
    <x v="0"/>
    <x v="0"/>
    <x v="0"/>
  </r>
  <r>
    <x v="1378"/>
    <x v="17"/>
    <x v="0"/>
    <x v="0"/>
    <x v="0"/>
    <m/>
    <x v="1"/>
    <m/>
    <n v="1"/>
    <x v="0"/>
    <x v="4"/>
    <m/>
    <x v="0"/>
    <x v="0"/>
    <x v="0"/>
  </r>
  <r>
    <x v="1379"/>
    <x v="17"/>
    <x v="0"/>
    <x v="0"/>
    <x v="0"/>
    <m/>
    <x v="1"/>
    <m/>
    <n v="1"/>
    <x v="0"/>
    <x v="4"/>
    <m/>
    <x v="0"/>
    <x v="0"/>
    <x v="0"/>
  </r>
  <r>
    <x v="1380"/>
    <x v="17"/>
    <x v="0"/>
    <x v="0"/>
    <x v="0"/>
    <m/>
    <x v="1"/>
    <m/>
    <n v="1"/>
    <x v="0"/>
    <x v="4"/>
    <m/>
    <x v="0"/>
    <x v="0"/>
    <x v="0"/>
  </r>
  <r>
    <x v="1381"/>
    <x v="17"/>
    <x v="0"/>
    <x v="0"/>
    <x v="0"/>
    <m/>
    <x v="1"/>
    <m/>
    <n v="1"/>
    <x v="0"/>
    <x v="4"/>
    <m/>
    <x v="0"/>
    <x v="0"/>
    <x v="0"/>
  </r>
  <r>
    <x v="1382"/>
    <x v="17"/>
    <x v="0"/>
    <x v="0"/>
    <x v="0"/>
    <m/>
    <x v="1"/>
    <m/>
    <n v="1"/>
    <x v="0"/>
    <x v="4"/>
    <m/>
    <x v="0"/>
    <x v="0"/>
    <x v="0"/>
  </r>
  <r>
    <x v="1383"/>
    <x v="17"/>
    <x v="0"/>
    <x v="0"/>
    <x v="0"/>
    <m/>
    <x v="1"/>
    <m/>
    <n v="1"/>
    <x v="0"/>
    <x v="4"/>
    <m/>
    <x v="0"/>
    <x v="0"/>
    <x v="0"/>
  </r>
  <r>
    <x v="1384"/>
    <x v="17"/>
    <x v="0"/>
    <x v="0"/>
    <x v="0"/>
    <m/>
    <x v="1"/>
    <m/>
    <n v="1"/>
    <x v="0"/>
    <x v="4"/>
    <m/>
    <x v="0"/>
    <x v="0"/>
    <x v="0"/>
  </r>
  <r>
    <x v="1385"/>
    <x v="17"/>
    <x v="0"/>
    <x v="0"/>
    <x v="0"/>
    <m/>
    <x v="1"/>
    <m/>
    <n v="1"/>
    <x v="0"/>
    <x v="4"/>
    <m/>
    <x v="0"/>
    <x v="0"/>
    <x v="0"/>
  </r>
  <r>
    <x v="1386"/>
    <x v="17"/>
    <x v="0"/>
    <x v="0"/>
    <x v="0"/>
    <m/>
    <x v="1"/>
    <m/>
    <n v="1"/>
    <x v="0"/>
    <x v="4"/>
    <m/>
    <x v="0"/>
    <x v="0"/>
    <x v="0"/>
  </r>
  <r>
    <x v="1387"/>
    <x v="17"/>
    <x v="0"/>
    <x v="0"/>
    <x v="0"/>
    <m/>
    <x v="1"/>
    <m/>
    <n v="1"/>
    <x v="0"/>
    <x v="4"/>
    <m/>
    <x v="0"/>
    <x v="0"/>
    <x v="0"/>
  </r>
  <r>
    <x v="1388"/>
    <x v="17"/>
    <x v="0"/>
    <x v="0"/>
    <x v="0"/>
    <m/>
    <x v="1"/>
    <m/>
    <n v="1"/>
    <x v="0"/>
    <x v="4"/>
    <m/>
    <x v="0"/>
    <x v="0"/>
    <x v="0"/>
  </r>
  <r>
    <x v="1389"/>
    <x v="17"/>
    <x v="0"/>
    <x v="0"/>
    <x v="0"/>
    <m/>
    <x v="1"/>
    <m/>
    <n v="1"/>
    <x v="0"/>
    <x v="4"/>
    <m/>
    <x v="0"/>
    <x v="0"/>
    <x v="0"/>
  </r>
  <r>
    <x v="1390"/>
    <x v="17"/>
    <x v="0"/>
    <x v="0"/>
    <x v="0"/>
    <m/>
    <x v="1"/>
    <m/>
    <n v="1"/>
    <x v="0"/>
    <x v="4"/>
    <m/>
    <x v="0"/>
    <x v="0"/>
    <x v="0"/>
  </r>
  <r>
    <x v="1391"/>
    <x v="17"/>
    <x v="0"/>
    <x v="0"/>
    <x v="0"/>
    <m/>
    <x v="1"/>
    <m/>
    <n v="1"/>
    <x v="0"/>
    <x v="4"/>
    <m/>
    <x v="0"/>
    <x v="0"/>
    <x v="0"/>
  </r>
  <r>
    <x v="1392"/>
    <x v="17"/>
    <x v="0"/>
    <x v="0"/>
    <x v="0"/>
    <m/>
    <x v="1"/>
    <m/>
    <n v="1"/>
    <x v="0"/>
    <x v="4"/>
    <m/>
    <x v="0"/>
    <x v="0"/>
    <x v="0"/>
  </r>
  <r>
    <x v="1393"/>
    <x v="17"/>
    <x v="0"/>
    <x v="0"/>
    <x v="0"/>
    <m/>
    <x v="1"/>
    <m/>
    <n v="1"/>
    <x v="0"/>
    <x v="4"/>
    <m/>
    <x v="0"/>
    <x v="0"/>
    <x v="0"/>
  </r>
  <r>
    <x v="1394"/>
    <x v="17"/>
    <x v="0"/>
    <x v="0"/>
    <x v="0"/>
    <m/>
    <x v="1"/>
    <m/>
    <n v="1"/>
    <x v="0"/>
    <x v="4"/>
    <m/>
    <x v="0"/>
    <x v="0"/>
    <x v="0"/>
  </r>
  <r>
    <x v="1395"/>
    <x v="17"/>
    <x v="0"/>
    <x v="0"/>
    <x v="0"/>
    <m/>
    <x v="1"/>
    <m/>
    <n v="1"/>
    <x v="0"/>
    <x v="4"/>
    <m/>
    <x v="0"/>
    <x v="0"/>
    <x v="0"/>
  </r>
  <r>
    <x v="1396"/>
    <x v="17"/>
    <x v="0"/>
    <x v="0"/>
    <x v="0"/>
    <m/>
    <x v="1"/>
    <m/>
    <n v="1"/>
    <x v="0"/>
    <x v="4"/>
    <m/>
    <x v="0"/>
    <x v="0"/>
    <x v="0"/>
  </r>
  <r>
    <x v="1397"/>
    <x v="17"/>
    <x v="0"/>
    <x v="0"/>
    <x v="0"/>
    <m/>
    <x v="1"/>
    <m/>
    <n v="1"/>
    <x v="0"/>
    <x v="4"/>
    <m/>
    <x v="0"/>
    <x v="0"/>
    <x v="0"/>
  </r>
  <r>
    <x v="1398"/>
    <x v="17"/>
    <x v="0"/>
    <x v="0"/>
    <x v="0"/>
    <m/>
    <x v="1"/>
    <m/>
    <n v="1"/>
    <x v="0"/>
    <x v="4"/>
    <m/>
    <x v="0"/>
    <x v="0"/>
    <x v="0"/>
  </r>
  <r>
    <x v="1399"/>
    <x v="17"/>
    <x v="0"/>
    <x v="0"/>
    <x v="0"/>
    <m/>
    <x v="1"/>
    <m/>
    <n v="1"/>
    <x v="0"/>
    <x v="4"/>
    <m/>
    <x v="0"/>
    <x v="0"/>
    <x v="0"/>
  </r>
  <r>
    <x v="1400"/>
    <x v="17"/>
    <x v="0"/>
    <x v="0"/>
    <x v="0"/>
    <m/>
    <x v="1"/>
    <m/>
    <n v="1"/>
    <x v="0"/>
    <x v="4"/>
    <m/>
    <x v="0"/>
    <x v="0"/>
    <x v="0"/>
  </r>
  <r>
    <x v="1401"/>
    <x v="17"/>
    <x v="0"/>
    <x v="0"/>
    <x v="0"/>
    <m/>
    <x v="1"/>
    <m/>
    <n v="1"/>
    <x v="0"/>
    <x v="4"/>
    <m/>
    <x v="0"/>
    <x v="0"/>
    <x v="0"/>
  </r>
  <r>
    <x v="1402"/>
    <x v="17"/>
    <x v="0"/>
    <x v="0"/>
    <x v="0"/>
    <m/>
    <x v="1"/>
    <m/>
    <n v="1"/>
    <x v="0"/>
    <x v="4"/>
    <m/>
    <x v="0"/>
    <x v="0"/>
    <x v="0"/>
  </r>
  <r>
    <x v="1403"/>
    <x v="17"/>
    <x v="0"/>
    <x v="0"/>
    <x v="0"/>
    <m/>
    <x v="1"/>
    <m/>
    <n v="1"/>
    <x v="0"/>
    <x v="4"/>
    <m/>
    <x v="0"/>
    <x v="0"/>
    <x v="0"/>
  </r>
  <r>
    <x v="1404"/>
    <x v="17"/>
    <x v="0"/>
    <x v="0"/>
    <x v="0"/>
    <m/>
    <x v="1"/>
    <m/>
    <n v="1"/>
    <x v="0"/>
    <x v="4"/>
    <m/>
    <x v="0"/>
    <x v="0"/>
    <x v="0"/>
  </r>
  <r>
    <x v="1405"/>
    <x v="17"/>
    <x v="0"/>
    <x v="0"/>
    <x v="0"/>
    <m/>
    <x v="1"/>
    <m/>
    <n v="1"/>
    <x v="0"/>
    <x v="4"/>
    <m/>
    <x v="0"/>
    <x v="0"/>
    <x v="0"/>
  </r>
  <r>
    <x v="1406"/>
    <x v="17"/>
    <x v="0"/>
    <x v="0"/>
    <x v="0"/>
    <m/>
    <x v="1"/>
    <m/>
    <n v="1"/>
    <x v="0"/>
    <x v="4"/>
    <m/>
    <x v="0"/>
    <x v="0"/>
    <x v="0"/>
  </r>
  <r>
    <x v="1407"/>
    <x v="17"/>
    <x v="0"/>
    <x v="0"/>
    <x v="0"/>
    <m/>
    <x v="1"/>
    <m/>
    <n v="1"/>
    <x v="0"/>
    <x v="4"/>
    <m/>
    <x v="0"/>
    <x v="0"/>
    <x v="0"/>
  </r>
  <r>
    <x v="1408"/>
    <x v="17"/>
    <x v="0"/>
    <x v="0"/>
    <x v="0"/>
    <m/>
    <x v="1"/>
    <m/>
    <n v="1"/>
    <x v="0"/>
    <x v="4"/>
    <m/>
    <x v="0"/>
    <x v="0"/>
    <x v="0"/>
  </r>
  <r>
    <x v="1409"/>
    <x v="17"/>
    <x v="0"/>
    <x v="0"/>
    <x v="0"/>
    <m/>
    <x v="1"/>
    <m/>
    <n v="1"/>
    <x v="0"/>
    <x v="4"/>
    <m/>
    <x v="0"/>
    <x v="0"/>
    <x v="0"/>
  </r>
  <r>
    <x v="1410"/>
    <x v="17"/>
    <x v="0"/>
    <x v="0"/>
    <x v="0"/>
    <m/>
    <x v="1"/>
    <m/>
    <n v="1"/>
    <x v="0"/>
    <x v="4"/>
    <m/>
    <x v="0"/>
    <x v="0"/>
    <x v="0"/>
  </r>
  <r>
    <x v="1411"/>
    <x v="17"/>
    <x v="0"/>
    <x v="0"/>
    <x v="0"/>
    <m/>
    <x v="1"/>
    <m/>
    <n v="1"/>
    <x v="0"/>
    <x v="4"/>
    <m/>
    <x v="0"/>
    <x v="0"/>
    <x v="0"/>
  </r>
  <r>
    <x v="1412"/>
    <x v="17"/>
    <x v="0"/>
    <x v="0"/>
    <x v="0"/>
    <m/>
    <x v="1"/>
    <m/>
    <n v="1"/>
    <x v="0"/>
    <x v="4"/>
    <m/>
    <x v="0"/>
    <x v="0"/>
    <x v="0"/>
  </r>
  <r>
    <x v="1413"/>
    <x v="17"/>
    <x v="0"/>
    <x v="0"/>
    <x v="0"/>
    <m/>
    <x v="1"/>
    <m/>
    <n v="1"/>
    <x v="0"/>
    <x v="4"/>
    <m/>
    <x v="0"/>
    <x v="0"/>
    <x v="0"/>
  </r>
  <r>
    <x v="1414"/>
    <x v="17"/>
    <x v="0"/>
    <x v="0"/>
    <x v="0"/>
    <m/>
    <x v="1"/>
    <m/>
    <n v="1"/>
    <x v="0"/>
    <x v="4"/>
    <m/>
    <x v="0"/>
    <x v="0"/>
    <x v="0"/>
  </r>
  <r>
    <x v="1415"/>
    <x v="17"/>
    <x v="0"/>
    <x v="0"/>
    <x v="0"/>
    <m/>
    <x v="1"/>
    <m/>
    <n v="1"/>
    <x v="0"/>
    <x v="4"/>
    <m/>
    <x v="0"/>
    <x v="0"/>
    <x v="0"/>
  </r>
  <r>
    <x v="1416"/>
    <x v="17"/>
    <x v="0"/>
    <x v="0"/>
    <x v="0"/>
    <m/>
    <x v="1"/>
    <m/>
    <n v="1"/>
    <x v="0"/>
    <x v="4"/>
    <m/>
    <x v="0"/>
    <x v="0"/>
    <x v="0"/>
  </r>
  <r>
    <x v="1417"/>
    <x v="17"/>
    <x v="0"/>
    <x v="0"/>
    <x v="0"/>
    <m/>
    <x v="1"/>
    <m/>
    <n v="1"/>
    <x v="0"/>
    <x v="4"/>
    <m/>
    <x v="0"/>
    <x v="0"/>
    <x v="0"/>
  </r>
  <r>
    <x v="1418"/>
    <x v="17"/>
    <x v="0"/>
    <x v="0"/>
    <x v="0"/>
    <m/>
    <x v="1"/>
    <m/>
    <n v="1"/>
    <x v="0"/>
    <x v="4"/>
    <m/>
    <x v="0"/>
    <x v="0"/>
    <x v="0"/>
  </r>
  <r>
    <x v="1419"/>
    <x v="17"/>
    <x v="0"/>
    <x v="0"/>
    <x v="0"/>
    <m/>
    <x v="1"/>
    <m/>
    <n v="1"/>
    <x v="0"/>
    <x v="4"/>
    <m/>
    <x v="0"/>
    <x v="0"/>
    <x v="0"/>
  </r>
  <r>
    <x v="1420"/>
    <x v="17"/>
    <x v="0"/>
    <x v="0"/>
    <x v="0"/>
    <m/>
    <x v="1"/>
    <m/>
    <n v="1"/>
    <x v="0"/>
    <x v="4"/>
    <m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ilosc_kolowy" cacheId="0" applyNumberFormats="0" applyBorderFormats="0" applyFontFormats="0" applyPatternFormats="0" applyAlignmentFormats="0" applyWidthHeightFormats="1" dataCaption="Wartości" updatedVersion="7" minRefreshableVersion="3" useAutoFormatting="1" itemPrintTitles="1" createdVersion="7" indent="0" outline="1" outlineData="1" multipleFieldFilters="0" chartFormat="2">
  <location ref="AS4:AT7" firstHeaderRow="1" firstDataRow="1" firstDataCol="1"/>
  <pivotFields count="16">
    <pivotField showAll="0"/>
    <pivotField showAll="0"/>
    <pivotField showAll="0">
      <items count="5">
        <item x="0"/>
        <item x="1"/>
        <item x="2"/>
        <item m="1" x="3"/>
        <item t="default"/>
      </items>
    </pivotField>
    <pivotField showAll="0"/>
    <pivotField axis="axisRow" showAll="0">
      <items count="3">
        <item x="0"/>
        <item x="1"/>
        <item t="default"/>
      </items>
    </pivotField>
    <pivotField showAll="0"/>
    <pivotField showAll="0">
      <items count="3">
        <item x="1"/>
        <item x="0"/>
        <item t="default"/>
      </items>
    </pivotField>
    <pivotField showAll="0"/>
    <pivotField dataField="1" showAll="0"/>
    <pivotField showAll="0">
      <items count="6">
        <item m="1" x="4"/>
        <item x="2"/>
        <item x="3"/>
        <item x="1"/>
        <item x="0"/>
        <item t="default"/>
      </items>
    </pivotField>
    <pivotField showAll="0">
      <items count="9">
        <item m="1" x="7"/>
        <item x="1"/>
        <item x="3"/>
        <item x="2"/>
        <item x="4"/>
        <item x="0"/>
        <item m="1" x="5"/>
        <item m="1" x="6"/>
        <item t="default"/>
      </items>
    </pivotField>
    <pivotField showAll="0"/>
    <pivotField showAll="0">
      <items count="3">
        <item x="1"/>
        <item x="0"/>
        <item t="default"/>
      </items>
    </pivotField>
    <pivotField showAll="0">
      <items count="8">
        <item x="0"/>
        <item m="1" x="6"/>
        <item m="1" x="2"/>
        <item m="1" x="3"/>
        <item m="1" x="4"/>
        <item m="1" x="5"/>
        <item x="1"/>
        <item t="default"/>
      </items>
    </pivotField>
    <pivotField showAll="0">
      <items count="3">
        <item x="1"/>
        <item x="0"/>
        <item t="default"/>
      </items>
    </pivotField>
    <pivotField showAll="0" defaultSubtotal="0">
      <items count="2">
        <item x="0"/>
        <item x="1"/>
      </items>
    </pivotField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Suma z Ilość" fld="8" baseField="0" baseItem="0"/>
  </dataFields>
  <chartFormats count="2">
    <chartFormat chart="0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2000000}" name="ilosc_mc" cacheId="0" applyNumberFormats="0" applyBorderFormats="0" applyFontFormats="0" applyPatternFormats="0" applyAlignmentFormats="0" applyWidthHeightFormats="1" dataCaption="Wartości" updatedVersion="7" minRefreshableVersion="3" useAutoFormatting="1" itemPrintTitles="1" createdVersion="7" indent="0" outline="1" outlineData="1" multipleFieldFilters="0" chartFormat="4">
  <location ref="BD4:BE9" firstHeaderRow="1" firstDataRow="1" firstDataCol="1"/>
  <pivotFields count="16">
    <pivotField showAll="0"/>
    <pivotField showAll="0"/>
    <pivotField showAll="0">
      <items count="5">
        <item x="0"/>
        <item x="1"/>
        <item x="2"/>
        <item m="1" x="3"/>
        <item t="default"/>
      </items>
    </pivotField>
    <pivotField showAll="0"/>
    <pivotField showAll="0">
      <items count="3">
        <item x="0"/>
        <item x="1"/>
        <item t="default"/>
      </items>
    </pivotField>
    <pivotField showAll="0"/>
    <pivotField showAll="0">
      <items count="3">
        <item x="1"/>
        <item x="0"/>
        <item t="default"/>
      </items>
    </pivotField>
    <pivotField showAll="0"/>
    <pivotField dataField="1" showAll="0"/>
    <pivotField showAll="0">
      <items count="6">
        <item m="1" x="4"/>
        <item x="2"/>
        <item x="3"/>
        <item x="1"/>
        <item x="0"/>
        <item t="default"/>
      </items>
    </pivotField>
    <pivotField showAll="0">
      <items count="9">
        <item m="1" x="7"/>
        <item x="1"/>
        <item x="3"/>
        <item x="2"/>
        <item x="4"/>
        <item x="0"/>
        <item m="1" x="5"/>
        <item m="1" x="6"/>
        <item t="default"/>
      </items>
    </pivotField>
    <pivotField showAll="0"/>
    <pivotField showAll="0">
      <items count="3">
        <item x="1"/>
        <item x="0"/>
        <item t="default"/>
      </items>
    </pivotField>
    <pivotField axis="axisRow" showAll="0">
      <items count="8">
        <item x="0"/>
        <item m="1" x="6"/>
        <item m="1" x="2"/>
        <item m="1" x="3"/>
        <item m="1" x="4"/>
        <item m="1" x="5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 defaultSubtotal="0">
      <items count="2">
        <item x="0"/>
        <item x="1"/>
      </items>
    </pivotField>
  </pivotFields>
  <rowFields count="2">
    <field x="14"/>
    <field x="13"/>
  </rowFields>
  <rowItems count="5">
    <i>
      <x/>
    </i>
    <i r="1">
      <x/>
    </i>
    <i>
      <x v="1"/>
    </i>
    <i r="1">
      <x v="6"/>
    </i>
    <i t="grand">
      <x/>
    </i>
  </rowItems>
  <colItems count="1">
    <i/>
  </colItems>
  <dataFields count="1">
    <dataField name="Suma z Ilość" fld="8" baseField="0" baseItem="0"/>
  </dataFields>
  <chartFormats count="4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5000000}" name="m2_mc" cacheId="0" applyNumberFormats="0" applyBorderFormats="0" applyFontFormats="0" applyPatternFormats="0" applyAlignmentFormats="0" applyWidthHeightFormats="1" dataCaption="Wartości" updatedVersion="7" minRefreshableVersion="3" useAutoFormatting="1" itemPrintTitles="1" createdVersion="7" indent="0" outline="1" outlineData="1" multipleFieldFilters="0" chartFormat="2">
  <location ref="AL4:AM9" firstHeaderRow="1" firstDataRow="1" firstDataCol="1"/>
  <pivotFields count="16">
    <pivotField showAll="0"/>
    <pivotField showAll="0"/>
    <pivotField showAll="0">
      <items count="5">
        <item x="0"/>
        <item x="1"/>
        <item x="2"/>
        <item m="1" x="3"/>
        <item t="default"/>
      </items>
    </pivotField>
    <pivotField showAll="0"/>
    <pivotField showAll="0">
      <items count="3">
        <item x="0"/>
        <item x="1"/>
        <item t="default"/>
      </items>
    </pivotField>
    <pivotField showAll="0"/>
    <pivotField showAll="0">
      <items count="3">
        <item x="1"/>
        <item x="0"/>
        <item t="default"/>
      </items>
    </pivotField>
    <pivotField showAll="0"/>
    <pivotField showAll="0"/>
    <pivotField showAll="0">
      <items count="6">
        <item m="1" x="4"/>
        <item x="2"/>
        <item x="3"/>
        <item x="1"/>
        <item x="0"/>
        <item t="default"/>
      </items>
    </pivotField>
    <pivotField showAll="0">
      <items count="9">
        <item m="1" x="7"/>
        <item x="1"/>
        <item x="3"/>
        <item x="2"/>
        <item x="4"/>
        <item x="0"/>
        <item m="1" x="5"/>
        <item m="1" x="6"/>
        <item t="default"/>
      </items>
    </pivotField>
    <pivotField dataField="1" showAll="0"/>
    <pivotField showAll="0">
      <items count="3">
        <item x="1"/>
        <item x="0"/>
        <item t="default"/>
      </items>
    </pivotField>
    <pivotField axis="axisRow" showAll="0">
      <items count="8">
        <item x="0"/>
        <item m="1" x="6"/>
        <item m="1" x="2"/>
        <item m="1" x="3"/>
        <item m="1" x="4"/>
        <item m="1" x="5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">
        <item x="0"/>
        <item x="1"/>
        <item t="default"/>
      </items>
    </pivotField>
  </pivotFields>
  <rowFields count="2">
    <field x="14"/>
    <field x="13"/>
  </rowFields>
  <rowItems count="5">
    <i>
      <x/>
    </i>
    <i r="1">
      <x/>
    </i>
    <i>
      <x v="1"/>
    </i>
    <i r="1">
      <x v="6"/>
    </i>
    <i t="grand">
      <x/>
    </i>
  </rowItems>
  <colItems count="1">
    <i/>
  </colItems>
  <dataFields count="1">
    <dataField name="Suma z Powierzchnia" fld="11" baseField="0" baseItem="0" numFmtId="164"/>
  </dataFields>
  <formats count="1">
    <format dxfId="208">
      <pivotArea outline="0" collapsedLevelsAreSubtotals="1" fieldPosition="0"/>
    </format>
  </format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6000000}" name="Wykaz" cacheId="0" applyNumberFormats="0" applyBorderFormats="0" applyFontFormats="0" applyPatternFormats="0" applyAlignmentFormats="0" applyWidthHeightFormats="1" dataCaption="Wartości" updatedVersion="7" minRefreshableVersion="3" useAutoFormatting="1" itemPrintTitles="1" createdVersion="7" indent="0" outline="1" outlineData="1" multipleFieldFilters="0">
  <location ref="X4:Z1444" firstHeaderRow="0" firstDataRow="1" firstDataCol="1"/>
  <pivotFields count="16">
    <pivotField axis="axisRow" showAll="0">
      <items count="1423">
        <item m="1" x="1421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t="default"/>
      </items>
    </pivotField>
    <pivotField axis="axisRow" showAll="0">
      <items count="19">
        <item x="0"/>
        <item x="2"/>
        <item x="9"/>
        <item x="3"/>
        <item x="4"/>
        <item x="14"/>
        <item x="15"/>
        <item x="5"/>
        <item x="10"/>
        <item x="11"/>
        <item x="16"/>
        <item x="17"/>
        <item x="6"/>
        <item x="7"/>
        <item x="1"/>
        <item x="8"/>
        <item x="12"/>
        <item x="13"/>
        <item t="default"/>
      </items>
    </pivotField>
    <pivotField showAll="0">
      <items count="5">
        <item x="0"/>
        <item x="1"/>
        <item x="2"/>
        <item m="1" x="3"/>
        <item t="default"/>
      </items>
    </pivotField>
    <pivotField showAll="0"/>
    <pivotField showAll="0">
      <items count="3">
        <item x="0"/>
        <item x="1"/>
        <item t="default"/>
      </items>
    </pivotField>
    <pivotField showAll="0"/>
    <pivotField showAll="0">
      <items count="3">
        <item x="1"/>
        <item x="0"/>
        <item t="default"/>
      </items>
    </pivotField>
    <pivotField showAll="0"/>
    <pivotField dataField="1" showAll="0"/>
    <pivotField showAll="0">
      <items count="6">
        <item m="1" x="4"/>
        <item x="2"/>
        <item x="3"/>
        <item x="1"/>
        <item x="0"/>
        <item t="default"/>
      </items>
    </pivotField>
    <pivotField showAll="0">
      <items count="9">
        <item m="1" x="7"/>
        <item x="1"/>
        <item x="3"/>
        <item x="2"/>
        <item x="4"/>
        <item x="0"/>
        <item m="1" x="5"/>
        <item m="1" x="6"/>
        <item t="default"/>
      </items>
    </pivotField>
    <pivotField dataField="1" showAll="0"/>
    <pivotField showAll="0">
      <items count="3">
        <item x="1"/>
        <item x="0"/>
        <item t="default"/>
      </items>
    </pivotField>
    <pivotField showAll="0">
      <items count="8">
        <item x="0"/>
        <item m="1" x="6"/>
        <item m="1" x="2"/>
        <item m="1" x="3"/>
        <item m="1" x="4"/>
        <item m="1" x="5"/>
        <item x="1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0"/>
        <item x="1"/>
        <item t="default"/>
      </items>
    </pivotField>
  </pivotFields>
  <rowFields count="2">
    <field x="1"/>
    <field x="0"/>
  </rowFields>
  <rowItems count="1440">
    <i>
      <x/>
    </i>
    <i r="1">
      <x v="652"/>
    </i>
    <i r="1">
      <x v="653"/>
    </i>
    <i r="1">
      <x v="654"/>
    </i>
    <i r="1">
      <x v="655"/>
    </i>
    <i r="1">
      <x v="656"/>
    </i>
    <i r="1">
      <x v="657"/>
    </i>
    <i r="1">
      <x v="658"/>
    </i>
    <i r="1">
      <x v="659"/>
    </i>
    <i r="1">
      <x v="660"/>
    </i>
    <i r="1">
      <x v="661"/>
    </i>
    <i r="1">
      <x v="662"/>
    </i>
    <i r="1">
      <x v="663"/>
    </i>
    <i r="1">
      <x v="664"/>
    </i>
    <i r="1">
      <x v="665"/>
    </i>
    <i r="1">
      <x v="666"/>
    </i>
    <i r="1">
      <x v="667"/>
    </i>
    <i r="1">
      <x v="668"/>
    </i>
    <i r="1">
      <x v="669"/>
    </i>
    <i r="1">
      <x v="670"/>
    </i>
    <i r="1">
      <x v="671"/>
    </i>
    <i r="1">
      <x v="672"/>
    </i>
    <i r="1">
      <x v="673"/>
    </i>
    <i r="1">
      <x v="674"/>
    </i>
    <i r="1">
      <x v="675"/>
    </i>
    <i r="1">
      <x v="676"/>
    </i>
    <i r="1">
      <x v="677"/>
    </i>
    <i r="1">
      <x v="678"/>
    </i>
    <i r="1">
      <x v="679"/>
    </i>
    <i r="1">
      <x v="680"/>
    </i>
    <i>
      <x v="1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>
      <x v="4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>
      <x v="5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525"/>
    </i>
    <i r="1">
      <x v="526"/>
    </i>
    <i r="1">
      <x v="527"/>
    </i>
    <i r="1">
      <x v="528"/>
    </i>
    <i r="1">
      <x v="529"/>
    </i>
    <i r="1">
      <x v="530"/>
    </i>
    <i r="1">
      <x v="531"/>
    </i>
    <i r="1">
      <x v="532"/>
    </i>
    <i r="1">
      <x v="533"/>
    </i>
    <i r="1">
      <x v="534"/>
    </i>
    <i r="1">
      <x v="535"/>
    </i>
    <i r="1">
      <x v="536"/>
    </i>
    <i r="1">
      <x v="537"/>
    </i>
    <i r="1">
      <x v="538"/>
    </i>
    <i r="1">
      <x v="539"/>
    </i>
    <i r="1">
      <x v="540"/>
    </i>
    <i r="1">
      <x v="541"/>
    </i>
    <i r="1">
      <x v="542"/>
    </i>
    <i r="1">
      <x v="543"/>
    </i>
    <i r="1">
      <x v="544"/>
    </i>
    <i r="1">
      <x v="545"/>
    </i>
    <i r="1">
      <x v="546"/>
    </i>
    <i r="1">
      <x v="547"/>
    </i>
    <i r="1">
      <x v="548"/>
    </i>
    <i r="1">
      <x v="549"/>
    </i>
    <i r="1">
      <x v="550"/>
    </i>
    <i r="1">
      <x v="551"/>
    </i>
    <i r="1">
      <x v="552"/>
    </i>
    <i r="1">
      <x v="553"/>
    </i>
    <i r="1">
      <x v="554"/>
    </i>
    <i r="1">
      <x v="555"/>
    </i>
    <i r="1">
      <x v="556"/>
    </i>
    <i r="1">
      <x v="557"/>
    </i>
    <i r="1">
      <x v="558"/>
    </i>
    <i r="1">
      <x v="559"/>
    </i>
    <i r="1">
      <x v="560"/>
    </i>
    <i r="1">
      <x v="561"/>
    </i>
    <i r="1">
      <x v="562"/>
    </i>
    <i r="1">
      <x v="563"/>
    </i>
    <i r="1">
      <x v="564"/>
    </i>
    <i r="1">
      <x v="565"/>
    </i>
    <i r="1">
      <x v="566"/>
    </i>
    <i r="1">
      <x v="567"/>
    </i>
    <i r="1">
      <x v="568"/>
    </i>
    <i r="1">
      <x v="569"/>
    </i>
    <i r="1">
      <x v="570"/>
    </i>
    <i r="1">
      <x v="571"/>
    </i>
    <i r="1">
      <x v="572"/>
    </i>
    <i r="1">
      <x v="573"/>
    </i>
    <i r="1">
      <x v="574"/>
    </i>
    <i r="1">
      <x v="575"/>
    </i>
    <i r="1">
      <x v="576"/>
    </i>
    <i r="1">
      <x v="577"/>
    </i>
    <i r="1">
      <x v="578"/>
    </i>
    <i r="1">
      <x v="579"/>
    </i>
    <i r="1">
      <x v="580"/>
    </i>
    <i r="1">
      <x v="581"/>
    </i>
    <i r="1">
      <x v="582"/>
    </i>
    <i r="1">
      <x v="583"/>
    </i>
    <i r="1">
      <x v="584"/>
    </i>
    <i r="1">
      <x v="585"/>
    </i>
    <i r="1">
      <x v="586"/>
    </i>
    <i r="1">
      <x v="587"/>
    </i>
    <i r="1">
      <x v="588"/>
    </i>
    <i r="1">
      <x v="589"/>
    </i>
    <i r="1">
      <x v="590"/>
    </i>
    <i r="1">
      <x v="591"/>
    </i>
    <i r="1">
      <x v="592"/>
    </i>
    <i r="1">
      <x v="593"/>
    </i>
    <i r="1">
      <x v="594"/>
    </i>
    <i r="1">
      <x v="595"/>
    </i>
    <i r="1">
      <x v="596"/>
    </i>
    <i r="1">
      <x v="597"/>
    </i>
    <i r="1">
      <x v="598"/>
    </i>
    <i r="1">
      <x v="599"/>
    </i>
    <i r="1">
      <x v="600"/>
    </i>
    <i r="1">
      <x v="601"/>
    </i>
    <i r="1">
      <x v="602"/>
    </i>
    <i r="1">
      <x v="603"/>
    </i>
    <i r="1">
      <x v="604"/>
    </i>
    <i r="1">
      <x v="605"/>
    </i>
    <i r="1">
      <x v="606"/>
    </i>
    <i r="1">
      <x v="607"/>
    </i>
    <i r="1">
      <x v="608"/>
    </i>
    <i r="1">
      <x v="609"/>
    </i>
    <i r="1">
      <x v="610"/>
    </i>
    <i r="1">
      <x v="611"/>
    </i>
    <i r="1">
      <x v="612"/>
    </i>
    <i r="1">
      <x v="613"/>
    </i>
    <i r="1">
      <x v="614"/>
    </i>
    <i r="1">
      <x v="615"/>
    </i>
    <i r="1">
      <x v="616"/>
    </i>
    <i r="1">
      <x v="617"/>
    </i>
    <i r="1">
      <x v="618"/>
    </i>
    <i r="1">
      <x v="619"/>
    </i>
    <i r="1">
      <x v="620"/>
    </i>
    <i r="1">
      <x v="621"/>
    </i>
    <i r="1">
      <x v="622"/>
    </i>
    <i r="1">
      <x v="623"/>
    </i>
    <i r="1">
      <x v="624"/>
    </i>
    <i r="1">
      <x v="625"/>
    </i>
    <i r="1">
      <x v="626"/>
    </i>
    <i r="1">
      <x v="627"/>
    </i>
    <i r="1">
      <x v="628"/>
    </i>
    <i r="1">
      <x v="629"/>
    </i>
    <i r="1">
      <x v="630"/>
    </i>
    <i r="1">
      <x v="631"/>
    </i>
    <i r="1">
      <x v="632"/>
    </i>
    <i r="1">
      <x v="633"/>
    </i>
    <i r="1">
      <x v="634"/>
    </i>
    <i r="1">
      <x v="635"/>
    </i>
    <i r="1">
      <x v="636"/>
    </i>
    <i r="1">
      <x v="637"/>
    </i>
    <i r="1">
      <x v="638"/>
    </i>
    <i r="1">
      <x v="639"/>
    </i>
    <i r="1">
      <x v="640"/>
    </i>
    <i r="1">
      <x v="641"/>
    </i>
    <i r="1">
      <x v="642"/>
    </i>
    <i r="1">
      <x v="643"/>
    </i>
    <i r="1">
      <x v="644"/>
    </i>
    <i r="1">
      <x v="645"/>
    </i>
    <i r="1">
      <x v="646"/>
    </i>
    <i r="1">
      <x v="647"/>
    </i>
    <i r="1">
      <x v="648"/>
    </i>
    <i r="1">
      <x v="649"/>
    </i>
    <i r="1">
      <x v="650"/>
    </i>
    <i r="1">
      <x v="651"/>
    </i>
    <i>
      <x v="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 r="1">
      <x v="302"/>
    </i>
    <i r="1">
      <x v="379"/>
    </i>
    <i r="1">
      <x v="380"/>
    </i>
    <i r="1">
      <x v="38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8"/>
    </i>
    <i r="1">
      <x v="389"/>
    </i>
    <i r="1">
      <x v="390"/>
    </i>
    <i r="1">
      <x v="391"/>
    </i>
    <i r="1">
      <x v="392"/>
    </i>
    <i r="1">
      <x v="393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1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24"/>
    </i>
    <i r="1">
      <x v="425"/>
    </i>
    <i r="1">
      <x v="426"/>
    </i>
    <i r="1">
      <x v="427"/>
    </i>
    <i r="1">
      <x v="428"/>
    </i>
    <i r="1">
      <x v="429"/>
    </i>
    <i r="1">
      <x v="430"/>
    </i>
    <i r="1">
      <x v="431"/>
    </i>
    <i r="1">
      <x v="432"/>
    </i>
    <i r="1">
      <x v="433"/>
    </i>
    <i r="1">
      <x v="434"/>
    </i>
    <i r="1">
      <x v="435"/>
    </i>
    <i r="1">
      <x v="436"/>
    </i>
    <i r="1">
      <x v="437"/>
    </i>
    <i r="1">
      <x v="438"/>
    </i>
    <i r="1">
      <x v="439"/>
    </i>
    <i r="1">
      <x v="440"/>
    </i>
    <i r="1">
      <x v="441"/>
    </i>
    <i r="1">
      <x v="442"/>
    </i>
    <i r="1">
      <x v="443"/>
    </i>
    <i r="1">
      <x v="444"/>
    </i>
    <i r="1">
      <x v="445"/>
    </i>
    <i r="1">
      <x v="446"/>
    </i>
    <i r="1">
      <x v="447"/>
    </i>
    <i r="1">
      <x v="448"/>
    </i>
    <i r="1">
      <x v="449"/>
    </i>
    <i r="1">
      <x v="450"/>
    </i>
    <i r="1">
      <x v="451"/>
    </i>
    <i r="1">
      <x v="452"/>
    </i>
    <i r="1">
      <x v="453"/>
    </i>
    <i r="1">
      <x v="454"/>
    </i>
    <i r="1">
      <x v="455"/>
    </i>
    <i r="1">
      <x v="456"/>
    </i>
    <i r="1">
      <x v="457"/>
    </i>
    <i r="1">
      <x v="458"/>
    </i>
    <i r="1">
      <x v="459"/>
    </i>
    <i r="1">
      <x v="460"/>
    </i>
    <i r="1">
      <x v="461"/>
    </i>
    <i r="1">
      <x v="462"/>
    </i>
    <i r="1">
      <x v="463"/>
    </i>
    <i r="1">
      <x v="464"/>
    </i>
    <i r="1">
      <x v="465"/>
    </i>
    <i r="1">
      <x v="466"/>
    </i>
    <i r="1">
      <x v="467"/>
    </i>
    <i r="1">
      <x v="468"/>
    </i>
    <i r="1">
      <x v="469"/>
    </i>
    <i r="1">
      <x v="470"/>
    </i>
    <i r="1">
      <x v="471"/>
    </i>
    <i r="1">
      <x v="472"/>
    </i>
    <i r="1">
      <x v="473"/>
    </i>
    <i r="1">
      <x v="474"/>
    </i>
    <i r="1">
      <x v="475"/>
    </i>
    <i r="1">
      <x v="476"/>
    </i>
    <i r="1">
      <x v="477"/>
    </i>
    <i r="1">
      <x v="478"/>
    </i>
    <i r="1">
      <x v="479"/>
    </i>
    <i r="1">
      <x v="480"/>
    </i>
    <i r="1">
      <x v="481"/>
    </i>
    <i r="1">
      <x v="482"/>
    </i>
    <i r="1">
      <x v="483"/>
    </i>
    <i r="1">
      <x v="484"/>
    </i>
    <i r="1">
      <x v="485"/>
    </i>
    <i r="1">
      <x v="486"/>
    </i>
    <i r="1">
      <x v="487"/>
    </i>
    <i r="1">
      <x v="488"/>
    </i>
    <i r="1">
      <x v="489"/>
    </i>
    <i r="1">
      <x v="490"/>
    </i>
    <i r="1">
      <x v="491"/>
    </i>
    <i r="1">
      <x v="492"/>
    </i>
    <i r="1">
      <x v="493"/>
    </i>
    <i r="1">
      <x v="494"/>
    </i>
    <i r="1">
      <x v="495"/>
    </i>
    <i r="1">
      <x v="496"/>
    </i>
    <i r="1">
      <x v="497"/>
    </i>
    <i r="1">
      <x v="498"/>
    </i>
    <i r="1">
      <x v="499"/>
    </i>
    <i r="1">
      <x v="500"/>
    </i>
    <i r="1">
      <x v="501"/>
    </i>
    <i r="1">
      <x v="502"/>
    </i>
    <i r="1">
      <x v="503"/>
    </i>
    <i r="1">
      <x v="504"/>
    </i>
    <i r="1">
      <x v="505"/>
    </i>
    <i r="1">
      <x v="506"/>
    </i>
    <i r="1">
      <x v="507"/>
    </i>
    <i r="1">
      <x v="508"/>
    </i>
    <i r="1">
      <x v="509"/>
    </i>
    <i r="1">
      <x v="510"/>
    </i>
    <i r="1">
      <x v="511"/>
    </i>
    <i r="1">
      <x v="512"/>
    </i>
    <i r="1">
      <x v="513"/>
    </i>
    <i r="1">
      <x v="514"/>
    </i>
    <i r="1">
      <x v="515"/>
    </i>
    <i r="1">
      <x v="516"/>
    </i>
    <i r="1">
      <x v="517"/>
    </i>
    <i r="1">
      <x v="518"/>
    </i>
    <i r="1">
      <x v="519"/>
    </i>
    <i r="1">
      <x v="520"/>
    </i>
    <i r="1">
      <x v="521"/>
    </i>
    <i r="1">
      <x v="522"/>
    </i>
    <i r="1">
      <x v="523"/>
    </i>
    <i r="1">
      <x v="524"/>
    </i>
    <i>
      <x v="7"/>
    </i>
    <i r="1">
      <x v="681"/>
    </i>
    <i r="1">
      <x v="682"/>
    </i>
    <i r="1">
      <x v="683"/>
    </i>
    <i r="1">
      <x v="684"/>
    </i>
    <i r="1">
      <x v="685"/>
    </i>
    <i r="1">
      <x v="686"/>
    </i>
    <i r="1">
      <x v="687"/>
    </i>
    <i r="1">
      <x v="688"/>
    </i>
    <i r="1">
      <x v="689"/>
    </i>
    <i r="1">
      <x v="690"/>
    </i>
    <i r="1">
      <x v="691"/>
    </i>
    <i r="1">
      <x v="692"/>
    </i>
    <i r="1">
      <x v="693"/>
    </i>
    <i r="1">
      <x v="694"/>
    </i>
    <i r="1">
      <x v="695"/>
    </i>
    <i r="1">
      <x v="696"/>
    </i>
    <i r="1">
      <x v="697"/>
    </i>
    <i r="1">
      <x v="698"/>
    </i>
    <i r="1">
      <x v="699"/>
    </i>
    <i r="1">
      <x v="700"/>
    </i>
    <i r="1">
      <x v="701"/>
    </i>
    <i r="1">
      <x v="702"/>
    </i>
    <i r="1">
      <x v="703"/>
    </i>
    <i r="1">
      <x v="704"/>
    </i>
    <i r="1">
      <x v="705"/>
    </i>
    <i r="1">
      <x v="706"/>
    </i>
    <i r="1">
      <x v="707"/>
    </i>
    <i r="1">
      <x v="708"/>
    </i>
    <i r="1">
      <x v="709"/>
    </i>
    <i r="1">
      <x v="710"/>
    </i>
    <i r="1">
      <x v="711"/>
    </i>
    <i r="1">
      <x v="712"/>
    </i>
    <i r="1">
      <x v="713"/>
    </i>
    <i r="1">
      <x v="714"/>
    </i>
    <i r="1">
      <x v="715"/>
    </i>
    <i r="1">
      <x v="716"/>
    </i>
    <i r="1">
      <x v="717"/>
    </i>
    <i r="1">
      <x v="718"/>
    </i>
    <i r="1">
      <x v="719"/>
    </i>
    <i r="1">
      <x v="720"/>
    </i>
    <i r="1">
      <x v="721"/>
    </i>
    <i r="1">
      <x v="722"/>
    </i>
    <i r="1">
      <x v="723"/>
    </i>
    <i r="1">
      <x v="724"/>
    </i>
    <i r="1">
      <x v="725"/>
    </i>
    <i r="1">
      <x v="726"/>
    </i>
    <i r="1">
      <x v="727"/>
    </i>
    <i r="1">
      <x v="728"/>
    </i>
    <i r="1">
      <x v="729"/>
    </i>
    <i r="1">
      <x v="730"/>
    </i>
    <i r="1">
      <x v="731"/>
    </i>
    <i r="1">
      <x v="732"/>
    </i>
    <i r="1">
      <x v="733"/>
    </i>
    <i r="1">
      <x v="734"/>
    </i>
    <i r="1">
      <x v="735"/>
    </i>
    <i r="1">
      <x v="736"/>
    </i>
    <i r="1">
      <x v="737"/>
    </i>
    <i r="1">
      <x v="738"/>
    </i>
    <i r="1">
      <x v="739"/>
    </i>
    <i r="1">
      <x v="740"/>
    </i>
    <i r="1">
      <x v="741"/>
    </i>
    <i r="1">
      <x v="742"/>
    </i>
    <i>
      <x v="8"/>
    </i>
    <i r="1">
      <x v="743"/>
    </i>
    <i r="1">
      <x v="744"/>
    </i>
    <i r="1">
      <x v="745"/>
    </i>
    <i r="1">
      <x v="746"/>
    </i>
    <i r="1">
      <x v="747"/>
    </i>
    <i r="1">
      <x v="748"/>
    </i>
    <i r="1">
      <x v="749"/>
    </i>
    <i r="1">
      <x v="750"/>
    </i>
    <i r="1">
      <x v="751"/>
    </i>
    <i r="1">
      <x v="752"/>
    </i>
    <i r="1">
      <x v="753"/>
    </i>
    <i r="1">
      <x v="754"/>
    </i>
    <i r="1">
      <x v="755"/>
    </i>
    <i r="1">
      <x v="756"/>
    </i>
    <i r="1">
      <x v="757"/>
    </i>
    <i r="1">
      <x v="758"/>
    </i>
    <i r="1">
      <x v="759"/>
    </i>
    <i r="1">
      <x v="760"/>
    </i>
    <i r="1">
      <x v="761"/>
    </i>
    <i r="1">
      <x v="762"/>
    </i>
    <i r="1">
      <x v="763"/>
    </i>
    <i r="1">
      <x v="764"/>
    </i>
    <i r="1">
      <x v="765"/>
    </i>
    <i r="1">
      <x v="766"/>
    </i>
    <i r="1">
      <x v="767"/>
    </i>
    <i r="1">
      <x v="768"/>
    </i>
    <i r="1">
      <x v="769"/>
    </i>
    <i r="1">
      <x v="770"/>
    </i>
    <i r="1">
      <x v="771"/>
    </i>
    <i r="1">
      <x v="772"/>
    </i>
    <i r="1">
      <x v="773"/>
    </i>
    <i r="1">
      <x v="774"/>
    </i>
    <i r="1">
      <x v="775"/>
    </i>
    <i r="1">
      <x v="776"/>
    </i>
    <i r="1">
      <x v="777"/>
    </i>
    <i r="1">
      <x v="778"/>
    </i>
    <i r="1">
      <x v="779"/>
    </i>
    <i>
      <x v="9"/>
    </i>
    <i r="1">
      <x v="780"/>
    </i>
    <i r="1">
      <x v="781"/>
    </i>
    <i r="1">
      <x v="782"/>
    </i>
    <i r="1">
      <x v="783"/>
    </i>
    <i r="1">
      <x v="784"/>
    </i>
    <i r="1">
      <x v="785"/>
    </i>
    <i r="1">
      <x v="786"/>
    </i>
    <i r="1">
      <x v="787"/>
    </i>
    <i r="1">
      <x v="788"/>
    </i>
    <i r="1">
      <x v="789"/>
    </i>
    <i r="1">
      <x v="790"/>
    </i>
    <i r="1">
      <x v="791"/>
    </i>
    <i>
      <x v="10"/>
    </i>
    <i r="1">
      <x v="792"/>
    </i>
    <i r="1">
      <x v="793"/>
    </i>
    <i r="1">
      <x v="794"/>
    </i>
    <i r="1">
      <x v="1077"/>
    </i>
    <i r="1">
      <x v="1078"/>
    </i>
    <i r="1">
      <x v="1079"/>
    </i>
    <i r="1">
      <x v="1080"/>
    </i>
    <i r="1">
      <x v="1081"/>
    </i>
    <i r="1">
      <x v="1082"/>
    </i>
    <i r="1">
      <x v="1083"/>
    </i>
    <i r="1">
      <x v="1084"/>
    </i>
    <i r="1">
      <x v="1085"/>
    </i>
    <i r="1">
      <x v="1086"/>
    </i>
    <i r="1">
      <x v="1087"/>
    </i>
    <i>
      <x v="11"/>
    </i>
    <i r="1">
      <x v="795"/>
    </i>
    <i r="1">
      <x v="796"/>
    </i>
    <i r="1">
      <x v="797"/>
    </i>
    <i r="1">
      <x v="798"/>
    </i>
    <i r="1">
      <x v="799"/>
    </i>
    <i r="1">
      <x v="800"/>
    </i>
    <i r="1">
      <x v="801"/>
    </i>
    <i r="1">
      <x v="802"/>
    </i>
    <i r="1">
      <x v="803"/>
    </i>
    <i r="1">
      <x v="804"/>
    </i>
    <i r="1">
      <x v="805"/>
    </i>
    <i r="1">
      <x v="806"/>
    </i>
    <i r="1">
      <x v="807"/>
    </i>
    <i r="1">
      <x v="808"/>
    </i>
    <i r="1">
      <x v="809"/>
    </i>
    <i r="1">
      <x v="810"/>
    </i>
    <i r="1">
      <x v="811"/>
    </i>
    <i r="1">
      <x v="812"/>
    </i>
    <i r="1">
      <x v="813"/>
    </i>
    <i r="1">
      <x v="814"/>
    </i>
    <i r="1">
      <x v="815"/>
    </i>
    <i r="1">
      <x v="816"/>
    </i>
    <i r="1">
      <x v="817"/>
    </i>
    <i r="1">
      <x v="818"/>
    </i>
    <i r="1">
      <x v="819"/>
    </i>
    <i r="1">
      <x v="820"/>
    </i>
    <i r="1">
      <x v="821"/>
    </i>
    <i r="1">
      <x v="822"/>
    </i>
    <i r="1">
      <x v="823"/>
    </i>
    <i r="1">
      <x v="824"/>
    </i>
    <i r="1">
      <x v="825"/>
    </i>
    <i r="1">
      <x v="826"/>
    </i>
    <i r="1">
      <x v="827"/>
    </i>
    <i r="1">
      <x v="828"/>
    </i>
    <i r="1">
      <x v="829"/>
    </i>
    <i r="1">
      <x v="830"/>
    </i>
    <i r="1">
      <x v="831"/>
    </i>
    <i r="1">
      <x v="832"/>
    </i>
    <i r="1">
      <x v="833"/>
    </i>
    <i r="1">
      <x v="834"/>
    </i>
    <i r="1">
      <x v="835"/>
    </i>
    <i r="1">
      <x v="836"/>
    </i>
    <i r="1">
      <x v="837"/>
    </i>
    <i r="1">
      <x v="838"/>
    </i>
    <i r="1">
      <x v="839"/>
    </i>
    <i r="1">
      <x v="840"/>
    </i>
    <i r="1">
      <x v="841"/>
    </i>
    <i r="1">
      <x v="842"/>
    </i>
    <i r="1">
      <x v="843"/>
    </i>
    <i r="1">
      <x v="844"/>
    </i>
    <i r="1">
      <x v="845"/>
    </i>
    <i r="1">
      <x v="846"/>
    </i>
    <i r="1">
      <x v="847"/>
    </i>
    <i r="1">
      <x v="848"/>
    </i>
    <i r="1">
      <x v="849"/>
    </i>
    <i r="1">
      <x v="850"/>
    </i>
    <i r="1">
      <x v="851"/>
    </i>
    <i r="1">
      <x v="852"/>
    </i>
    <i r="1">
      <x v="853"/>
    </i>
    <i r="1">
      <x v="854"/>
    </i>
    <i r="1">
      <x v="855"/>
    </i>
    <i r="1">
      <x v="856"/>
    </i>
    <i r="1">
      <x v="857"/>
    </i>
    <i r="1">
      <x v="858"/>
    </i>
    <i r="1">
      <x v="859"/>
    </i>
    <i r="1">
      <x v="860"/>
    </i>
    <i r="1">
      <x v="861"/>
    </i>
    <i r="1">
      <x v="862"/>
    </i>
    <i r="1">
      <x v="863"/>
    </i>
    <i r="1">
      <x v="864"/>
    </i>
    <i r="1">
      <x v="865"/>
    </i>
    <i r="1">
      <x v="866"/>
    </i>
    <i r="1">
      <x v="867"/>
    </i>
    <i r="1">
      <x v="868"/>
    </i>
    <i r="1">
      <x v="869"/>
    </i>
    <i r="1">
      <x v="870"/>
    </i>
    <i r="1">
      <x v="871"/>
    </i>
    <i r="1">
      <x v="872"/>
    </i>
    <i r="1">
      <x v="873"/>
    </i>
    <i r="1">
      <x v="874"/>
    </i>
    <i r="1">
      <x v="875"/>
    </i>
    <i r="1">
      <x v="876"/>
    </i>
    <i r="1">
      <x v="877"/>
    </i>
    <i r="1">
      <x v="878"/>
    </i>
    <i r="1">
      <x v="879"/>
    </i>
    <i r="1">
      <x v="880"/>
    </i>
    <i r="1">
      <x v="881"/>
    </i>
    <i r="1">
      <x v="882"/>
    </i>
    <i r="1">
      <x v="883"/>
    </i>
    <i r="1">
      <x v="884"/>
    </i>
    <i r="1">
      <x v="885"/>
    </i>
    <i r="1">
      <x v="886"/>
    </i>
    <i r="1">
      <x v="887"/>
    </i>
    <i r="1">
      <x v="888"/>
    </i>
    <i r="1">
      <x v="889"/>
    </i>
    <i r="1">
      <x v="890"/>
    </i>
    <i r="1">
      <x v="891"/>
    </i>
    <i r="1">
      <x v="892"/>
    </i>
    <i r="1">
      <x v="893"/>
    </i>
    <i r="1">
      <x v="894"/>
    </i>
    <i r="1">
      <x v="895"/>
    </i>
    <i r="1">
      <x v="896"/>
    </i>
    <i r="1">
      <x v="897"/>
    </i>
    <i r="1">
      <x v="898"/>
    </i>
    <i r="1">
      <x v="899"/>
    </i>
    <i r="1">
      <x v="900"/>
    </i>
    <i r="1">
      <x v="901"/>
    </i>
    <i r="1">
      <x v="902"/>
    </i>
    <i r="1">
      <x v="903"/>
    </i>
    <i r="1">
      <x v="904"/>
    </i>
    <i r="1">
      <x v="905"/>
    </i>
    <i r="1">
      <x v="906"/>
    </i>
    <i r="1">
      <x v="907"/>
    </i>
    <i r="1">
      <x v="908"/>
    </i>
    <i r="1">
      <x v="909"/>
    </i>
    <i r="1">
      <x v="910"/>
    </i>
    <i r="1">
      <x v="911"/>
    </i>
    <i r="1">
      <x v="912"/>
    </i>
    <i r="1">
      <x v="913"/>
    </i>
    <i r="1">
      <x v="914"/>
    </i>
    <i r="1">
      <x v="915"/>
    </i>
    <i r="1">
      <x v="916"/>
    </i>
    <i r="1">
      <x v="917"/>
    </i>
    <i r="1">
      <x v="918"/>
    </i>
    <i r="1">
      <x v="919"/>
    </i>
    <i r="1">
      <x v="920"/>
    </i>
    <i r="1">
      <x v="921"/>
    </i>
    <i r="1">
      <x v="922"/>
    </i>
    <i r="1">
      <x v="923"/>
    </i>
    <i r="1">
      <x v="924"/>
    </i>
    <i r="1">
      <x v="925"/>
    </i>
    <i r="1">
      <x v="926"/>
    </i>
    <i r="1">
      <x v="927"/>
    </i>
    <i r="1">
      <x v="928"/>
    </i>
    <i r="1">
      <x v="929"/>
    </i>
    <i r="1">
      <x v="930"/>
    </i>
    <i r="1">
      <x v="931"/>
    </i>
    <i r="1">
      <x v="932"/>
    </i>
    <i r="1">
      <x v="933"/>
    </i>
    <i r="1">
      <x v="934"/>
    </i>
    <i r="1">
      <x v="935"/>
    </i>
    <i r="1">
      <x v="936"/>
    </i>
    <i r="1">
      <x v="937"/>
    </i>
    <i r="1">
      <x v="938"/>
    </i>
    <i r="1">
      <x v="939"/>
    </i>
    <i r="1">
      <x v="940"/>
    </i>
    <i r="1">
      <x v="941"/>
    </i>
    <i r="1">
      <x v="942"/>
    </i>
    <i r="1">
      <x v="943"/>
    </i>
    <i r="1">
      <x v="944"/>
    </i>
    <i r="1">
      <x v="945"/>
    </i>
    <i r="1">
      <x v="946"/>
    </i>
    <i r="1">
      <x v="947"/>
    </i>
    <i r="1">
      <x v="948"/>
    </i>
    <i r="1">
      <x v="949"/>
    </i>
    <i r="1">
      <x v="950"/>
    </i>
    <i r="1">
      <x v="951"/>
    </i>
    <i r="1">
      <x v="952"/>
    </i>
    <i r="1">
      <x v="953"/>
    </i>
    <i r="1">
      <x v="954"/>
    </i>
    <i r="1">
      <x v="955"/>
    </i>
    <i r="1">
      <x v="956"/>
    </i>
    <i r="1">
      <x v="957"/>
    </i>
    <i r="1">
      <x v="958"/>
    </i>
    <i r="1">
      <x v="959"/>
    </i>
    <i r="1">
      <x v="960"/>
    </i>
    <i r="1">
      <x v="961"/>
    </i>
    <i r="1">
      <x v="962"/>
    </i>
    <i r="1">
      <x v="963"/>
    </i>
    <i r="1">
      <x v="964"/>
    </i>
    <i r="1">
      <x v="965"/>
    </i>
    <i r="1">
      <x v="966"/>
    </i>
    <i r="1">
      <x v="967"/>
    </i>
    <i r="1">
      <x v="968"/>
    </i>
    <i r="1">
      <x v="969"/>
    </i>
    <i r="1">
      <x v="970"/>
    </i>
    <i r="1">
      <x v="971"/>
    </i>
    <i r="1">
      <x v="972"/>
    </i>
    <i r="1">
      <x v="973"/>
    </i>
    <i r="1">
      <x v="974"/>
    </i>
    <i r="1">
      <x v="975"/>
    </i>
    <i r="1">
      <x v="976"/>
    </i>
    <i r="1">
      <x v="977"/>
    </i>
    <i r="1">
      <x v="978"/>
    </i>
    <i r="1">
      <x v="979"/>
    </i>
    <i r="1">
      <x v="980"/>
    </i>
    <i r="1">
      <x v="981"/>
    </i>
    <i r="1">
      <x v="982"/>
    </i>
    <i r="1">
      <x v="983"/>
    </i>
    <i r="1">
      <x v="984"/>
    </i>
    <i r="1">
      <x v="985"/>
    </i>
    <i r="1">
      <x v="986"/>
    </i>
    <i r="1">
      <x v="987"/>
    </i>
    <i r="1">
      <x v="988"/>
    </i>
    <i r="1">
      <x v="989"/>
    </i>
    <i r="1">
      <x v="990"/>
    </i>
    <i r="1">
      <x v="991"/>
    </i>
    <i r="1">
      <x v="992"/>
    </i>
    <i r="1">
      <x v="993"/>
    </i>
    <i r="1">
      <x v="994"/>
    </i>
    <i r="1">
      <x v="995"/>
    </i>
    <i r="1">
      <x v="996"/>
    </i>
    <i r="1">
      <x v="997"/>
    </i>
    <i r="1">
      <x v="998"/>
    </i>
    <i r="1">
      <x v="999"/>
    </i>
    <i r="1">
      <x v="1000"/>
    </i>
    <i r="1">
      <x v="1001"/>
    </i>
    <i r="1">
      <x v="1002"/>
    </i>
    <i r="1">
      <x v="1003"/>
    </i>
    <i r="1">
      <x v="1004"/>
    </i>
    <i r="1">
      <x v="1005"/>
    </i>
    <i r="1">
      <x v="1006"/>
    </i>
    <i r="1">
      <x v="1007"/>
    </i>
    <i r="1">
      <x v="1008"/>
    </i>
    <i r="1">
      <x v="1009"/>
    </i>
    <i r="1">
      <x v="1010"/>
    </i>
    <i r="1">
      <x v="1011"/>
    </i>
    <i r="1">
      <x v="1012"/>
    </i>
    <i r="1">
      <x v="1013"/>
    </i>
    <i r="1">
      <x v="1014"/>
    </i>
    <i r="1">
      <x v="1015"/>
    </i>
    <i r="1">
      <x v="1016"/>
    </i>
    <i r="1">
      <x v="1017"/>
    </i>
    <i r="1">
      <x v="1018"/>
    </i>
    <i r="1">
      <x v="1019"/>
    </i>
    <i r="1">
      <x v="1020"/>
    </i>
    <i r="1">
      <x v="1021"/>
    </i>
    <i r="1">
      <x v="1022"/>
    </i>
    <i r="1">
      <x v="1023"/>
    </i>
    <i r="1">
      <x v="1024"/>
    </i>
    <i r="1">
      <x v="1025"/>
    </i>
    <i r="1">
      <x v="1026"/>
    </i>
    <i r="1">
      <x v="1027"/>
    </i>
    <i r="1">
      <x v="1028"/>
    </i>
    <i r="1">
      <x v="1029"/>
    </i>
    <i r="1">
      <x v="1030"/>
    </i>
    <i r="1">
      <x v="1031"/>
    </i>
    <i r="1">
      <x v="1032"/>
    </i>
    <i r="1">
      <x v="1033"/>
    </i>
    <i r="1">
      <x v="1034"/>
    </i>
    <i r="1">
      <x v="1035"/>
    </i>
    <i r="1">
      <x v="1036"/>
    </i>
    <i r="1">
      <x v="1037"/>
    </i>
    <i r="1">
      <x v="1038"/>
    </i>
    <i r="1">
      <x v="1039"/>
    </i>
    <i r="1">
      <x v="1040"/>
    </i>
    <i r="1">
      <x v="1041"/>
    </i>
    <i r="1">
      <x v="1042"/>
    </i>
    <i r="1">
      <x v="1043"/>
    </i>
    <i r="1">
      <x v="1044"/>
    </i>
    <i r="1">
      <x v="1045"/>
    </i>
    <i r="1">
      <x v="1046"/>
    </i>
    <i r="1">
      <x v="1047"/>
    </i>
    <i r="1">
      <x v="1048"/>
    </i>
    <i r="1">
      <x v="1049"/>
    </i>
    <i r="1">
      <x v="1050"/>
    </i>
    <i r="1">
      <x v="1051"/>
    </i>
    <i r="1">
      <x v="1052"/>
    </i>
    <i r="1">
      <x v="1053"/>
    </i>
    <i r="1">
      <x v="1054"/>
    </i>
    <i r="1">
      <x v="1055"/>
    </i>
    <i r="1">
      <x v="1056"/>
    </i>
    <i r="1">
      <x v="1057"/>
    </i>
    <i r="1">
      <x v="1058"/>
    </i>
    <i r="1">
      <x v="1059"/>
    </i>
    <i r="1">
      <x v="1060"/>
    </i>
    <i r="1">
      <x v="1061"/>
    </i>
    <i r="1">
      <x v="1062"/>
    </i>
    <i r="1">
      <x v="1063"/>
    </i>
    <i r="1">
      <x v="1064"/>
    </i>
    <i r="1">
      <x v="1065"/>
    </i>
    <i r="1">
      <x v="1066"/>
    </i>
    <i r="1">
      <x v="1067"/>
    </i>
    <i r="1">
      <x v="1068"/>
    </i>
    <i r="1">
      <x v="1069"/>
    </i>
    <i r="1">
      <x v="1070"/>
    </i>
    <i r="1">
      <x v="1071"/>
    </i>
    <i r="1">
      <x v="1072"/>
    </i>
    <i r="1">
      <x v="1073"/>
    </i>
    <i r="1">
      <x v="1074"/>
    </i>
    <i r="1">
      <x v="1075"/>
    </i>
    <i r="1">
      <x v="1076"/>
    </i>
    <i r="1">
      <x v="1088"/>
    </i>
    <i r="1">
      <x v="1089"/>
    </i>
    <i r="1">
      <x v="1090"/>
    </i>
    <i r="1">
      <x v="1091"/>
    </i>
    <i r="1">
      <x v="1092"/>
    </i>
    <i r="1">
      <x v="1093"/>
    </i>
    <i r="1">
      <x v="1094"/>
    </i>
    <i r="1">
      <x v="1095"/>
    </i>
    <i r="1">
      <x v="1096"/>
    </i>
    <i r="1">
      <x v="1097"/>
    </i>
    <i r="1">
      <x v="1098"/>
    </i>
    <i r="1">
      <x v="1099"/>
    </i>
    <i r="1">
      <x v="1100"/>
    </i>
    <i r="1">
      <x v="1101"/>
    </i>
    <i r="1">
      <x v="1102"/>
    </i>
    <i r="1">
      <x v="1103"/>
    </i>
    <i r="1">
      <x v="1104"/>
    </i>
    <i r="1">
      <x v="1105"/>
    </i>
    <i r="1">
      <x v="1106"/>
    </i>
    <i r="1">
      <x v="1107"/>
    </i>
    <i r="1">
      <x v="1108"/>
    </i>
    <i r="1">
      <x v="1109"/>
    </i>
    <i r="1">
      <x v="1110"/>
    </i>
    <i r="1">
      <x v="1111"/>
    </i>
    <i r="1">
      <x v="1112"/>
    </i>
    <i r="1">
      <x v="1113"/>
    </i>
    <i r="1">
      <x v="1114"/>
    </i>
    <i r="1">
      <x v="1115"/>
    </i>
    <i r="1">
      <x v="1116"/>
    </i>
    <i r="1">
      <x v="1117"/>
    </i>
    <i r="1">
      <x v="1118"/>
    </i>
    <i r="1">
      <x v="1119"/>
    </i>
    <i r="1">
      <x v="1120"/>
    </i>
    <i r="1">
      <x v="1121"/>
    </i>
    <i r="1">
      <x v="1122"/>
    </i>
    <i r="1">
      <x v="1123"/>
    </i>
    <i r="1">
      <x v="1124"/>
    </i>
    <i r="1">
      <x v="1125"/>
    </i>
    <i r="1">
      <x v="1126"/>
    </i>
    <i r="1">
      <x v="1127"/>
    </i>
    <i r="1">
      <x v="1128"/>
    </i>
    <i r="1">
      <x v="1129"/>
    </i>
    <i r="1">
      <x v="1130"/>
    </i>
    <i r="1">
      <x v="1131"/>
    </i>
    <i r="1">
      <x v="1132"/>
    </i>
    <i r="1">
      <x v="1133"/>
    </i>
    <i r="1">
      <x v="1134"/>
    </i>
    <i r="1">
      <x v="1135"/>
    </i>
    <i r="1">
      <x v="1136"/>
    </i>
    <i r="1">
      <x v="1137"/>
    </i>
    <i r="1">
      <x v="1138"/>
    </i>
    <i r="1">
      <x v="1139"/>
    </i>
    <i r="1">
      <x v="1140"/>
    </i>
    <i r="1">
      <x v="1141"/>
    </i>
    <i r="1">
      <x v="1142"/>
    </i>
    <i r="1">
      <x v="1143"/>
    </i>
    <i r="1">
      <x v="1144"/>
    </i>
    <i r="1">
      <x v="1145"/>
    </i>
    <i r="1">
      <x v="1146"/>
    </i>
    <i r="1">
      <x v="1147"/>
    </i>
    <i r="1">
      <x v="1148"/>
    </i>
    <i r="1">
      <x v="1149"/>
    </i>
    <i r="1">
      <x v="1150"/>
    </i>
    <i r="1">
      <x v="1151"/>
    </i>
    <i r="1">
      <x v="1152"/>
    </i>
    <i r="1">
      <x v="1153"/>
    </i>
    <i r="1">
      <x v="1154"/>
    </i>
    <i r="1">
      <x v="1155"/>
    </i>
    <i r="1">
      <x v="1156"/>
    </i>
    <i r="1">
      <x v="1157"/>
    </i>
    <i r="1">
      <x v="1158"/>
    </i>
    <i r="1">
      <x v="1159"/>
    </i>
    <i r="1">
      <x v="1160"/>
    </i>
    <i r="1">
      <x v="1161"/>
    </i>
    <i r="1">
      <x v="1162"/>
    </i>
    <i r="1">
      <x v="1163"/>
    </i>
    <i r="1">
      <x v="1164"/>
    </i>
    <i r="1">
      <x v="1165"/>
    </i>
    <i r="1">
      <x v="1166"/>
    </i>
    <i r="1">
      <x v="1167"/>
    </i>
    <i r="1">
      <x v="1168"/>
    </i>
    <i r="1">
      <x v="1169"/>
    </i>
    <i r="1">
      <x v="1170"/>
    </i>
    <i r="1">
      <x v="1171"/>
    </i>
    <i r="1">
      <x v="1172"/>
    </i>
    <i r="1">
      <x v="1173"/>
    </i>
    <i r="1">
      <x v="1174"/>
    </i>
    <i r="1">
      <x v="1175"/>
    </i>
    <i r="1">
      <x v="1176"/>
    </i>
    <i r="1">
      <x v="1177"/>
    </i>
    <i r="1">
      <x v="1178"/>
    </i>
    <i r="1">
      <x v="1179"/>
    </i>
    <i r="1">
      <x v="1180"/>
    </i>
    <i r="1">
      <x v="1181"/>
    </i>
    <i r="1">
      <x v="1182"/>
    </i>
    <i r="1">
      <x v="1183"/>
    </i>
    <i r="1">
      <x v="1184"/>
    </i>
    <i r="1">
      <x v="1185"/>
    </i>
    <i r="1">
      <x v="1186"/>
    </i>
    <i r="1">
      <x v="1187"/>
    </i>
    <i r="1">
      <x v="1188"/>
    </i>
    <i r="1">
      <x v="1189"/>
    </i>
    <i r="1">
      <x v="1190"/>
    </i>
    <i r="1">
      <x v="1191"/>
    </i>
    <i r="1">
      <x v="1192"/>
    </i>
    <i r="1">
      <x v="1193"/>
    </i>
    <i r="1">
      <x v="1194"/>
    </i>
    <i r="1">
      <x v="1195"/>
    </i>
    <i r="1">
      <x v="1196"/>
    </i>
    <i r="1">
      <x v="1197"/>
    </i>
    <i r="1">
      <x v="1198"/>
    </i>
    <i r="1">
      <x v="1199"/>
    </i>
    <i r="1">
      <x v="1200"/>
    </i>
    <i r="1">
      <x v="1201"/>
    </i>
    <i r="1">
      <x v="1202"/>
    </i>
    <i r="1">
      <x v="1203"/>
    </i>
    <i r="1">
      <x v="1204"/>
    </i>
    <i r="1">
      <x v="1205"/>
    </i>
    <i r="1">
      <x v="1206"/>
    </i>
    <i r="1">
      <x v="1207"/>
    </i>
    <i r="1">
      <x v="1208"/>
    </i>
    <i r="1">
      <x v="1209"/>
    </i>
    <i>
      <x v="12"/>
    </i>
    <i r="1">
      <x v="1210"/>
    </i>
    <i r="1">
      <x v="1211"/>
    </i>
    <i r="1">
      <x v="1212"/>
    </i>
    <i r="1">
      <x v="1213"/>
    </i>
    <i r="1">
      <x v="1214"/>
    </i>
    <i r="1">
      <x v="1215"/>
    </i>
    <i r="1">
      <x v="1216"/>
    </i>
    <i r="1">
      <x v="1217"/>
    </i>
    <i r="1">
      <x v="1218"/>
    </i>
    <i r="1">
      <x v="1219"/>
    </i>
    <i r="1">
      <x v="1220"/>
    </i>
    <i r="1">
      <x v="1232"/>
    </i>
    <i r="1">
      <x v="1233"/>
    </i>
    <i r="1">
      <x v="1234"/>
    </i>
    <i r="1">
      <x v="1235"/>
    </i>
    <i r="1">
      <x v="1236"/>
    </i>
    <i r="1">
      <x v="1237"/>
    </i>
    <i r="1">
      <x v="1238"/>
    </i>
    <i r="1">
      <x v="1239"/>
    </i>
    <i r="1">
      <x v="1240"/>
    </i>
    <i r="1">
      <x v="1241"/>
    </i>
    <i r="1">
      <x v="1242"/>
    </i>
    <i>
      <x v="13"/>
    </i>
    <i r="1">
      <x v="1221"/>
    </i>
    <i r="1">
      <x v="1222"/>
    </i>
    <i r="1">
      <x v="1223"/>
    </i>
    <i r="1">
      <x v="1224"/>
    </i>
    <i r="1">
      <x v="1225"/>
    </i>
    <i r="1">
      <x v="1226"/>
    </i>
    <i r="1">
      <x v="1227"/>
    </i>
    <i r="1">
      <x v="1228"/>
    </i>
    <i r="1">
      <x v="1229"/>
    </i>
    <i r="1">
      <x v="1230"/>
    </i>
    <i r="1">
      <x v="1231"/>
    </i>
    <i r="1">
      <x v="1243"/>
    </i>
    <i r="1">
      <x v="1244"/>
    </i>
    <i r="1">
      <x v="1245"/>
    </i>
    <i r="1">
      <x v="1246"/>
    </i>
    <i r="1">
      <x v="1247"/>
    </i>
    <i r="1">
      <x v="1248"/>
    </i>
    <i r="1">
      <x v="1249"/>
    </i>
    <i r="1">
      <x v="1250"/>
    </i>
    <i r="1">
      <x v="1251"/>
    </i>
    <i r="1">
      <x v="1252"/>
    </i>
    <i r="1">
      <x v="1253"/>
    </i>
    <i r="1">
      <x v="1344"/>
    </i>
    <i r="1">
      <x v="1345"/>
    </i>
    <i r="1">
      <x v="1346"/>
    </i>
    <i r="1">
      <x v="1347"/>
    </i>
    <i r="1">
      <x v="1348"/>
    </i>
    <i r="1">
      <x v="1349"/>
    </i>
    <i r="1">
      <x v="1350"/>
    </i>
    <i r="1">
      <x v="1351"/>
    </i>
    <i r="1">
      <x v="1352"/>
    </i>
    <i r="1">
      <x v="1361"/>
    </i>
    <i r="1">
      <x v="1362"/>
    </i>
    <i r="1">
      <x v="1363"/>
    </i>
    <i r="1">
      <x v="1364"/>
    </i>
    <i r="1">
      <x v="1365"/>
    </i>
    <i r="1">
      <x v="1366"/>
    </i>
    <i r="1">
      <x v="1367"/>
    </i>
    <i r="1">
      <x v="1368"/>
    </i>
    <i r="1">
      <x v="1379"/>
    </i>
    <i r="1">
      <x v="1380"/>
    </i>
    <i r="1">
      <x v="1381"/>
    </i>
    <i r="1">
      <x v="1382"/>
    </i>
    <i r="1">
      <x v="1383"/>
    </i>
    <i r="1">
      <x v="1384"/>
    </i>
    <i r="1">
      <x v="1385"/>
    </i>
    <i r="1">
      <x v="1386"/>
    </i>
    <i r="1">
      <x v="1387"/>
    </i>
    <i r="1">
      <x v="1388"/>
    </i>
    <i>
      <x v="14"/>
    </i>
    <i r="1">
      <x v="1254"/>
    </i>
    <i r="1">
      <x v="1255"/>
    </i>
    <i r="1">
      <x v="1256"/>
    </i>
    <i r="1">
      <x v="1257"/>
    </i>
    <i r="1">
      <x v="1258"/>
    </i>
    <i r="1">
      <x v="1259"/>
    </i>
    <i r="1">
      <x v="1260"/>
    </i>
    <i r="1">
      <x v="1261"/>
    </i>
    <i r="1">
      <x v="1262"/>
    </i>
    <i r="1">
      <x v="1263"/>
    </i>
    <i r="1">
      <x v="1264"/>
    </i>
    <i r="1">
      <x v="1265"/>
    </i>
    <i r="1">
      <x v="1266"/>
    </i>
    <i r="1">
      <x v="1267"/>
    </i>
    <i r="1">
      <x v="1268"/>
    </i>
    <i r="1">
      <x v="1269"/>
    </i>
    <i r="1">
      <x v="1270"/>
    </i>
    <i r="1">
      <x v="1271"/>
    </i>
    <i r="1">
      <x v="1272"/>
    </i>
    <i r="1">
      <x v="1273"/>
    </i>
    <i r="1">
      <x v="1274"/>
    </i>
    <i r="1">
      <x v="1275"/>
    </i>
    <i r="1">
      <x v="1276"/>
    </i>
    <i r="1">
      <x v="1277"/>
    </i>
    <i r="1">
      <x v="1278"/>
    </i>
    <i r="1">
      <x v="1279"/>
    </i>
    <i r="1">
      <x v="1280"/>
    </i>
    <i r="1">
      <x v="1281"/>
    </i>
    <i r="1">
      <x v="1282"/>
    </i>
    <i r="1">
      <x v="1283"/>
    </i>
    <i r="1">
      <x v="1284"/>
    </i>
    <i r="1">
      <x v="1285"/>
    </i>
    <i r="1">
      <x v="1286"/>
    </i>
    <i r="1">
      <x v="1287"/>
    </i>
    <i r="1">
      <x v="1288"/>
    </i>
    <i r="1">
      <x v="1289"/>
    </i>
    <i r="1">
      <x v="1290"/>
    </i>
    <i r="1">
      <x v="1291"/>
    </i>
    <i r="1">
      <x v="1292"/>
    </i>
    <i r="1">
      <x v="1293"/>
    </i>
    <i r="1">
      <x v="1294"/>
    </i>
    <i r="1">
      <x v="1295"/>
    </i>
    <i r="1">
      <x v="1296"/>
    </i>
    <i r="1">
      <x v="1297"/>
    </i>
    <i r="1">
      <x v="1298"/>
    </i>
    <i r="1">
      <x v="1299"/>
    </i>
    <i r="1">
      <x v="1300"/>
    </i>
    <i r="1">
      <x v="1301"/>
    </i>
    <i r="1">
      <x v="1302"/>
    </i>
    <i r="1">
      <x v="1303"/>
    </i>
    <i r="1">
      <x v="1304"/>
    </i>
    <i r="1">
      <x v="1305"/>
    </i>
    <i r="1">
      <x v="1306"/>
    </i>
    <i r="1">
      <x v="1307"/>
    </i>
    <i r="1">
      <x v="1308"/>
    </i>
    <i r="1">
      <x v="1309"/>
    </i>
    <i r="1">
      <x v="1310"/>
    </i>
    <i r="1">
      <x v="1311"/>
    </i>
    <i r="1">
      <x v="1312"/>
    </i>
    <i r="1">
      <x v="1313"/>
    </i>
    <i r="1">
      <x v="1314"/>
    </i>
    <i r="1">
      <x v="1315"/>
    </i>
    <i r="1">
      <x v="1316"/>
    </i>
    <i r="1">
      <x v="1317"/>
    </i>
    <i r="1">
      <x v="1318"/>
    </i>
    <i r="1">
      <x v="1319"/>
    </i>
    <i r="1">
      <x v="1320"/>
    </i>
    <i r="1">
      <x v="1321"/>
    </i>
    <i r="1">
      <x v="1322"/>
    </i>
    <i r="1">
      <x v="1323"/>
    </i>
    <i r="1">
      <x v="1324"/>
    </i>
    <i r="1">
      <x v="1325"/>
    </i>
    <i r="1">
      <x v="1326"/>
    </i>
    <i r="1">
      <x v="1327"/>
    </i>
    <i r="1">
      <x v="1328"/>
    </i>
    <i r="1">
      <x v="1329"/>
    </i>
    <i r="1">
      <x v="1330"/>
    </i>
    <i r="1">
      <x v="1331"/>
    </i>
    <i r="1">
      <x v="1332"/>
    </i>
    <i r="1">
      <x v="1333"/>
    </i>
    <i r="1">
      <x v="1334"/>
    </i>
    <i>
      <x v="15"/>
    </i>
    <i r="1">
      <x v="1335"/>
    </i>
    <i r="1">
      <x v="1336"/>
    </i>
    <i r="1">
      <x v="1337"/>
    </i>
    <i r="1">
      <x v="1338"/>
    </i>
    <i r="1">
      <x v="1339"/>
    </i>
    <i r="1">
      <x v="1340"/>
    </i>
    <i r="1">
      <x v="1341"/>
    </i>
    <i r="1">
      <x v="1342"/>
    </i>
    <i r="1">
      <x v="1343"/>
    </i>
    <i r="1">
      <x v="1353"/>
    </i>
    <i r="1">
      <x v="1354"/>
    </i>
    <i r="1">
      <x v="1355"/>
    </i>
    <i r="1">
      <x v="1356"/>
    </i>
    <i r="1">
      <x v="1357"/>
    </i>
    <i r="1">
      <x v="1358"/>
    </i>
    <i r="1">
      <x v="1359"/>
    </i>
    <i r="1">
      <x v="1360"/>
    </i>
    <i r="1">
      <x v="1369"/>
    </i>
    <i r="1">
      <x v="1370"/>
    </i>
    <i r="1">
      <x v="1371"/>
    </i>
    <i r="1">
      <x v="1372"/>
    </i>
    <i r="1">
      <x v="1373"/>
    </i>
    <i r="1">
      <x v="1374"/>
    </i>
    <i r="1">
      <x v="1375"/>
    </i>
    <i r="1">
      <x v="1376"/>
    </i>
    <i r="1">
      <x v="1377"/>
    </i>
    <i r="1">
      <x v="1378"/>
    </i>
    <i>
      <x v="16"/>
    </i>
    <i r="1">
      <x v="1389"/>
    </i>
    <i r="1">
      <x v="1390"/>
    </i>
    <i r="1">
      <x v="1391"/>
    </i>
    <i r="1">
      <x v="1392"/>
    </i>
    <i r="1">
      <x v="1393"/>
    </i>
    <i r="1">
      <x v="1394"/>
    </i>
    <i r="1">
      <x v="1395"/>
    </i>
    <i r="1">
      <x v="1396"/>
    </i>
    <i r="1">
      <x v="1397"/>
    </i>
    <i r="1">
      <x v="1398"/>
    </i>
    <i r="1">
      <x v="1399"/>
    </i>
    <i r="1">
      <x v="1400"/>
    </i>
    <i r="1">
      <x v="1401"/>
    </i>
    <i r="1">
      <x v="1402"/>
    </i>
    <i r="1">
      <x v="1403"/>
    </i>
    <i r="1">
      <x v="1404"/>
    </i>
    <i r="1">
      <x v="1405"/>
    </i>
    <i r="1">
      <x v="1406"/>
    </i>
    <i r="1">
      <x v="1407"/>
    </i>
    <i r="1">
      <x v="1408"/>
    </i>
    <i>
      <x v="17"/>
    </i>
    <i r="1">
      <x v="1409"/>
    </i>
    <i r="1">
      <x v="1410"/>
    </i>
    <i r="1">
      <x v="1411"/>
    </i>
    <i r="1">
      <x v="1412"/>
    </i>
    <i r="1">
      <x v="1413"/>
    </i>
    <i r="1">
      <x v="1414"/>
    </i>
    <i r="1">
      <x v="1415"/>
    </i>
    <i r="1">
      <x v="1416"/>
    </i>
    <i r="1">
      <x v="1417"/>
    </i>
    <i r="1">
      <x v="1418"/>
    </i>
    <i r="1">
      <x v="1419"/>
    </i>
    <i r="1">
      <x v="1420"/>
    </i>
    <i r="1">
      <x v="1421"/>
    </i>
    <i t="grand">
      <x/>
    </i>
  </rowItems>
  <colFields count="1">
    <field x="-2"/>
  </colFields>
  <colItems count="2">
    <i>
      <x/>
    </i>
    <i i="1">
      <x v="1"/>
    </i>
  </colItems>
  <dataFields count="2">
    <dataField name="Ilość " fld="8" baseField="0" baseItem="0"/>
    <dataField name="Powierzchnia " fld="11" baseField="0" baseItem="538" numFmtId="2"/>
  </dataFields>
  <formats count="6">
    <format dxfId="214">
      <pivotArea type="all" dataOnly="0" outline="0" fieldPosition="0"/>
    </format>
    <format dxfId="213">
      <pivotArea outline="0" collapsedLevelsAreSubtotals="1" fieldPosition="0"/>
    </format>
    <format dxfId="212">
      <pivotArea field="1" type="button" dataOnly="0" labelOnly="1" outline="0" axis="axisRow" fieldPosition="0"/>
    </format>
    <format dxfId="211">
      <pivotArea dataOnly="0" labelOnly="1" fieldPosition="0">
        <references count="1">
          <reference field="1" count="0"/>
        </references>
      </pivotArea>
    </format>
    <format dxfId="210">
      <pivotArea dataOnly="0" labelOnly="1" grandRow="1" outline="0" fieldPosition="0"/>
    </format>
    <format dxfId="20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3000000}" name="m2_dziennie" cacheId="0" applyNumberFormats="0" applyBorderFormats="0" applyFontFormats="0" applyPatternFormats="0" applyAlignmentFormats="0" applyWidthHeightFormats="1" dataCaption="Wartości" updatedVersion="7" minRefreshableVersion="3" useAutoFormatting="1" itemPrintTitles="1" createdVersion="7" indent="0" outline="1" outlineData="1" multipleFieldFilters="0" chartFormat="2">
  <location ref="AH4:AI10" firstHeaderRow="1" firstDataRow="1" firstDataCol="1"/>
  <pivotFields count="16">
    <pivotField showAll="0"/>
    <pivotField showAll="0"/>
    <pivotField showAll="0">
      <items count="5">
        <item x="0"/>
        <item x="1"/>
        <item x="2"/>
        <item m="1" x="3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>
      <items count="3">
        <item x="1"/>
        <item x="0"/>
        <item t="default"/>
      </items>
    </pivotField>
    <pivotField showAll="0"/>
    <pivotField showAll="0"/>
    <pivotField showAll="0">
      <items count="6">
        <item m="1" x="4"/>
        <item x="2"/>
        <item x="3"/>
        <item x="1"/>
        <item x="0"/>
        <item t="default"/>
      </items>
    </pivotField>
    <pivotField showAll="0">
      <items count="9">
        <item m="1" x="7"/>
        <item x="1"/>
        <item x="3"/>
        <item x="2"/>
        <item x="4"/>
        <item x="0"/>
        <item m="1" x="5"/>
        <item m="1" x="6"/>
        <item t="default"/>
      </items>
    </pivotField>
    <pivotField dataField="1" showAll="0"/>
    <pivotField showAll="0">
      <items count="3">
        <item x="1"/>
        <item x="0"/>
        <item t="default"/>
      </items>
    </pivotField>
    <pivotField showAll="0">
      <items count="8">
        <item x="0"/>
        <item m="1" x="6"/>
        <item m="1" x="2"/>
        <item m="1" x="3"/>
        <item m="1" x="4"/>
        <item m="1" x="5"/>
        <item x="1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0"/>
        <item x="1"/>
        <item t="default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a z Powierzchnia" fld="11" baseField="0" baseItem="0" numFmtId="164"/>
  </dataFields>
  <formats count="1">
    <format dxfId="215">
      <pivotArea outline="0" collapsedLevelsAreSubtotals="1" fieldPosition="0"/>
    </format>
  </format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ilosc_dziennie" cacheId="0" applyNumberFormats="0" applyBorderFormats="0" applyFontFormats="0" applyPatternFormats="0" applyAlignmentFormats="0" applyWidthHeightFormats="1" dataCaption="Wartości" updatedVersion="7" minRefreshableVersion="3" useAutoFormatting="1" itemPrintTitles="1" createdVersion="7" indent="0" outline="1" outlineData="1" multipleFieldFilters="0">
  <location ref="AY4:AZ10" firstHeaderRow="1" firstDataRow="1" firstDataCol="1"/>
  <pivotFields count="16">
    <pivotField showAll="0"/>
    <pivotField showAll="0"/>
    <pivotField showAll="0">
      <items count="5">
        <item x="0"/>
        <item x="1"/>
        <item x="2"/>
        <item m="1" x="3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>
      <items count="3">
        <item x="1"/>
        <item x="0"/>
        <item t="default"/>
      </items>
    </pivotField>
    <pivotField showAll="0"/>
    <pivotField dataField="1" showAll="0"/>
    <pivotField showAll="0">
      <items count="6">
        <item m="1" x="4"/>
        <item x="2"/>
        <item x="3"/>
        <item x="1"/>
        <item x="0"/>
        <item t="default"/>
      </items>
    </pivotField>
    <pivotField showAll="0">
      <items count="9">
        <item m="1" x="7"/>
        <item x="1"/>
        <item x="3"/>
        <item x="2"/>
        <item x="4"/>
        <item x="0"/>
        <item m="1" x="5"/>
        <item m="1" x="6"/>
        <item t="default"/>
      </items>
    </pivotField>
    <pivotField showAll="0"/>
    <pivotField showAll="0">
      <items count="3">
        <item x="1"/>
        <item x="0"/>
        <item t="default"/>
      </items>
    </pivotField>
    <pivotField showAll="0">
      <items count="8">
        <item x="0"/>
        <item m="1" x="6"/>
        <item m="1" x="2"/>
        <item m="1" x="3"/>
        <item m="1" x="4"/>
        <item m="1" x="5"/>
        <item x="1"/>
        <item t="default"/>
      </items>
    </pivotField>
    <pivotField showAll="0">
      <items count="3">
        <item x="1"/>
        <item x="0"/>
        <item t="default"/>
      </items>
    </pivotField>
    <pivotField showAll="0" defaultSubtotal="0">
      <items count="2">
        <item x="0"/>
        <item x="1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a z Ilość" fld="8" baseField="0" baseItem="0"/>
  </dataFields>
  <chartFormats count="1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m2_kolowy" cacheId="0" applyNumberFormats="0" applyBorderFormats="0" applyFontFormats="0" applyPatternFormats="0" applyAlignmentFormats="0" applyWidthHeightFormats="1" dataCaption="Wartości" updatedVersion="7" minRefreshableVersion="3" useAutoFormatting="1" itemPrintTitles="1" createdVersion="7" indent="0" outline="1" outlineData="1" multipleFieldFilters="0" chartFormat="2">
  <location ref="AC4:AD7" firstHeaderRow="1" firstDataRow="1" firstDataCol="1"/>
  <pivotFields count="16">
    <pivotField showAll="0"/>
    <pivotField showAll="0"/>
    <pivotField showAll="0">
      <items count="5">
        <item x="0"/>
        <item x="1"/>
        <item x="2"/>
        <item m="1" x="3"/>
        <item t="default"/>
      </items>
    </pivotField>
    <pivotField showAll="0"/>
    <pivotField axis="axisRow" showAll="0">
      <items count="3">
        <item x="0"/>
        <item x="1"/>
        <item t="default"/>
      </items>
    </pivotField>
    <pivotField showAll="0"/>
    <pivotField showAll="0">
      <items count="3">
        <item x="1"/>
        <item x="0"/>
        <item t="default"/>
      </items>
    </pivotField>
    <pivotField showAll="0"/>
    <pivotField showAll="0"/>
    <pivotField showAll="0">
      <items count="6">
        <item m="1" x="4"/>
        <item x="2"/>
        <item x="3"/>
        <item x="1"/>
        <item x="0"/>
        <item t="default"/>
      </items>
    </pivotField>
    <pivotField showAll="0">
      <items count="9">
        <item m="1" x="7"/>
        <item x="1"/>
        <item x="3"/>
        <item x="2"/>
        <item x="4"/>
        <item x="0"/>
        <item m="1" x="5"/>
        <item m="1" x="6"/>
        <item t="default"/>
      </items>
    </pivotField>
    <pivotField dataField="1" showAll="0"/>
    <pivotField showAll="0">
      <items count="3">
        <item x="1"/>
        <item x="0"/>
        <item t="default"/>
      </items>
    </pivotField>
    <pivotField showAll="0">
      <items count="8">
        <item x="0"/>
        <item m="1" x="6"/>
        <item m="1" x="2"/>
        <item m="1" x="3"/>
        <item m="1" x="4"/>
        <item m="1" x="5"/>
        <item x="1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0"/>
        <item x="1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Suma z Powierzchnia" fld="11" baseField="0" baseItem="0" numFmtId="164"/>
  </dataFields>
  <formats count="1">
    <format dxfId="216">
      <pivotArea outline="0" collapsedLevelsAreSubtotals="1" fieldPosition="0"/>
    </format>
  </formats>
  <chartFormats count="5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2" connectionId="13" xr16:uid="{00000000-0016-0000-0000-000000000000}" autoFormatId="16" applyNumberFormats="0" applyBorderFormats="0" applyFontFormats="0" applyPatternFormats="0" applyAlignmentFormats="0" applyWidthHeightFormats="0">
  <queryTableRefresh nextId="16">
    <queryTableFields count="15">
      <queryTableField id="1" name="Kod elementu" tableColumnId="1"/>
      <queryTableField id="2" name="Nazwa elementu" tableColumnId="2"/>
      <queryTableField id="3" name="Budynek" tableColumnId="3"/>
      <queryTableField id="4" name="Data wykonania" tableColumnId="4"/>
      <queryTableField id="5" name="Wykonanie" tableColumnId="5"/>
      <queryTableField id="6" name="Nr skrzyni" tableColumnId="6"/>
      <queryTableField id="7" name="Gniazdo - Ściany" tableColumnId="7"/>
      <queryTableField id="8" name="Realizacja data pakowania" tableColumnId="8"/>
      <queryTableField id="9" name="Ilość" tableColumnId="9"/>
      <queryTableField id="10" name="Firma" tableColumnId="10"/>
      <queryTableField id="11" name="Harmonogram" tableColumnId="11"/>
      <queryTableField id="12" name="Powierzchnia" tableColumnId="12"/>
      <queryTableField id="13" name="Typ firmy" tableColumnId="13"/>
      <queryTableField id="14" name="MC" tableColumnId="14"/>
      <queryTableField id="15" name="Rok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16" xr16:uid="{00000000-0016-0000-0100-000002000000}" autoFormatId="16" applyNumberFormats="0" applyBorderFormats="0" applyFontFormats="0" applyPatternFormats="0" applyAlignmentFormats="0" applyWidthHeightFormats="0">
  <queryTableRefresh nextId="30">
    <queryTableFields count="29">
      <queryTableField id="1" name="Element" tableColumnId="1"/>
      <queryTableField id="2" name="Indeks" tableColumnId="2"/>
      <queryTableField id="3" name="Budynek" tableColumnId="3"/>
      <queryTableField id="4" name="Nazwa elementu" tableColumnId="4"/>
      <queryTableField id="5" name="Moduł" tableColumnId="5"/>
      <queryTableField id="6" name="L ramy" tableColumnId="6"/>
      <queryTableField id="7" name="gr całk" tableColumnId="7"/>
      <queryTableField id="8" name="L całk" tableColumnId="8"/>
      <queryTableField id="9" name="ciężar" tableColumnId="9"/>
      <queryTableField id="10" name="opis" tableColumnId="10"/>
      <queryTableField id="11" name="W ramy" tableColumnId="11"/>
      <queryTableField id="12" name="W całk" tableColumnId="12"/>
      <queryTableField id="13" name="pow." tableColumnId="13"/>
      <queryTableField id="14" name="Numer" tableColumnId="14"/>
      <queryTableField id="15" name="Nazwa" tableColumnId="15"/>
      <queryTableField id="16" name="Materiał" tableColumnId="16"/>
      <queryTableField id="17" name="szt." tableColumnId="17"/>
      <queryTableField id="18" name="szer." tableColumnId="18"/>
      <queryTableField id="19" name="H1" tableColumnId="19"/>
      <queryTableField id="20" name="H2" tableColumnId="20"/>
      <queryTableField id="21" name="Słupek" tableColumnId="21"/>
      <queryTableField id="22" name="H ramy" tableColumnId="22"/>
      <queryTableField id="23" name="H całk" tableColumnId="23"/>
      <queryTableField id="24" name="pow. netto" tableColumnId="24"/>
      <queryTableField id="25" name="pow. brutto" tableColumnId="25"/>
      <queryTableField id="26" name="długość" tableColumnId="26"/>
      <queryTableField id="27" name="V1" tableColumnId="27"/>
      <queryTableField id="28" name="klasa (grade)" tableColumnId="28"/>
      <queryTableField id="29" name="kod (indeks)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2" firstBackgroundRefresh="1" connectionId="16" xr16:uid="{00000000-0016-0000-0100-000001000000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1" xr16:uid="{00000000-0016-0000-0300-000003000000}" autoFormatId="16" applyNumberFormats="0" applyBorderFormats="0" applyFontFormats="1" applyPatternFormats="1" applyAlignmentFormats="0" applyWidthHeightFormats="0">
  <queryTableRefresh nextId="13">
    <queryTableFields count="12">
      <queryTableField id="1" name="Budynek" tableColumnId="13"/>
      <queryTableField id="2" name="Element" tableColumnId="14"/>
      <queryTableField id="3" name="Słupek" tableColumnId="15"/>
      <queryTableField id="4" name="L ramy" tableColumnId="16"/>
      <queryTableField id="5" name="H ramy" tableColumnId="17"/>
      <queryTableField id="6" name="gr całk" tableColumnId="18"/>
      <queryTableField id="7" name="L całk" tableColumnId="19"/>
      <queryTableField id="8" name="H całk" tableColumnId="20"/>
      <queryTableField id="9" name="pow. netto" tableColumnId="21"/>
      <queryTableField id="10" name="pow. brutto" tableColumnId="22"/>
      <queryTableField id="11" name="ciężar" tableColumnId="23"/>
      <queryTableField id="12" name="opis" tableColumnId="2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2" xr16:uid="{00000000-0016-0000-0400-000004000000}" autoFormatId="16" applyNumberFormats="0" applyBorderFormats="0" applyFontFormats="1" applyPatternFormats="1" applyAlignmentFormats="0" applyWidthHeightFormats="0">
  <queryTableRefresh nextId="13">
    <queryTableFields count="12">
      <queryTableField id="1" name="Budynek" tableColumnId="13"/>
      <queryTableField id="2" name="Element" tableColumnId="14"/>
      <queryTableField id="3" name="Słupek" tableColumnId="15"/>
      <queryTableField id="4" name="L ramy" tableColumnId="16"/>
      <queryTableField id="5" name="H ramy" tableColumnId="17"/>
      <queryTableField id="6" name="gr całk" tableColumnId="18"/>
      <queryTableField id="7" name="L całk" tableColumnId="19"/>
      <queryTableField id="8" name="H całk" tableColumnId="20"/>
      <queryTableField id="9" name="pow. netto" tableColumnId="21"/>
      <queryTableField id="10" name="pow. brutto" tableColumnId="22"/>
      <queryTableField id="11" name="ciężar" tableColumnId="23"/>
      <queryTableField id="12" name="opis" tableColumnId="2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4" xr16:uid="{00000000-0016-0000-0500-000005000000}" autoFormatId="16" applyNumberFormats="0" applyBorderFormats="0" applyFontFormats="1" applyPatternFormats="1" applyAlignmentFormats="0" applyWidthHeightFormats="0">
  <queryTableRefresh nextId="13">
    <queryTableFields count="12">
      <queryTableField id="1" name="Budynek" tableColumnId="13"/>
      <queryTableField id="2" name="Element" tableColumnId="14"/>
      <queryTableField id="3" name="Słupek" tableColumnId="15"/>
      <queryTableField id="4" name="L ramy" tableColumnId="16"/>
      <queryTableField id="5" name="H ramy" tableColumnId="17"/>
      <queryTableField id="6" name="gr całk" tableColumnId="18"/>
      <queryTableField id="7" name="L całk" tableColumnId="19"/>
      <queryTableField id="8" name="H całk" tableColumnId="20"/>
      <queryTableField id="9" name="pow. netto" tableColumnId="21"/>
      <queryTableField id="10" name="pow. brutto" tableColumnId="22"/>
      <queryTableField id="11" name="ciężar" tableColumnId="23"/>
      <queryTableField id="12" name="opis" tableColumnId="2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00000000-0016-0000-0600-000006000000}" autoFormatId="16" applyNumberFormats="0" applyBorderFormats="0" applyFontFormats="1" applyPatternFormats="1" applyAlignmentFormats="0" applyWidthHeightFormats="0">
  <queryTableRefresh nextId="13">
    <queryTableFields count="12">
      <queryTableField id="1" name="Budynek" tableColumnId="13"/>
      <queryTableField id="2" name="Element" tableColumnId="14"/>
      <queryTableField id="3" name="Słupek" tableColumnId="15"/>
      <queryTableField id="4" name="L ramy" tableColumnId="16"/>
      <queryTableField id="5" name="H ramy" tableColumnId="17"/>
      <queryTableField id="6" name="gr całk" tableColumnId="18"/>
      <queryTableField id="7" name="L całk" tableColumnId="19"/>
      <queryTableField id="8" name="H całk" tableColumnId="20"/>
      <queryTableField id="9" name="pow. netto" tableColumnId="21"/>
      <queryTableField id="10" name="pow. brutto" tableColumnId="22"/>
      <queryTableField id="11" name="ciężar" tableColumnId="23"/>
      <queryTableField id="12" name="opis" tableColumnId="2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6" xr16:uid="{00000000-0016-0000-0700-000007000000}" autoFormatId="16" applyNumberFormats="0" applyBorderFormats="0" applyFontFormats="1" applyPatternFormats="1" applyAlignmentFormats="0" applyWidthHeightFormats="0">
  <queryTableRefresh nextId="14">
    <queryTableFields count="13">
      <queryTableField id="1" name="Element" tableColumnId="14"/>
      <queryTableField id="2" name="Numer" tableColumnId="15"/>
      <queryTableField id="3" name="Nazwa" tableColumnId="16"/>
      <queryTableField id="4" name="Materiał" tableColumnId="17"/>
      <queryTableField id="5" name="szt." tableColumnId="18"/>
      <queryTableField id="6" name="szer." tableColumnId="19"/>
      <queryTableField id="7" name="H1" tableColumnId="20"/>
      <queryTableField id="8" name="H2" tableColumnId="21"/>
      <queryTableField id="9" name="długość" tableColumnId="22"/>
      <queryTableField id="10" name="V1" tableColumnId="23"/>
      <queryTableField id="11" name="pow." tableColumnId="24"/>
      <queryTableField id="12" name="klasa (grade)" tableColumnId="25"/>
      <queryTableField id="13" name="kod (indeks)" tableColumnId="2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7" xr16:uid="{00000000-0016-0000-0800-000008000000}" autoFormatId="16" applyNumberFormats="0" applyBorderFormats="0" applyFontFormats="1" applyPatternFormats="1" applyAlignmentFormats="0" applyWidthHeightFormats="0">
  <queryTableRefresh nextId="11">
    <queryTableFields count="10">
      <queryTableField id="1" name="Budynek" tableColumnId="11"/>
      <queryTableField id="2" name="Element" tableColumnId="12"/>
      <queryTableField id="3" name="W ramy" tableColumnId="13"/>
      <queryTableField id="4" name="L ramy" tableColumnId="14"/>
      <queryTableField id="5" name="gr całk" tableColumnId="15"/>
      <queryTableField id="6" name="W całk" tableColumnId="16"/>
      <queryTableField id="7" name="L całk" tableColumnId="17"/>
      <queryTableField id="8" name="pow." tableColumnId="18"/>
      <queryTableField id="9" name="ciężar" tableColumnId="19"/>
      <queryTableField id="10" name="opis" tableColumnId="20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8" xr16:uid="{00000000-0016-0000-0900-000009000000}" autoFormatId="16" applyNumberFormats="0" applyBorderFormats="0" applyFontFormats="1" applyPatternFormats="1" applyAlignmentFormats="0" applyWidthHeightFormats="0">
  <queryTableRefresh nextId="11">
    <queryTableFields count="10">
      <queryTableField id="1" name="Budynek" tableColumnId="11"/>
      <queryTableField id="2" name="Element" tableColumnId="12"/>
      <queryTableField id="3" name="W ramy" tableColumnId="13"/>
      <queryTableField id="4" name="L ramy" tableColumnId="14"/>
      <queryTableField id="5" name="gr całk" tableColumnId="15"/>
      <queryTableField id="6" name="W całk" tableColumnId="16"/>
      <queryTableField id="7" name="L całk" tableColumnId="17"/>
      <queryTableField id="8" name="pow." tableColumnId="18"/>
      <queryTableField id="9" name="ciężar" tableColumnId="19"/>
      <queryTableField id="10" name="opis" tableColumnId="20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9" xr16:uid="{00000000-0016-0000-0A00-00000A000000}" autoFormatId="16" applyNumberFormats="0" applyBorderFormats="0" applyFontFormats="1" applyPatternFormats="1" applyAlignmentFormats="0" applyWidthHeightFormats="0">
  <queryTableRefresh nextId="14">
    <queryTableFields count="13">
      <queryTableField id="1" name="Element" tableColumnId="14"/>
      <queryTableField id="2" name="Numer" tableColumnId="15"/>
      <queryTableField id="3" name="Nazwa" tableColumnId="16"/>
      <queryTableField id="4" name="Materiał" tableColumnId="17"/>
      <queryTableField id="5" name="szt." tableColumnId="18"/>
      <queryTableField id="6" name="szer." tableColumnId="19"/>
      <queryTableField id="7" name="H1" tableColumnId="20"/>
      <queryTableField id="8" name="H2" tableColumnId="21"/>
      <queryTableField id="9" name="długość" tableColumnId="22"/>
      <queryTableField id="10" name="V1" tableColumnId="23"/>
      <queryTableField id="11" name="pow." tableColumnId="24"/>
      <queryTableField id="12" name="klasa (grade)" tableColumnId="25"/>
      <queryTableField id="13" name="kod (indeks)" tableColumnId="2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10" xr16:uid="{00000000-0016-0000-0B00-00000B000000}" autoFormatId="16" applyNumberFormats="0" applyBorderFormats="0" applyFontFormats="1" applyPatternFormats="1" applyAlignmentFormats="0" applyWidthHeightFormats="0">
  <queryTableRefresh nextId="13">
    <queryTableFields count="12">
      <queryTableField id="1" name="Budynek" tableColumnId="13"/>
      <queryTableField id="2" name="Element" tableColumnId="14"/>
      <queryTableField id="3" name="Słupek" tableColumnId="15"/>
      <queryTableField id="4" name="L ramy" tableColumnId="16"/>
      <queryTableField id="5" name="H ramy" tableColumnId="17"/>
      <queryTableField id="6" name="gr całk" tableColumnId="18"/>
      <queryTableField id="7" name="L całk" tableColumnId="19"/>
      <queryTableField id="8" name="H całk" tableColumnId="20"/>
      <queryTableField id="9" name="pow. netto" tableColumnId="21"/>
      <queryTableField id="10" name="pow. brutto" tableColumnId="22"/>
      <queryTableField id="11" name="ciężar" tableColumnId="23"/>
      <queryTableField id="12" name="opis" tableColumnId="24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11" xr16:uid="{00000000-0016-0000-0C00-00000C000000}" autoFormatId="16" applyNumberFormats="0" applyBorderFormats="0" applyFontFormats="1" applyPatternFormats="1" applyAlignmentFormats="0" applyWidthHeightFormats="0">
  <queryTableRefresh nextId="13">
    <queryTableFields count="12">
      <queryTableField id="1" name="Budynek" tableColumnId="13"/>
      <queryTableField id="2" name="Element" tableColumnId="14"/>
      <queryTableField id="3" name="Słupek" tableColumnId="15"/>
      <queryTableField id="4" name="L ramy" tableColumnId="16"/>
      <queryTableField id="5" name="H ramy" tableColumnId="17"/>
      <queryTableField id="6" name="gr całk" tableColumnId="18"/>
      <queryTableField id="7" name="L całk" tableColumnId="19"/>
      <queryTableField id="8" name="H całk" tableColumnId="20"/>
      <queryTableField id="9" name="pow. netto" tableColumnId="21"/>
      <queryTableField id="10" name="pow. brutto" tableColumnId="22"/>
      <queryTableField id="11" name="ciężar" tableColumnId="23"/>
      <queryTableField id="12" name="opis" tableColumnId="2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3" xr16:uid="{00000000-0016-0000-0D00-00000D000000}" autoFormatId="16" applyNumberFormats="0" applyBorderFormats="0" applyFontFormats="1" applyPatternFormats="1" applyAlignmentFormats="0" applyWidthHeightFormats="0">
  <queryTableRefresh nextId="13">
    <queryTableFields count="12">
      <queryTableField id="1" name="Budynek" tableColumnId="13"/>
      <queryTableField id="2" name="Element" tableColumnId="14"/>
      <queryTableField id="3" name="Słupek" tableColumnId="15"/>
      <queryTableField id="4" name="L ramy" tableColumnId="16"/>
      <queryTableField id="5" name="H ramy" tableColumnId="17"/>
      <queryTableField id="6" name="gr całk" tableColumnId="18"/>
      <queryTableField id="7" name="L całk" tableColumnId="19"/>
      <queryTableField id="8" name="H całk" tableColumnId="20"/>
      <queryTableField id="9" name="pow. netto" tableColumnId="21"/>
      <queryTableField id="10" name="pow. brutto" tableColumnId="22"/>
      <queryTableField id="11" name="ciężar" tableColumnId="23"/>
      <queryTableField id="12" name="opis" tableColumnId="2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_1" connectionId="12" xr16:uid="{00000000-0016-0000-0E00-00000E000000}" autoFormatId="16" applyNumberFormats="0" applyBorderFormats="0" applyFontFormats="0" applyPatternFormats="0" applyAlignmentFormats="0" applyWidthHeightFormats="0">
  <queryTableRefresh nextId="17" unboundColumnsRight="7">
    <queryTableFields count="12">
      <queryTableField id="5" name="Nazwa" tableColumnId="1"/>
      <queryTableField id="1" name="Zmodyfikowane" tableColumnId="2"/>
      <queryTableField id="2" name="Zmodyfikowane przez" tableColumnId="3"/>
      <queryTableField id="4" name="Typ elementu" tableColumnId="4"/>
      <queryTableField id="3" name="Ścieżka" tableColumnId="5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7"/>
      <queryTableField id="15" dataBound="0" tableColumnId="6"/>
      <queryTableField id="16" dataBound="0" tableColumnId="12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15" xr16:uid="{00000000-0016-0000-0E00-00000F000000}" autoFormatId="16" applyNumberFormats="0" applyBorderFormats="0" applyFontFormats="0" applyPatternFormats="0" applyAlignmentFormats="0" applyWidthHeightFormats="0">
  <queryTableRefresh nextId="7">
    <queryTableFields count="6">
      <queryTableField id="1" name="Skrót" tableColumnId="1"/>
      <queryTableField id="2" name="Nazwa" tableColumnId="2"/>
      <queryTableField id="3" name="Element" tableColumnId="3"/>
      <queryTableField id="4" name="Ciąg znaków wyszukiwany w nazwie" tableColumnId="4"/>
      <queryTableField id="5" name="Arkusz z którego pobiera dane" tableColumnId="5"/>
      <queryTableField id="6" name="Column6" tableColumnId="6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2" connectionId="14" xr16:uid="{00000000-0016-0000-1100-000010000000}" autoFormatId="16" applyNumberFormats="0" applyBorderFormats="0" applyFontFormats="0" applyPatternFormats="0" applyAlignmentFormats="0" applyWidthHeightFormats="0">
  <queryTableRefresh nextId="7">
    <queryTableFields count="6">
      <queryTableField id="1" name="Miejsce wykonania" tableColumnId="1"/>
      <queryTableField id="2" name="Majster" tableColumnId="2"/>
      <queryTableField id="3" name="Status" tableColumnId="3"/>
      <queryTableField id="4" name="Podwykonawca" tableColumnId="4"/>
      <queryTableField id="5" name="Gniazdo - Ściany" tableColumnId="5"/>
      <queryTableField id="6" name="Miejsce montażu" tableColumnId="6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20" xr16:uid="{00000000-0016-0000-1400-000012000000}" autoFormatId="16" applyNumberFormats="0" applyBorderFormats="0" applyFontFormats="0" applyPatternFormats="0" applyAlignmentFormats="0" applyWidthHeightFormats="0">
  <queryTableRefresh nextId="16">
    <queryTableFields count="12">
      <queryTableField id="1" name="Element" tableColumnId="1"/>
      <queryTableField id="2" name="Indeks" tableColumnId="2"/>
      <queryTableField id="3" name="Nazwa elementu" tableColumnId="3"/>
      <queryTableField id="4" name="Budynek" tableColumnId="4"/>
      <queryTableField id="5" name="Moduł" tableColumnId="5"/>
      <queryTableField id="6" name="gr całk" tableColumnId="6"/>
      <queryTableField id="7" name="L całk" tableColumnId="7"/>
      <queryTableField id="8" name="H całk" tableColumnId="8"/>
      <queryTableField id="10" name="W ramy" tableColumnId="10"/>
      <queryTableField id="11" name="W całk" tableColumnId="11"/>
      <queryTableField id="12" name="pow." tableColumnId="12"/>
      <queryTableField id="9" name="pow. brutto" tableColumnId="9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4" connectionId="21" xr16:uid="{00000000-0016-0000-1400-000013000000}" autoFormatId="16" applyNumberFormats="0" applyBorderFormats="0" applyFontFormats="0" applyPatternFormats="0" applyAlignmentFormats="0" applyWidthHeightFormats="0">
  <queryTableRefresh nextId="13">
    <queryTableFields count="12">
      <queryTableField id="1" name="Element" tableColumnId="13"/>
      <queryTableField id="2" name="Indeks" tableColumnId="2"/>
      <queryTableField id="3" name="Nazwa elementu" tableColumnId="3"/>
      <queryTableField id="4" name="Budynek" tableColumnId="4"/>
      <queryTableField id="5" name="Moduł" tableColumnId="5"/>
      <queryTableField id="6" name="gr całk" tableColumnId="6"/>
      <queryTableField id="7" name="L całk" tableColumnId="7"/>
      <queryTableField id="8" name="H całk" tableColumnId="8"/>
      <queryTableField id="9" name="W ramy" tableColumnId="9"/>
      <queryTableField id="10" name="W całk" tableColumnId="10"/>
      <queryTableField id="11" name="pow." tableColumnId="11"/>
      <queryTableField id="12" name="pow. brutto" tableColumnId="12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3" firstBackgroundRefresh="1" connectionId="20" xr16:uid="{00000000-0016-0000-1400-000011000000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5" connectionId="19" xr16:uid="{00000000-0016-0000-1600-000015000000}" autoFormatId="16" applyNumberFormats="0" applyBorderFormats="0" applyFontFormats="0" applyPatternFormats="0" applyAlignmentFormats="0" applyWidthHeightFormats="0">
  <queryTableRefresh nextId="11">
    <queryTableFields count="10">
      <queryTableField id="1" name="Indeks" tableColumnId="11"/>
      <queryTableField id="2" name="Kod elementu" tableColumnId="2"/>
      <queryTableField id="3" name="Nazwa elementu" tableColumnId="3"/>
      <queryTableField id="4" name="Budynek" tableColumnId="4"/>
      <queryTableField id="5" name="Moduł" tableColumnId="5"/>
      <queryTableField id="6" name="Ilość" tableColumnId="6"/>
      <queryTableField id="7" name="gr całk" tableColumnId="7"/>
      <queryTableField id="8" name="W całk" tableColumnId="8"/>
      <queryTableField id="9" name="L całk" tableColumnId="9"/>
      <queryTableField id="10" name="pow." tableColumnId="10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4" firstBackgroundRefresh="1" connectionId="18" xr16:uid="{00000000-0016-0000-1600-000014000000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2" connectionId="24" xr16:uid="{00000000-0016-0000-1800-000017000000}" autoFormatId="16" applyNumberFormats="0" applyBorderFormats="0" applyFontFormats="0" applyPatternFormats="0" applyAlignmentFormats="0" applyWidthHeightFormats="0">
  <queryTableRefresh nextId="16">
    <queryTableFields count="15">
      <queryTableField id="1" name="Element" tableColumnId="1"/>
      <queryTableField id="2" name="Słupek" tableColumnId="2"/>
      <queryTableField id="3" name="L ramy" tableColumnId="3"/>
      <queryTableField id="4" name="H ramy" tableColumnId="4"/>
      <queryTableField id="5" name="gr całk" tableColumnId="5"/>
      <queryTableField id="6" name="L całk" tableColumnId="6"/>
      <queryTableField id="7" name="H całk" tableColumnId="7"/>
      <queryTableField id="8" name="pow. netto" tableColumnId="8"/>
      <queryTableField id="9" name="pow. brutto" tableColumnId="9"/>
      <queryTableField id="10" name="ciężar" tableColumnId="10"/>
      <queryTableField id="11" name="opis" tableColumnId="11"/>
      <queryTableField id="12" name="Nazwa elementu" tableColumnId="12"/>
      <queryTableField id="13" name="Budynek" tableColumnId="13"/>
      <queryTableField id="14" name="Indeks" tableColumnId="14"/>
      <queryTableField id="15" name="Moduł" tableColumnId="15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3" firstBackgroundRefresh="1" connectionId="24" xr16:uid="{00000000-0016-0000-1800-000016000000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17" xr16:uid="{00000000-0016-0000-1900-000019000000}" autoFormatId="16" applyNumberFormats="0" applyBorderFormats="0" applyFontFormats="0" applyPatternFormats="0" applyAlignmentFormats="0" applyWidthHeightFormats="0">
  <queryTableRefresh nextId="22">
    <queryTableFields count="21">
      <queryTableField id="1" name="Element" tableColumnId="1"/>
      <queryTableField id="2" name="Nazwa elementu" tableColumnId="2"/>
      <queryTableField id="3" name="Budynek" tableColumnId="3"/>
      <queryTableField id="4" name="Moduł" tableColumnId="4"/>
      <queryTableField id="5" name="Ilość" tableColumnId="5"/>
      <queryTableField id="6" name="gr całk" tableColumnId="6"/>
      <queryTableField id="7" name="W całk" tableColumnId="7"/>
      <queryTableField id="8" name="Numer" tableColumnId="8"/>
      <queryTableField id="9" name="Nazwa" tableColumnId="9"/>
      <queryTableField id="10" name="Materiał" tableColumnId="10"/>
      <queryTableField id="11" name="szt." tableColumnId="11"/>
      <queryTableField id="12" name="szer." tableColumnId="12"/>
      <queryTableField id="13" name="H1" tableColumnId="13"/>
      <queryTableField id="14" name="H2" tableColumnId="14"/>
      <queryTableField id="15" name="długość" tableColumnId="15"/>
      <queryTableField id="16" name="V1" tableColumnId="16"/>
      <queryTableField id="17" name="klasa (grade)" tableColumnId="17"/>
      <queryTableField id="18" name="kod (indeks)" tableColumnId="18"/>
      <queryTableField id="19" name="L całk" tableColumnId="19"/>
      <queryTableField id="20" name="pow." tableColumnId="20"/>
      <queryTableField id="21" name="Indeks" tableColumnId="21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2" connectionId="17" xr16:uid="{00000000-0016-0000-1900-00001A000000}" autoFormatId="16" applyNumberFormats="0" applyBorderFormats="0" applyFontFormats="0" applyPatternFormats="0" applyAlignmentFormats="0" applyWidthHeightFormats="0">
  <queryTableRefresh nextId="22">
    <queryTableFields count="21">
      <queryTableField id="1" name="Element" tableColumnId="1"/>
      <queryTableField id="2" name="Nazwa elementu" tableColumnId="2"/>
      <queryTableField id="3" name="Budynek" tableColumnId="3"/>
      <queryTableField id="4" name="Moduł" tableColumnId="4"/>
      <queryTableField id="5" name="Ilość" tableColumnId="5"/>
      <queryTableField id="6" name="gr całk" tableColumnId="6"/>
      <queryTableField id="7" name="W całk" tableColumnId="7"/>
      <queryTableField id="8" name="Numer" tableColumnId="8"/>
      <queryTableField id="9" name="Nazwa" tableColumnId="9"/>
      <queryTableField id="10" name="Materiał" tableColumnId="10"/>
      <queryTableField id="11" name="szt." tableColumnId="11"/>
      <queryTableField id="12" name="szer." tableColumnId="12"/>
      <queryTableField id="13" name="H1" tableColumnId="13"/>
      <queryTableField id="14" name="H2" tableColumnId="14"/>
      <queryTableField id="15" name="długość" tableColumnId="15"/>
      <queryTableField id="16" name="V1" tableColumnId="16"/>
      <queryTableField id="17" name="klasa (grade)" tableColumnId="17"/>
      <queryTableField id="18" name="kod (indeks)" tableColumnId="18"/>
      <queryTableField id="19" name="L całk" tableColumnId="19"/>
      <queryTableField id="20" name="pow." tableColumnId="20"/>
      <queryTableField id="21" name="Indeks" tableColumnId="21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3" firstBackgroundRefresh="1" connectionId="17" xr16:uid="{00000000-0016-0000-1900-000018000000}" autoFormatId="16" applyNumberFormats="0" applyBorderFormats="0" applyFontFormats="0" applyPatternFormats="0" applyAlignmentFormats="0" applyWidthHeightFormats="0">
  <queryTableRefresh>
    <queryTableFields/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6" connectionId="23" xr16:uid="{00000000-0016-0000-1B00-00001C000000}" autoFormatId="16" applyNumberFormats="0" applyBorderFormats="0" applyFontFormats="0" applyPatternFormats="0" applyAlignmentFormats="0" applyWidthHeightFormats="0">
  <queryTableRefresh nextId="16">
    <queryTableFields count="15">
      <queryTableField id="1" name="Indeks" tableColumnId="16"/>
      <queryTableField id="2" name="Kod elementu" tableColumnId="2"/>
      <queryTableField id="3" name="Nazwa elementu" tableColumnId="3"/>
      <queryTableField id="4" name="Budynek" tableColumnId="4"/>
      <queryTableField id="5" name="Numer" tableColumnId="5"/>
      <queryTableField id="6" name="szt." tableColumnId="6"/>
      <queryTableField id="7" name="Materiał" tableColumnId="7"/>
      <queryTableField id="8" name="szer." tableColumnId="8"/>
      <queryTableField id="9" name="H1" tableColumnId="9"/>
      <queryTableField id="10" name="H2" tableColumnId="10"/>
      <queryTableField id="11" name="długość" tableColumnId="11"/>
      <queryTableField id="12" name="V1" tableColumnId="12"/>
      <queryTableField id="13" name="pow." tableColumnId="13"/>
      <queryTableField id="14" name="klasa (grade)" tableColumnId="14"/>
      <queryTableField id="15" name="kod (indeks)" tableColumnId="15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5" firstBackgroundRefresh="1" connectionId="22" xr16:uid="{00000000-0016-0000-1B00-00001B000000}" autoFormatId="16" applyNumberFormats="0" applyBorderFormats="0" applyFontFormats="0" applyPatternFormats="0" applyAlignmentFormats="0" applyWidthHeightFormats="0">
  <queryTableRefresh>
    <queryTableFields/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Budynek1" xr10:uid="{00000000-0013-0000-FFFF-FFFF01000000}" sourceName="Budynek">
  <pivotTables>
    <pivotTable tabId="60" name="Wykaz"/>
    <pivotTable tabId="60" name="ilosc_dziennie"/>
    <pivotTable tabId="60" name="ilosc_kolowy"/>
    <pivotTable tabId="60" name="ilosc_mc"/>
    <pivotTable tabId="60" name="m2_dziennie"/>
    <pivotTable tabId="60" name="m2_kolowy"/>
    <pivotTable tabId="60" name="m2_mc"/>
  </pivotTables>
  <data>
    <tabular pivotCacheId="309365749">
      <items count="4">
        <i x="0" s="1"/>
        <i x="1" s="1"/>
        <i x="2" s="1"/>
        <i x="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Wykonanie1" xr10:uid="{00000000-0013-0000-FFFF-FFFF02000000}" sourceName="Wykonanie">
  <pivotTables>
    <pivotTable tabId="60" name="Wykaz"/>
    <pivotTable tabId="60" name="ilosc_dziennie"/>
    <pivotTable tabId="60" name="ilosc_kolowy"/>
    <pivotTable tabId="60" name="ilosc_mc"/>
    <pivotTable tabId="60" name="m2_dziennie"/>
    <pivotTable tabId="60" name="m2_kolowy"/>
    <pivotTable tabId="60" name="m2_mc"/>
  </pivotTables>
  <data>
    <tabular pivotCacheId="309365749">
      <items count="2">
        <i x="0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Gniazdo___Ściany1" xr10:uid="{00000000-0013-0000-FFFF-FFFF03000000}" sourceName="Gniazdo - Ściany">
  <pivotTables>
    <pivotTable tabId="60" name="Wykaz"/>
    <pivotTable tabId="60" name="ilosc_dziennie"/>
    <pivotTable tabId="60" name="ilosc_kolowy"/>
    <pivotTable tabId="60" name="ilosc_mc"/>
    <pivotTable tabId="60" name="m2_dziennie"/>
    <pivotTable tabId="60" name="m2_kolowy"/>
    <pivotTable tabId="60" name="m2_mc"/>
  </pivotTables>
  <data>
    <tabular pivotCacheId="309365749">
      <items count="2"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Firma" xr10:uid="{00000000-0013-0000-FFFF-FFFF04000000}" sourceName="Firma">
  <pivotTables>
    <pivotTable tabId="60" name="Wykaz"/>
    <pivotTable tabId="60" name="ilosc_dziennie"/>
    <pivotTable tabId="60" name="ilosc_kolowy"/>
    <pivotTable tabId="60" name="ilosc_mc"/>
    <pivotTable tabId="60" name="m2_dziennie"/>
    <pivotTable tabId="60" name="m2_kolowy"/>
    <pivotTable tabId="60" name="m2_mc"/>
  </pivotTables>
  <data>
    <tabular pivotCacheId="309365749">
      <items count="5">
        <i x="2" s="1"/>
        <i x="3" s="1"/>
        <i x="1" s="1"/>
        <i x="0" s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Harmonogram" xr10:uid="{00000000-0013-0000-FFFF-FFFF05000000}" sourceName="Harmonogram">
  <pivotTables>
    <pivotTable tabId="60" name="Wykaz"/>
    <pivotTable tabId="60" name="ilosc_dziennie"/>
    <pivotTable tabId="60" name="ilosc_kolowy"/>
    <pivotTable tabId="60" name="ilosc_mc"/>
    <pivotTable tabId="60" name="m2_dziennie"/>
    <pivotTable tabId="60" name="m2_kolowy"/>
    <pivotTable tabId="60" name="m2_mc"/>
  </pivotTables>
  <data>
    <tabular pivotCacheId="309365749">
      <items count="8">
        <i x="1" s="1"/>
        <i x="3" s="1"/>
        <i x="2" s="1"/>
        <i x="4" s="1"/>
        <i x="0" s="1"/>
        <i x="7" s="1" nd="1"/>
        <i x="5" s="1" nd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Typ_firmy" xr10:uid="{00000000-0013-0000-FFFF-FFFF06000000}" sourceName="Typ firmy">
  <pivotTables>
    <pivotTable tabId="60" name="Wykaz"/>
    <pivotTable tabId="60" name="ilosc_dziennie"/>
    <pivotTable tabId="60" name="ilosc_kolowy"/>
    <pivotTable tabId="60" name="ilosc_mc"/>
    <pivotTable tabId="60" name="m2_dziennie"/>
    <pivotTable tabId="60" name="m2_kolowy"/>
    <pivotTable tabId="60" name="m2_mc"/>
  </pivotTables>
  <data>
    <tabular pivotCacheId="309365749">
      <items count="2"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MC" xr10:uid="{00000000-0013-0000-FFFF-FFFF07000000}" sourceName="MC">
  <pivotTables>
    <pivotTable tabId="60" name="Wykaz"/>
    <pivotTable tabId="60" name="ilosc_dziennie"/>
    <pivotTable tabId="60" name="ilosc_kolowy"/>
    <pivotTable tabId="60" name="ilosc_mc"/>
    <pivotTable tabId="60" name="m2_dziennie"/>
    <pivotTable tabId="60" name="m2_kolowy"/>
    <pivotTable tabId="60" name="m2_mc"/>
  </pivotTables>
  <data>
    <tabular pivotCacheId="309365749">
      <items count="7">
        <i x="0" s="1"/>
        <i x="1" s="1"/>
        <i x="6" s="1" nd="1"/>
        <i x="2" s="1" nd="1"/>
        <i x="3" s="1" nd="1"/>
        <i x="4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Rok" xr10:uid="{00000000-0013-0000-FFFF-FFFF08000000}" sourceName="Rok">
  <pivotTables>
    <pivotTable tabId="60" name="Wykaz"/>
    <pivotTable tabId="60" name="ilosc_dziennie"/>
    <pivotTable tabId="60" name="ilosc_kolowy"/>
    <pivotTable tabId="60" name="ilosc_mc"/>
    <pivotTable tabId="60" name="m2_dziennie"/>
    <pivotTable tabId="60" name="m2_kolowy"/>
    <pivotTable tabId="60" name="m2_mc"/>
  </pivotTables>
  <data>
    <tabular pivotCacheId="309365749">
      <items count="2"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Nazwa_elementu" xr10:uid="{00000000-0013-0000-FFFF-FFFF09000000}" sourceName="Nazwa elementu">
  <data>
    <tabular pivotCacheId="309365749">
      <items count="18">
        <i x="2" s="1"/>
        <i x="9" s="1"/>
        <i x="11" s="1"/>
        <i x="12" s="1"/>
        <i x="0" s="1"/>
        <i x="10" s="1"/>
        <i x="13" s="1"/>
        <i x="15" s="1"/>
        <i x="16" s="1"/>
        <i x="14" s="1"/>
        <i x="17" s="1"/>
        <i x="8" s="1"/>
        <i x="6" s="1"/>
        <i x="4" s="1"/>
        <i x="3" s="1"/>
        <i x="5" s="1"/>
        <i x="7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udynek 1" xr10:uid="{00000000-0014-0000-FFFF-FFFF01000000}" cache="Fragmentator_Budynek1" caption="Budynek" columnCount="3" style="SlicerStyleLight1 2" rowHeight="234950"/>
  <slicer name="Wykonanie 1" xr10:uid="{00000000-0014-0000-FFFF-FFFF02000000}" cache="Fragmentator_Wykonanie1" caption="Wykonanie" style="SlicerStyleLight1 2" rowHeight="234950"/>
  <slicer name="Gniazdo - Ściany 1" xr10:uid="{00000000-0014-0000-FFFF-FFFF03000000}" cache="Fragmentator_Gniazdo___Ściany1" caption="Gniazdo - Ściany" style="SlicerStyleLight1 2" rowHeight="234950"/>
  <slicer name="Firma" xr10:uid="{00000000-0014-0000-FFFF-FFFF04000000}" cache="Fragmentator_Firma" caption="Firma" style="SlicerStyleLight1 2" rowHeight="234950"/>
  <slicer name="Harmonogram" xr10:uid="{00000000-0014-0000-FFFF-FFFF05000000}" cache="Fragmentator_Harmonogram" caption="Harmonogram" style="SlicerStyleLight1 2" rowHeight="234950"/>
  <slicer name="Typ firmy" xr10:uid="{00000000-0014-0000-FFFF-FFFF06000000}" cache="Fragmentator_Typ_firmy" caption="Typ firmy" style="SlicerStyleLight1 2" rowHeight="234950"/>
  <slicer name="MC" xr10:uid="{00000000-0014-0000-FFFF-FFFF07000000}" cache="Fragmentator_MC" caption="MC" style="SlicerStyleLight1 2" rowHeight="234950"/>
  <slicer name="Rok" xr10:uid="{00000000-0014-0000-FFFF-FFFF08000000}" cache="Fragmentator_Rok" caption="Rok" style="SlicerStyleLight1 2" rowHeight="234950"/>
  <slicer name="Nazwa elementu" xr10:uid="{00000000-0014-0000-FFFF-FFFF09000000}" cache="Fragmentator_Nazwa_elementu" caption="Nazwa elementu" style="SlicerStyleLight1 2" rowHeight="23471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0000000-000C-0000-FFFF-FFFF00000000}" name="BAZA_Raport" displayName="BAZA_Raport" ref="A1:O1424" tableType="queryTable" totalsRowShown="0">
  <autoFilter ref="A1:O1424" xr:uid="{00000000-0009-0000-0100-000065000000}"/>
  <tableColumns count="15">
    <tableColumn id="1" xr3:uid="{00000000-0010-0000-0000-000001000000}" uniqueName="1" name="Kod elementu" queryTableFieldId="1" dataDxfId="269"/>
    <tableColumn id="2" xr3:uid="{00000000-0010-0000-0000-000002000000}" uniqueName="2" name="Nazwa elementu" queryTableFieldId="2" dataDxfId="268"/>
    <tableColumn id="3" xr3:uid="{00000000-0010-0000-0000-000003000000}" uniqueName="3" name="Budynek" queryTableFieldId="3" dataDxfId="267"/>
    <tableColumn id="4" xr3:uid="{00000000-0010-0000-0000-000004000000}" uniqueName="4" name="Data wykonania" queryTableFieldId="4" dataDxfId="266"/>
    <tableColumn id="5" xr3:uid="{00000000-0010-0000-0000-000005000000}" uniqueName="5" name="Wykonanie" queryTableFieldId="5" dataDxfId="265"/>
    <tableColumn id="6" xr3:uid="{00000000-0010-0000-0000-000006000000}" uniqueName="6" name="Nr skrzyni" queryTableFieldId="6" dataDxfId="264"/>
    <tableColumn id="7" xr3:uid="{00000000-0010-0000-0000-000007000000}" uniqueName="7" name="Gniazdo - Ściany" queryTableFieldId="7" dataDxfId="263"/>
    <tableColumn id="8" xr3:uid="{00000000-0010-0000-0000-000008000000}" uniqueName="8" name="Realizacja data pakowania" queryTableFieldId="8" dataDxfId="262"/>
    <tableColumn id="9" xr3:uid="{00000000-0010-0000-0000-000009000000}" uniqueName="9" name="Ilość" queryTableFieldId="9"/>
    <tableColumn id="10" xr3:uid="{00000000-0010-0000-0000-00000A000000}" uniqueName="10" name="Firma" queryTableFieldId="10" dataDxfId="261"/>
    <tableColumn id="11" xr3:uid="{00000000-0010-0000-0000-00000B000000}" uniqueName="11" name="Harmonogram" queryTableFieldId="11" dataDxfId="260"/>
    <tableColumn id="12" xr3:uid="{00000000-0010-0000-0000-00000C000000}" uniqueName="12" name="Powierzchnia" queryTableFieldId="12"/>
    <tableColumn id="13" xr3:uid="{00000000-0010-0000-0000-00000D000000}" uniqueName="13" name="Typ firmy" queryTableFieldId="13" dataDxfId="259"/>
    <tableColumn id="14" xr3:uid="{00000000-0010-0000-0000-00000E000000}" uniqueName="14" name="MC" queryTableFieldId="14" dataDxfId="258"/>
    <tableColumn id="15" xr3:uid="{00000000-0010-0000-0000-00000F000000}" uniqueName="15" name="Rok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01000000}" name="Wszystkie_elementy" displayName="Wszystkie_elementy" ref="B1:AD1205" tableType="queryTable" totalsRowShown="0">
  <autoFilter ref="B1:AD1205" xr:uid="{00000000-0009-0000-0100-000035000000}"/>
  <tableColumns count="29">
    <tableColumn id="1" xr3:uid="{00000000-0010-0000-0100-000001000000}" uniqueName="1" name="Element" queryTableFieldId="1" dataDxfId="257"/>
    <tableColumn id="2" xr3:uid="{00000000-0010-0000-0100-000002000000}" uniqueName="2" name="Indeks" queryTableFieldId="2"/>
    <tableColumn id="3" xr3:uid="{00000000-0010-0000-0100-000003000000}" uniqueName="3" name="Budynek" queryTableFieldId="3" dataDxfId="256"/>
    <tableColumn id="4" xr3:uid="{00000000-0010-0000-0100-000004000000}" uniqueName="4" name="Nazwa elementu" queryTableFieldId="4"/>
    <tableColumn id="5" xr3:uid="{00000000-0010-0000-0100-000005000000}" uniqueName="5" name="Moduł" queryTableFieldId="5" dataDxfId="255"/>
    <tableColumn id="6" xr3:uid="{00000000-0010-0000-0100-000006000000}" uniqueName="6" name="L ramy" queryTableFieldId="6"/>
    <tableColumn id="7" xr3:uid="{00000000-0010-0000-0100-000007000000}" uniqueName="7" name="gr całk" queryTableFieldId="7"/>
    <tableColumn id="8" xr3:uid="{00000000-0010-0000-0100-000008000000}" uniqueName="8" name="L całk" queryTableFieldId="8"/>
    <tableColumn id="9" xr3:uid="{00000000-0010-0000-0100-000009000000}" uniqueName="9" name="ciężar" queryTableFieldId="9"/>
    <tableColumn id="10" xr3:uid="{00000000-0010-0000-0100-00000A000000}" uniqueName="10" name="opis" queryTableFieldId="10"/>
    <tableColumn id="11" xr3:uid="{00000000-0010-0000-0100-00000B000000}" uniqueName="11" name="W ramy" queryTableFieldId="11"/>
    <tableColumn id="12" xr3:uid="{00000000-0010-0000-0100-00000C000000}" uniqueName="12" name="W całk" queryTableFieldId="12"/>
    <tableColumn id="13" xr3:uid="{00000000-0010-0000-0100-00000D000000}" uniqueName="13" name="pow." queryTableFieldId="13"/>
    <tableColumn id="14" xr3:uid="{00000000-0010-0000-0100-00000E000000}" uniqueName="14" name="Numer" queryTableFieldId="14" dataDxfId="254"/>
    <tableColumn id="15" xr3:uid="{00000000-0010-0000-0100-00000F000000}" uniqueName="15" name="Nazwa" queryTableFieldId="15"/>
    <tableColumn id="16" xr3:uid="{00000000-0010-0000-0100-000010000000}" uniqueName="16" name="Materiał" queryTableFieldId="16" dataDxfId="253"/>
    <tableColumn id="17" xr3:uid="{00000000-0010-0000-0100-000011000000}" uniqueName="17" name="szt." queryTableFieldId="17"/>
    <tableColumn id="18" xr3:uid="{00000000-0010-0000-0100-000012000000}" uniqueName="18" name="szer." queryTableFieldId="18"/>
    <tableColumn id="19" xr3:uid="{00000000-0010-0000-0100-000013000000}" uniqueName="19" name="H1" queryTableFieldId="19"/>
    <tableColumn id="20" xr3:uid="{00000000-0010-0000-0100-000014000000}" uniqueName="20" name="H2" queryTableFieldId="20"/>
    <tableColumn id="21" xr3:uid="{00000000-0010-0000-0100-000015000000}" uniqueName="21" name="Słupek" queryTableFieldId="21"/>
    <tableColumn id="22" xr3:uid="{00000000-0010-0000-0100-000016000000}" uniqueName="22" name="H ramy" queryTableFieldId="22"/>
    <tableColumn id="23" xr3:uid="{00000000-0010-0000-0100-000017000000}" uniqueName="23" name="H całk" queryTableFieldId="23"/>
    <tableColumn id="24" xr3:uid="{00000000-0010-0000-0100-000018000000}" uniqueName="24" name="pow. netto" queryTableFieldId="24"/>
    <tableColumn id="25" xr3:uid="{00000000-0010-0000-0100-000019000000}" uniqueName="25" name="pow. brutto" queryTableFieldId="25"/>
    <tableColumn id="26" xr3:uid="{00000000-0010-0000-0100-00001A000000}" uniqueName="26" name="długość" queryTableFieldId="26"/>
    <tableColumn id="27" xr3:uid="{00000000-0010-0000-0100-00001B000000}" uniqueName="27" name="V1" queryTableFieldId="27"/>
    <tableColumn id="28" xr3:uid="{00000000-0010-0000-0100-00001C000000}" uniqueName="28" name="klasa (grade)" queryTableFieldId="28" dataDxfId="252"/>
    <tableColumn id="29" xr3:uid="{00000000-0010-0000-0100-00001D000000}" uniqueName="29" name="kod (indeks)" queryTableFieldId="2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Attyki- Lista elementów -produkcja" displayName="Attyki__Lista_elementów__produkcja" ref="A1:L30" tableType="queryTable" totalsRowShown="0">
  <autoFilter ref="A1:L30" xr:uid="{00000000-0009-0000-0100-000008000000}"/>
  <tableColumns count="12">
    <tableColumn id="13" xr3:uid="{00000000-0010-0000-0200-00000D000000}" uniqueName="13" name="Budynek" queryTableFieldId="1" dataDxfId="251"/>
    <tableColumn id="14" xr3:uid="{00000000-0010-0000-0200-00000E000000}" uniqueName="14" name="Element" queryTableFieldId="2" dataDxfId="250"/>
    <tableColumn id="15" xr3:uid="{00000000-0010-0000-0200-00000F000000}" uniqueName="15" name="Słupek" queryTableFieldId="3"/>
    <tableColumn id="16" xr3:uid="{00000000-0010-0000-0200-000010000000}" uniqueName="16" name="L ramy" queryTableFieldId="4"/>
    <tableColumn id="17" xr3:uid="{00000000-0010-0000-0200-000011000000}" uniqueName="17" name="H ramy" queryTableFieldId="5"/>
    <tableColumn id="18" xr3:uid="{00000000-0010-0000-0200-000012000000}" uniqueName="18" name="gr całk" queryTableFieldId="6"/>
    <tableColumn id="19" xr3:uid="{00000000-0010-0000-0200-000013000000}" uniqueName="19" name="L całk" queryTableFieldId="7"/>
    <tableColumn id="20" xr3:uid="{00000000-0010-0000-0200-000014000000}" uniqueName="20" name="H całk" queryTableFieldId="8"/>
    <tableColumn id="21" xr3:uid="{00000000-0010-0000-0200-000015000000}" uniqueName="21" name="pow. netto" queryTableFieldId="9"/>
    <tableColumn id="22" xr3:uid="{00000000-0010-0000-0200-000016000000}" uniqueName="22" name="pow. brutto" queryTableFieldId="10"/>
    <tableColumn id="23" xr3:uid="{00000000-0010-0000-0200-000017000000}" uniqueName="23" name="ciężar" queryTableFieldId="11"/>
    <tableColumn id="24" xr3:uid="{00000000-0010-0000-0200-000018000000}" uniqueName="24" name="opis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Attyki- Lista elementów -budowa" displayName="Attyki__Lista_elementów__budowa" ref="A1:L8" tableType="queryTable" totalsRowShown="0">
  <autoFilter ref="A1:L8" xr:uid="{00000000-0009-0000-0100-000009000000}"/>
  <tableColumns count="12">
    <tableColumn id="13" xr3:uid="{00000000-0010-0000-0300-00000D000000}" uniqueName="13" name="Budynek" queryTableFieldId="1" dataDxfId="249"/>
    <tableColumn id="14" xr3:uid="{00000000-0010-0000-0300-00000E000000}" uniqueName="14" name="Element" queryTableFieldId="2" dataDxfId="248"/>
    <tableColumn id="15" xr3:uid="{00000000-0010-0000-0300-00000F000000}" uniqueName="15" name="Słupek" queryTableFieldId="3"/>
    <tableColumn id="16" xr3:uid="{00000000-0010-0000-0300-000010000000}" uniqueName="16" name="L ramy" queryTableFieldId="4"/>
    <tableColumn id="17" xr3:uid="{00000000-0010-0000-0300-000011000000}" uniqueName="17" name="H ramy" queryTableFieldId="5"/>
    <tableColumn id="18" xr3:uid="{00000000-0010-0000-0300-000012000000}" uniqueName="18" name="gr całk" queryTableFieldId="6"/>
    <tableColumn id="19" xr3:uid="{00000000-0010-0000-0300-000013000000}" uniqueName="19" name="L całk" queryTableFieldId="7"/>
    <tableColumn id="20" xr3:uid="{00000000-0010-0000-0300-000014000000}" uniqueName="20" name="H całk" queryTableFieldId="8"/>
    <tableColumn id="21" xr3:uid="{00000000-0010-0000-0300-000015000000}" uniqueName="21" name="pow. netto" queryTableFieldId="9"/>
    <tableColumn id="22" xr3:uid="{00000000-0010-0000-0300-000016000000}" uniqueName="22" name="pow. brutto" queryTableFieldId="10"/>
    <tableColumn id="23" xr3:uid="{00000000-0010-0000-0300-000017000000}" uniqueName="23" name="ciężar" queryTableFieldId="11"/>
    <tableColumn id="24" xr3:uid="{00000000-0010-0000-0300-000018000000}" uniqueName="24" name="opis" queryTableFieldId="1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Obudowy szachtów- Lista elementów -produkcja" displayName="Obudowy_szachtów__Lista_elementów__produkcja" ref="A1:L81" tableType="queryTable" totalsRowShown="0">
  <autoFilter ref="A1:L81" xr:uid="{00000000-0009-0000-0100-00000D000000}"/>
  <tableColumns count="12">
    <tableColumn id="13" xr3:uid="{00000000-0010-0000-0400-00000D000000}" uniqueName="13" name="Budynek" queryTableFieldId="1" dataDxfId="247"/>
    <tableColumn id="14" xr3:uid="{00000000-0010-0000-0400-00000E000000}" uniqueName="14" name="Element" queryTableFieldId="2" dataDxfId="246"/>
    <tableColumn id="15" xr3:uid="{00000000-0010-0000-0400-00000F000000}" uniqueName="15" name="Słupek" queryTableFieldId="3"/>
    <tableColumn id="16" xr3:uid="{00000000-0010-0000-0400-000010000000}" uniqueName="16" name="L ramy" queryTableFieldId="4"/>
    <tableColumn id="17" xr3:uid="{00000000-0010-0000-0400-000011000000}" uniqueName="17" name="H ramy" queryTableFieldId="5"/>
    <tableColumn id="18" xr3:uid="{00000000-0010-0000-0400-000012000000}" uniqueName="18" name="gr całk" queryTableFieldId="6"/>
    <tableColumn id="19" xr3:uid="{00000000-0010-0000-0400-000013000000}" uniqueName="19" name="L całk" queryTableFieldId="7"/>
    <tableColumn id="20" xr3:uid="{00000000-0010-0000-0400-000014000000}" uniqueName="20" name="H całk" queryTableFieldId="8"/>
    <tableColumn id="21" xr3:uid="{00000000-0010-0000-0400-000015000000}" uniqueName="21" name="pow. netto" queryTableFieldId="9"/>
    <tableColumn id="22" xr3:uid="{00000000-0010-0000-0400-000016000000}" uniqueName="22" name="pow. brutto" queryTableFieldId="10"/>
    <tableColumn id="23" xr3:uid="{00000000-0010-0000-0400-000017000000}" uniqueName="23" name="ciężar" queryTableFieldId="11"/>
    <tableColumn id="24" xr3:uid="{00000000-0010-0000-0400-000018000000}" uniqueName="24" name="opis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5000000}" name="Obudowy szachtów- Lista elementów -budowa" displayName="Obudowy_szachtów__Lista_elementów__budowa" ref="A1:L57" tableType="queryTable" totalsRowShown="0">
  <autoFilter ref="A1:L57" xr:uid="{00000000-0009-0000-0100-00000E000000}"/>
  <tableColumns count="12">
    <tableColumn id="13" xr3:uid="{00000000-0010-0000-0500-00000D000000}" uniqueName="13" name="Budynek" queryTableFieldId="1" dataDxfId="245"/>
    <tableColumn id="14" xr3:uid="{00000000-0010-0000-0500-00000E000000}" uniqueName="14" name="Element" queryTableFieldId="2" dataDxfId="244"/>
    <tableColumn id="15" xr3:uid="{00000000-0010-0000-0500-00000F000000}" uniqueName="15" name="Słupek" queryTableFieldId="3"/>
    <tableColumn id="16" xr3:uid="{00000000-0010-0000-0500-000010000000}" uniqueName="16" name="L ramy" queryTableFieldId="4"/>
    <tableColumn id="17" xr3:uid="{00000000-0010-0000-0500-000011000000}" uniqueName="17" name="H ramy" queryTableFieldId="5"/>
    <tableColumn id="18" xr3:uid="{00000000-0010-0000-0500-000012000000}" uniqueName="18" name="gr całk" queryTableFieldId="6"/>
    <tableColumn id="19" xr3:uid="{00000000-0010-0000-0500-000013000000}" uniqueName="19" name="L całk" queryTableFieldId="7"/>
    <tableColumn id="20" xr3:uid="{00000000-0010-0000-0500-000014000000}" uniqueName="20" name="H całk" queryTableFieldId="8"/>
    <tableColumn id="21" xr3:uid="{00000000-0010-0000-0500-000015000000}" uniqueName="21" name="pow. netto" queryTableFieldId="9"/>
    <tableColumn id="22" xr3:uid="{00000000-0010-0000-0500-000016000000}" uniqueName="22" name="pow. brutto" queryTableFieldId="10"/>
    <tableColumn id="23" xr3:uid="{00000000-0010-0000-0500-000017000000}" uniqueName="23" name="ciężar" queryTableFieldId="11"/>
    <tableColumn id="24" xr3:uid="{00000000-0010-0000-0500-000018000000}" uniqueName="24" name="opis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6000000}" name="Trapy balkonów - lista klinów" displayName="Trapy_balkonów___lista_klinów" ref="A1:M91" tableType="queryTable" totalsRowShown="0">
  <autoFilter ref="A1:M91" xr:uid="{00000000-0009-0000-0100-00000F000000}"/>
  <tableColumns count="13">
    <tableColumn id="14" xr3:uid="{00000000-0010-0000-0600-00000E000000}" uniqueName="14" name="Element" queryTableFieldId="1" dataDxfId="243"/>
    <tableColumn id="15" xr3:uid="{00000000-0010-0000-0600-00000F000000}" uniqueName="15" name="Numer" queryTableFieldId="2"/>
    <tableColumn id="16" xr3:uid="{00000000-0010-0000-0600-000010000000}" uniqueName="16" name="Nazwa" queryTableFieldId="3"/>
    <tableColumn id="17" xr3:uid="{00000000-0010-0000-0600-000011000000}" uniqueName="17" name="Materiał" queryTableFieldId="4" dataDxfId="242"/>
    <tableColumn id="18" xr3:uid="{00000000-0010-0000-0600-000012000000}" uniqueName="18" name="szt." queryTableFieldId="5"/>
    <tableColumn id="19" xr3:uid="{00000000-0010-0000-0600-000013000000}" uniqueName="19" name="szer." queryTableFieldId="6"/>
    <tableColumn id="20" xr3:uid="{00000000-0010-0000-0600-000014000000}" uniqueName="20" name="H1" queryTableFieldId="7"/>
    <tableColumn id="21" xr3:uid="{00000000-0010-0000-0600-000015000000}" uniqueName="21" name="H2" queryTableFieldId="8"/>
    <tableColumn id="22" xr3:uid="{00000000-0010-0000-0600-000016000000}" uniqueName="22" name="długość" queryTableFieldId="9"/>
    <tableColumn id="23" xr3:uid="{00000000-0010-0000-0600-000017000000}" uniqueName="23" name="V1" queryTableFieldId="10"/>
    <tableColumn id="24" xr3:uid="{00000000-0010-0000-0600-000018000000}" uniqueName="24" name="pow." queryTableFieldId="11"/>
    <tableColumn id="25" xr3:uid="{00000000-0010-0000-0600-000019000000}" uniqueName="25" name="klasa (grade)" queryTableFieldId="12" dataDxfId="241"/>
    <tableColumn id="26" xr3:uid="{00000000-0010-0000-0600-00001A000000}" uniqueName="26" name="kod (indeks)" queryTableFieldId="1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7000000}" name="Trapy balkonów - lista elementów" displayName="Trapy_balkonów___lista_elementów" ref="A1:J31" tableType="queryTable" totalsRowShown="0">
  <autoFilter ref="A1:J31" xr:uid="{00000000-0009-0000-0100-000010000000}"/>
  <tableColumns count="10">
    <tableColumn id="11" xr3:uid="{00000000-0010-0000-0700-00000B000000}" uniqueName="11" name="Budynek" queryTableFieldId="1" dataDxfId="240"/>
    <tableColumn id="12" xr3:uid="{00000000-0010-0000-0700-00000C000000}" uniqueName="12" name="Element" queryTableFieldId="2" dataDxfId="239"/>
    <tableColumn id="13" xr3:uid="{00000000-0010-0000-0700-00000D000000}" uniqueName="13" name="W ramy" queryTableFieldId="3"/>
    <tableColumn id="14" xr3:uid="{00000000-0010-0000-0700-00000E000000}" uniqueName="14" name="L ramy" queryTableFieldId="4"/>
    <tableColumn id="15" xr3:uid="{00000000-0010-0000-0700-00000F000000}" uniqueName="15" name="gr całk" queryTableFieldId="5"/>
    <tableColumn id="16" xr3:uid="{00000000-0010-0000-0700-000010000000}" uniqueName="16" name="W całk" queryTableFieldId="6"/>
    <tableColumn id="17" xr3:uid="{00000000-0010-0000-0700-000011000000}" uniqueName="17" name="L całk" queryTableFieldId="7"/>
    <tableColumn id="18" xr3:uid="{00000000-0010-0000-0700-000012000000}" uniqueName="18" name="pow." queryTableFieldId="8"/>
    <tableColumn id="19" xr3:uid="{00000000-0010-0000-0700-000013000000}" uniqueName="19" name="ciężar" queryTableFieldId="9"/>
    <tableColumn id="20" xr3:uid="{00000000-0010-0000-0700-000014000000}" uniqueName="20" name="opis" queryTableFieldId="1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8000000}" name="Balkony - lista elementów" displayName="Balkony___lista_elementów" ref="A1:J31" tableType="queryTable" totalsRowShown="0">
  <autoFilter ref="A1:J31" xr:uid="{00000000-0009-0000-0100-000011000000}"/>
  <tableColumns count="10">
    <tableColumn id="11" xr3:uid="{00000000-0010-0000-0800-00000B000000}" uniqueName="11" name="Budynek" queryTableFieldId="1" dataDxfId="238"/>
    <tableColumn id="12" xr3:uid="{00000000-0010-0000-0800-00000C000000}" uniqueName="12" name="Element" queryTableFieldId="2" dataDxfId="237"/>
    <tableColumn id="13" xr3:uid="{00000000-0010-0000-0800-00000D000000}" uniqueName="13" name="W ramy" queryTableFieldId="3"/>
    <tableColumn id="14" xr3:uid="{00000000-0010-0000-0800-00000E000000}" uniqueName="14" name="L ramy" queryTableFieldId="4"/>
    <tableColumn id="15" xr3:uid="{00000000-0010-0000-0800-00000F000000}" uniqueName="15" name="gr całk" queryTableFieldId="5"/>
    <tableColumn id="16" xr3:uid="{00000000-0010-0000-0800-000010000000}" uniqueName="16" name="W całk" queryTableFieldId="6"/>
    <tableColumn id="17" xr3:uid="{00000000-0010-0000-0800-000011000000}" uniqueName="17" name="L całk" queryTableFieldId="7"/>
    <tableColumn id="18" xr3:uid="{00000000-0010-0000-0800-000012000000}" uniqueName="18" name="pow." queryTableFieldId="8"/>
    <tableColumn id="19" xr3:uid="{00000000-0010-0000-0800-000013000000}" uniqueName="19" name="ciężar" queryTableFieldId="9"/>
    <tableColumn id="20" xr3:uid="{00000000-0010-0000-0800-000014000000}" uniqueName="20" name="opis" queryTableFieldId="1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9000000}" name="Balkony - lista klinów" displayName="Balkony___lista_klinów" ref="A1:M91" tableType="queryTable" totalsRowShown="0">
  <autoFilter ref="A1:M91" xr:uid="{00000000-0009-0000-0100-000012000000}"/>
  <tableColumns count="13">
    <tableColumn id="14" xr3:uid="{00000000-0010-0000-0900-00000E000000}" uniqueName="14" name="Element" queryTableFieldId="1" dataDxfId="236"/>
    <tableColumn id="15" xr3:uid="{00000000-0010-0000-0900-00000F000000}" uniqueName="15" name="Numer" queryTableFieldId="2"/>
    <tableColumn id="16" xr3:uid="{00000000-0010-0000-0900-000010000000}" uniqueName="16" name="Nazwa" queryTableFieldId="3"/>
    <tableColumn id="17" xr3:uid="{00000000-0010-0000-0900-000011000000}" uniqueName="17" name="Materiał" queryTableFieldId="4" dataDxfId="235"/>
    <tableColumn id="18" xr3:uid="{00000000-0010-0000-0900-000012000000}" uniqueName="18" name="szt." queryTableFieldId="5"/>
    <tableColumn id="19" xr3:uid="{00000000-0010-0000-0900-000013000000}" uniqueName="19" name="szer." queryTableFieldId="6"/>
    <tableColumn id="20" xr3:uid="{00000000-0010-0000-0900-000014000000}" uniqueName="20" name="H1" queryTableFieldId="7"/>
    <tableColumn id="21" xr3:uid="{00000000-0010-0000-0900-000015000000}" uniqueName="21" name="H2" queryTableFieldId="8"/>
    <tableColumn id="22" xr3:uid="{00000000-0010-0000-0900-000016000000}" uniqueName="22" name="długość" queryTableFieldId="9"/>
    <tableColumn id="23" xr3:uid="{00000000-0010-0000-0900-000017000000}" uniqueName="23" name="V1" queryTableFieldId="10"/>
    <tableColumn id="24" xr3:uid="{00000000-0010-0000-0900-000018000000}" uniqueName="24" name="pow." queryTableFieldId="11"/>
    <tableColumn id="25" xr3:uid="{00000000-0010-0000-0900-000019000000}" uniqueName="25" name="klasa (grade)" queryTableFieldId="12" dataDxfId="234"/>
    <tableColumn id="26" xr3:uid="{00000000-0010-0000-0900-00001A000000}" uniqueName="26" name="kod (indeks)" queryTableFieldId="1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A000000}" name="Obudowy szachtów- Lista elementów -budowa cz" displayName="Obudowy_szachtów__Lista_elementów__budowa_cz" ref="A1:L5" tableType="queryTable" totalsRowShown="0">
  <autoFilter ref="A1:L5" xr:uid="{00000000-0009-0000-0100-000016000000}"/>
  <tableColumns count="12">
    <tableColumn id="13" xr3:uid="{00000000-0010-0000-0A00-00000D000000}" uniqueName="13" name="Budynek" queryTableFieldId="1" dataDxfId="233"/>
    <tableColumn id="14" xr3:uid="{00000000-0010-0000-0A00-00000E000000}" uniqueName="14" name="Element" queryTableFieldId="2" dataDxfId="232"/>
    <tableColumn id="15" xr3:uid="{00000000-0010-0000-0A00-00000F000000}" uniqueName="15" name="Słupek" queryTableFieldId="3"/>
    <tableColumn id="16" xr3:uid="{00000000-0010-0000-0A00-000010000000}" uniqueName="16" name="L ramy" queryTableFieldId="4"/>
    <tableColumn id="17" xr3:uid="{00000000-0010-0000-0A00-000011000000}" uniqueName="17" name="H ramy" queryTableFieldId="5"/>
    <tableColumn id="18" xr3:uid="{00000000-0010-0000-0A00-000012000000}" uniqueName="18" name="gr całk" queryTableFieldId="6"/>
    <tableColumn id="19" xr3:uid="{00000000-0010-0000-0A00-000013000000}" uniqueName="19" name="L całk" queryTableFieldId="7"/>
    <tableColumn id="20" xr3:uid="{00000000-0010-0000-0A00-000014000000}" uniqueName="20" name="H całk" queryTableFieldId="8"/>
    <tableColumn id="21" xr3:uid="{00000000-0010-0000-0A00-000015000000}" uniqueName="21" name="pow. netto" queryTableFieldId="9"/>
    <tableColumn id="22" xr3:uid="{00000000-0010-0000-0A00-000016000000}" uniqueName="22" name="pow. brutto" queryTableFieldId="10"/>
    <tableColumn id="23" xr3:uid="{00000000-0010-0000-0A00-000017000000}" uniqueName="23" name="ciężar" queryTableFieldId="11"/>
    <tableColumn id="24" xr3:uid="{00000000-0010-0000-0A00-000018000000}" uniqueName="24" name="opis" queryTableFieldId="1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B000000}" name="Obudowy szachtów- Lista elementów -produkcja cz" displayName="Obudowy_szachtów__Lista_elementów__produkcja_cz" ref="A1:L4" tableType="queryTable" totalsRowShown="0">
  <autoFilter ref="A1:L4" xr:uid="{00000000-0009-0000-0100-000017000000}"/>
  <tableColumns count="12">
    <tableColumn id="13" xr3:uid="{00000000-0010-0000-0B00-00000D000000}" uniqueName="13" name="Budynek" queryTableFieldId="1" dataDxfId="231"/>
    <tableColumn id="14" xr3:uid="{00000000-0010-0000-0B00-00000E000000}" uniqueName="14" name="Element" queryTableFieldId="2" dataDxfId="230"/>
    <tableColumn id="15" xr3:uid="{00000000-0010-0000-0B00-00000F000000}" uniqueName="15" name="Słupek" queryTableFieldId="3"/>
    <tableColumn id="16" xr3:uid="{00000000-0010-0000-0B00-000010000000}" uniqueName="16" name="L ramy" queryTableFieldId="4"/>
    <tableColumn id="17" xr3:uid="{00000000-0010-0000-0B00-000011000000}" uniqueName="17" name="H ramy" queryTableFieldId="5"/>
    <tableColumn id="18" xr3:uid="{00000000-0010-0000-0B00-000012000000}" uniqueName="18" name="gr całk" queryTableFieldId="6"/>
    <tableColumn id="19" xr3:uid="{00000000-0010-0000-0B00-000013000000}" uniqueName="19" name="L całk" queryTableFieldId="7"/>
    <tableColumn id="20" xr3:uid="{00000000-0010-0000-0B00-000014000000}" uniqueName="20" name="H całk" queryTableFieldId="8"/>
    <tableColumn id="21" xr3:uid="{00000000-0010-0000-0B00-000015000000}" uniqueName="21" name="pow. netto" queryTableFieldId="9"/>
    <tableColumn id="22" xr3:uid="{00000000-0010-0000-0B00-000016000000}" uniqueName="22" name="pow. brutto" queryTableFieldId="10"/>
    <tableColumn id="23" xr3:uid="{00000000-0010-0000-0B00-000017000000}" uniqueName="23" name="ciężar" queryTableFieldId="11"/>
    <tableColumn id="24" xr3:uid="{00000000-0010-0000-0B00-000018000000}" uniqueName="24" name="opis" queryTableFieldId="1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C000000}" name="Dobitka przy kotłowni - Lista elementów" displayName="Dobitka_przy_kotłowni___Lista_elementów" ref="A1:L3" tableType="queryTable" totalsRowShown="0">
  <autoFilter ref="A1:L3" xr:uid="{00000000-0009-0000-0100-000018000000}"/>
  <tableColumns count="12">
    <tableColumn id="13" xr3:uid="{00000000-0010-0000-0C00-00000D000000}" uniqueName="13" name="Budynek" queryTableFieldId="1" dataDxfId="229"/>
    <tableColumn id="14" xr3:uid="{00000000-0010-0000-0C00-00000E000000}" uniqueName="14" name="Element" queryTableFieldId="2" dataDxfId="228"/>
    <tableColumn id="15" xr3:uid="{00000000-0010-0000-0C00-00000F000000}" uniqueName="15" name="Słupek" queryTableFieldId="3"/>
    <tableColumn id="16" xr3:uid="{00000000-0010-0000-0C00-000010000000}" uniqueName="16" name="L ramy" queryTableFieldId="4"/>
    <tableColumn id="17" xr3:uid="{00000000-0010-0000-0C00-000011000000}" uniqueName="17" name="H ramy" queryTableFieldId="5"/>
    <tableColumn id="18" xr3:uid="{00000000-0010-0000-0C00-000012000000}" uniqueName="18" name="gr całk" queryTableFieldId="6"/>
    <tableColumn id="19" xr3:uid="{00000000-0010-0000-0C00-000013000000}" uniqueName="19" name="L całk" queryTableFieldId="7"/>
    <tableColumn id="20" xr3:uid="{00000000-0010-0000-0C00-000014000000}" uniqueName="20" name="H całk" queryTableFieldId="8"/>
    <tableColumn id="21" xr3:uid="{00000000-0010-0000-0C00-000015000000}" uniqueName="21" name="pow. netto" queryTableFieldId="9"/>
    <tableColumn id="22" xr3:uid="{00000000-0010-0000-0C00-000016000000}" uniqueName="22" name="pow. brutto" queryTableFieldId="10"/>
    <tableColumn id="23" xr3:uid="{00000000-0010-0000-0C00-000017000000}" uniqueName="23" name="ciężar" queryTableFieldId="11"/>
    <tableColumn id="24" xr3:uid="{00000000-0010-0000-0C00-000018000000}" uniqueName="24" name="opis" queryTableFieldId="1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D000000}" name="Tabela_query" displayName="Tabela_query" ref="A10:L24" tableType="queryTable" totalsRowShown="0">
  <autoFilter ref="A10:L24" xr:uid="{00000000-0009-0000-0100-000003000000}">
    <filterColumn colId="6">
      <filters>
        <filter val="Tak"/>
      </filters>
    </filterColumn>
  </autoFilter>
  <sortState xmlns:xlrd2="http://schemas.microsoft.com/office/spreadsheetml/2017/richdata2" ref="A11:L24">
    <sortCondition ref="B10:B24"/>
  </sortState>
  <tableColumns count="12">
    <tableColumn id="1" xr3:uid="{00000000-0010-0000-0D00-000001000000}" uniqueName="FileLeafRef" name="Nazwa" queryTableFieldId="5" dataCellStyle="Hiperłącze"/>
    <tableColumn id="2" xr3:uid="{00000000-0010-0000-0D00-000002000000}" uniqueName="Modified" name="Zmodyfikowane" queryTableFieldId="1" dataDxfId="227" dataCellStyle="Normalny 6"/>
    <tableColumn id="3" xr3:uid="{00000000-0010-0000-0D00-000003000000}" uniqueName="Editor" name="Zmodyfikowane przez" queryTableFieldId="2" dataDxfId="226" dataCellStyle="Normalny 6"/>
    <tableColumn id="4" xr3:uid="{00000000-0010-0000-0D00-000004000000}" uniqueName="FSObjType" name="Typ elementu" queryTableFieldId="4" dataDxfId="225" dataCellStyle="Normalny 6"/>
    <tableColumn id="5" xr3:uid="{00000000-0010-0000-0D00-000005000000}" uniqueName="FileDirRef" name="Ścieżka" queryTableFieldId="3" dataDxfId="224" dataCellStyle="Normalny 6"/>
    <tableColumn id="8" xr3:uid="{00000000-0010-0000-0D00-000008000000}" uniqueName="8" name="Nazwa2" queryTableFieldId="8" dataDxfId="223" dataCellStyle="Normalny 6"/>
    <tableColumn id="9" xr3:uid="{00000000-0010-0000-0D00-000009000000}" uniqueName="9" name="czy brać" queryTableFieldId="9" dataDxfId="222" dataCellStyle="Normalny 6">
      <calculatedColumnFormula>IF(OR(RIGHT(Tabela_query[[#This Row],[Nazwa]],4)&lt;&gt;"xlsx",ISNUMBER(FIND("Nieaktualne",E11,1))),"Nie","Tak")</calculatedColumnFormula>
    </tableColumn>
    <tableColumn id="10" xr3:uid="{00000000-0010-0000-0D00-00000A000000}" uniqueName="10" name="Rodzaj makra" queryTableFieldId="10" dataDxfId="221" dataCellStyle="Normalny 6">
      <calculatedColumnFormula array="1">IF(Tabela_query[[#This Row],[czy brać]]="TAK",INDEX(Skróty_elementów[Arkusz z którego pobiera dane],MATCH(1,COUNTIF(A11,"*"&amp;Skróty_elementów[Ciąg znaków wyszukiwany w nazwie]&amp;"*"),0),1),"Nie")</calculatedColumnFormula>
    </tableColumn>
    <tableColumn id="11" xr3:uid="{00000000-0010-0000-0D00-00000B000000}" uniqueName="11" name="Nazwaa" queryTableFieldId="11" dataDxfId="220" dataCellStyle="Normalny 6">
      <calculatedColumnFormula>LEFT(A11,FIND(CHAR(46),A11)-1)</calculatedColumnFormula>
    </tableColumn>
    <tableColumn id="7" xr3:uid="{00000000-0010-0000-0D00-000007000000}" uniqueName="7" name="Sprawdzenie " queryTableFieldId="12" dataDxfId="219" dataCellStyle="Normalny 6">
      <calculatedColumnFormula>IF(OR(RIGHT(Tabela_query[[#This Row],[Nazwa]],4)&lt;&gt;"xlsx",ISNUMBER(FIND("Nieaktualne",H11,1))),"Nie","Tak")</calculatedColumnFormula>
    </tableColumn>
    <tableColumn id="6" xr3:uid="{00000000-0010-0000-0D00-000006000000}" uniqueName="6" name="Czy dodane" queryTableFieldId="15" dataDxfId="218" dataCellStyle="Normalny 6"/>
    <tableColumn id="12" xr3:uid="{00000000-0010-0000-0D00-00000C000000}" uniqueName="12" name="Data dodania" queryTableFieldId="16" dataDxfId="217" dataCellStyle="Normalny 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E000000}" name="Skróty_elementów" displayName="Skróty_elementów" ref="Q10:V45" tableType="queryTable" totalsRowShown="0" dataCellStyle="Normalny 6">
  <autoFilter ref="Q10:V45" xr:uid="{00000000-0009-0000-0100-00000B000000}"/>
  <tableColumns count="6">
    <tableColumn id="1" xr3:uid="{00000000-0010-0000-0E00-000001000000}" uniqueName="1" name="Skrót" queryTableFieldId="1" dataCellStyle="Normalny 6"/>
    <tableColumn id="2" xr3:uid="{00000000-0010-0000-0E00-000002000000}" uniqueName="2" name="Nazwa" queryTableFieldId="2" dataCellStyle="Normalny 6"/>
    <tableColumn id="3" xr3:uid="{00000000-0010-0000-0E00-000003000000}" uniqueName="3" name="Element" queryTableFieldId="3" dataCellStyle="Normalny 6"/>
    <tableColumn id="4" xr3:uid="{00000000-0010-0000-0E00-000004000000}" uniqueName="4" name="Ciąg znaków wyszukiwany w nazwie" queryTableFieldId="4" dataCellStyle="Normalny 6"/>
    <tableColumn id="5" xr3:uid="{00000000-0010-0000-0E00-000005000000}" uniqueName="5" name="Arkusz z którego pobiera dane" queryTableFieldId="5" dataCellStyle="Normalny 6"/>
    <tableColumn id="6" xr3:uid="{00000000-0010-0000-0E00-000006000000}" uniqueName="6" name="Column6" queryTableFieldId="6" dataCellStyle="Normalny 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F000000}" name="Harm_produkcji" displayName="Harm_produkcji" ref="A7:U14" totalsRowShown="0" headerRowDxfId="196" dataDxfId="194" headerRowBorderDxfId="195" tableBorderDxfId="193">
  <autoFilter ref="A7:U14" xr:uid="{00000000-0009-0000-0100-000001000000}"/>
  <tableColumns count="21">
    <tableColumn id="1" xr3:uid="{00000000-0010-0000-0F00-000001000000}" name="LP" dataDxfId="192" dataCellStyle="Normalny 3 2"/>
    <tableColumn id="2" xr3:uid="{00000000-0010-0000-0F00-000002000000}" name="Kontrakt" dataDxfId="191" dataCellStyle="Normalny 3 2"/>
    <tableColumn id="3" xr3:uid="{00000000-0010-0000-0F00-000003000000}" name="Element" dataDxfId="190" dataCellStyle="Normalny 3 2"/>
    <tableColumn id="4" xr3:uid="{00000000-0010-0000-0F00-000004000000}" name="Budynek" dataDxfId="189" dataCellStyle="Normalny 3 2"/>
    <tableColumn id="5" xr3:uid="{00000000-0010-0000-0F00-000005000000}" name="Planowana data przekazania dokumentacji" dataDxfId="188" dataCellStyle="Normalny 3 2"/>
    <tableColumn id="6" xr3:uid="{00000000-0010-0000-0F00-000006000000}" name="Uwagi DP" dataDxfId="187"/>
    <tableColumn id="7" xr3:uid="{00000000-0010-0000-0F00-000007000000}" name="Miejsce wykonania" dataDxfId="186"/>
    <tableColumn id="22" xr3:uid="{00000000-0010-0000-0F00-000016000000}" name="Miejsce montażu" dataDxfId="185" dataCellStyle="Normalny 3 2 2 2"/>
    <tableColumn id="20" xr3:uid="{00000000-0010-0000-0F00-000014000000}" name="Podwykonawca" dataDxfId="184" dataCellStyle="Normalny 3 2 2 2"/>
    <tableColumn id="9" xr3:uid="{00000000-0010-0000-0F00-000009000000}" name="Przedmiar" dataDxfId="183"/>
    <tableColumn id="21" xr3:uid="{00000000-0010-0000-0F00-000015000000}" name="Sposób pakowania" dataDxfId="182" dataCellStyle="Normalny 3 2 2"/>
    <tableColumn id="12" xr3:uid="{00000000-0010-0000-0F00-00000C000000}" name="Uwagi KP" dataDxfId="181"/>
    <tableColumn id="19" xr3:uid="{00000000-0010-0000-0F00-000013000000}" name="Data wymagalności" dataDxfId="180" dataCellStyle="Normalny 3 2 2">
      <calculatedColumnFormula>IF(Harm_produkcji[[#This Row],[Planowana data przekazania dokumentacji]]="","",IF(Harm_produkcji[[#This Row],[Miejsce montażu]]="produkcja",WORKDAY(VLOOKUP(Harm_produkcji[[#This Row],[Budynek]],$L$2:$M$5,2,FALSE),0),WORKDAY(VLOOKUP(Harm_produkcji[[#This Row],[Budynek]],$D$2:$E$5,2,FALSE),0)))</calculatedColumnFormula>
    </tableColumn>
    <tableColumn id="14" xr3:uid="{00000000-0010-0000-0F00-00000E000000}" name="Ilość dni od spływu dokumentacji do wymagalności" dataDxfId="179" dataCellStyle="Normalny 3 2 2">
      <calculatedColumnFormula>IF(Harm_produkcji[[#This Row],[Planowana data przekazania dokumentacji]]="","",NETWORKDAYS(Harm_produkcji[[#This Row],[Planowana data przekazania dokumentacji]],Harm_produkcji[[#This Row],[Data wymagalności]]))</calculatedColumnFormula>
    </tableColumn>
    <tableColumn id="23" xr3:uid="{00000000-0010-0000-0F00-000017000000}" name="ilość dni roboczych pozostałych do wymagalności" dataDxfId="178" dataCellStyle="Normalny 3 2 2">
      <calculatedColumnFormula>IF(Harm_produkcji[[#This Row],[Planowana data przekazania dokumentacji]]="","",IF(Harm_produkcji[[#This Row],[Status]]&lt;&gt;"zakończone",NETWORKDAYS(TODAY(),Harm_produkcji[[#This Row],[Data wymagalności]]),""))</calculatedColumnFormula>
    </tableColumn>
    <tableColumn id="11" xr3:uid="{00000000-0010-0000-0F00-00000B000000}" name="Data dodania do harmonogramu produkcji" dataDxfId="177" dataCellStyle="Normalny 3 2 2"/>
    <tableColumn id="13" xr3:uid="{00000000-0010-0000-0F00-00000D000000}" name="Czy jest zagrożenie wysyłki" dataDxfId="176" dataCellStyle="Normalny 3 2 2">
      <calculatedColumnFormula>IF(AND(Harm_produkcji[[#This Row],[ilość dni roboczych pozostałych do wymagalności]]&lt;30,Harm_produkcji[[#This Row],[Status]]&lt;&gt;"zakończone",Harm_produkcji[[#This Row],[Miejsce montażu]]="budowa"),"zagrożenie",IF(AND(Harm_produkcji[[#This Row],[ilość dni roboczych pozostałych do wymagalności]]&lt;3,Harm_produkcji[[#This Row],[Status]]&lt;&gt;"zakończone",Harm_produkcji[[#This Row],[Miejsce montażu]]="produkcja"),"zagrożenie",""))</calculatedColumnFormula>
    </tableColumn>
    <tableColumn id="16" xr3:uid="{00000000-0010-0000-0F00-000010000000}" name="Majster" dataDxfId="175">
      <calculatedColumnFormula>VLOOKUP(Harm_produkcji[[#This Row],[Miejsce wykonania]],listy_wyboru[],2,0)</calculatedColumnFormula>
    </tableColumn>
    <tableColumn id="18" xr3:uid="{00000000-0010-0000-0F00-000012000000}" name="Status" dataDxfId="174" dataCellStyle="Normalny 3 2 2"/>
    <tableColumn id="17" xr3:uid="{00000000-0010-0000-0F00-000011000000}" name="Data wykonania" dataDxfId="173" dataCellStyle="Normalny 3 2 2"/>
    <tableColumn id="15" xr3:uid="{00000000-0010-0000-0F00-00000F000000}" name="Uwagi Prod" dataDxfId="17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0000000-000C-0000-FFFF-FFFF10000000}" name="listy_wyboru" displayName="listy_wyboru" ref="A1:F9" tableType="queryTable" totalsRowShown="0">
  <autoFilter ref="A1:F9" xr:uid="{00000000-0009-0000-0100-000064000000}"/>
  <tableColumns count="6">
    <tableColumn id="1" xr3:uid="{00000000-0010-0000-1000-000001000000}" uniqueName="1" name="Miejsce wykonania" queryTableFieldId="1"/>
    <tableColumn id="2" xr3:uid="{00000000-0010-0000-1000-000002000000}" uniqueName="2" name="Majster" queryTableFieldId="2"/>
    <tableColumn id="3" xr3:uid="{00000000-0010-0000-1000-000003000000}" uniqueName="3" name="Status" queryTableFieldId="3"/>
    <tableColumn id="4" xr3:uid="{00000000-0010-0000-1000-000004000000}" uniqueName="4" name="Podwykonawca" queryTableFieldId="4"/>
    <tableColumn id="5" xr3:uid="{00000000-0010-0000-1000-000005000000}" uniqueName="5" name="Gniazdo - Ściany" queryTableFieldId="5"/>
    <tableColumn id="6" xr3:uid="{00000000-0010-0000-1000-000006000000}" uniqueName="6" name="Miejsce montażu" queryTableFieldId="6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1000000}" name="Harm_sciany" displayName="Harm_sciany" ref="A5:AA10" totalsRowShown="0" headerRowDxfId="168" dataDxfId="167">
  <tableColumns count="27">
    <tableColumn id="18" xr3:uid="{00000000-0010-0000-1100-000012000000}" name="Lp." dataDxfId="166"/>
    <tableColumn id="23" xr3:uid="{00000000-0010-0000-1100-000017000000}" name="Data dokumentacji [plan]" dataDxfId="165"/>
    <tableColumn id="17" xr3:uid="{00000000-0010-0000-1100-000011000000}" name="Planowana data montażu" dataDxfId="164" totalsRowDxfId="163"/>
    <tableColumn id="22" xr3:uid="{00000000-0010-0000-1100-000016000000}" name="Dzień tyg." dataDxfId="162" totalsRowDxfId="161">
      <calculatedColumnFormula>C6</calculatedColumnFormula>
    </tableColumn>
    <tableColumn id="24" xr3:uid="{00000000-0010-0000-1100-000018000000}" name="Miesiąc" dataDxfId="160" totalsRowDxfId="159">
      <calculatedColumnFormula>$C6</calculatedColumnFormula>
    </tableColumn>
    <tableColumn id="19" xr3:uid="{00000000-0010-0000-1100-000013000000}" name="Data wykonania" dataDxfId="158" totalsRowDxfId="157"/>
    <tableColumn id="27" xr3:uid="{00000000-0010-0000-1100-00001B000000}" name="Gniazdo - Ściany" dataDxfId="156" totalsRowDxfId="155" dataCellStyle="Normalny 4"/>
    <tableColumn id="21" xr3:uid="{00000000-0010-0000-1100-000015000000}" name="Realizacja data pakowania" dataDxfId="154" totalsRowDxfId="153"/>
    <tableColumn id="25" xr3:uid="{00000000-0010-0000-1100-000019000000}" name="Wykonanie" dataDxfId="152" totalsRowDxfId="151">
      <calculatedColumnFormula>IF(F6&lt;&gt;0,"WYKONANE","NIEWYKONANE")</calculatedColumnFormula>
    </tableColumn>
    <tableColumn id="26" xr3:uid="{00000000-0010-0000-1100-00001A000000}" name="Nazwa elementu" dataDxfId="150" totalsRowDxfId="149"/>
    <tableColumn id="1" xr3:uid="{00000000-0010-0000-1100-000001000000}" name="Budynek" dataDxfId="148" totalsRowDxfId="147"/>
    <tableColumn id="2" xr3:uid="{00000000-0010-0000-1100-000002000000}" name="Kod elementu" dataDxfId="146" totalsRowDxfId="145"/>
    <tableColumn id="3" xr3:uid="{00000000-0010-0000-1100-000003000000}" name="Pion" dataDxfId="144">
      <calculatedColumnFormula>RIGHT($L6,8)</calculatedColumnFormula>
    </tableColumn>
    <tableColumn id="20" xr3:uid="{00000000-0010-0000-1100-000014000000}" name="Nr skrzyni" dataDxfId="143" totalsRowDxfId="142"/>
    <tableColumn id="4" xr3:uid="{00000000-0010-0000-1100-000004000000}" name="Okna" dataDxfId="141"/>
    <tableColumn id="15" xr3:uid="{00000000-0010-0000-1100-00000F000000}" name="Dostępność okien" dataDxfId="140" totalsRowDxfId="139"/>
    <tableColumn id="16" xr3:uid="{00000000-0010-0000-1100-000010000000}" name="Szalówka rysunki i materiał" dataDxfId="138" totalsRowDxfId="137"/>
    <tableColumn id="6" xr3:uid="{00000000-0010-0000-1100-000006000000}" name="Zakres elewacji" dataDxfId="136" totalsRowDxfId="135"/>
    <tableColumn id="5" xr3:uid="{00000000-0010-0000-1100-000005000000}" name="Gotowość montażu" dataDxfId="134" totalsRowDxfId="133"/>
    <tableColumn id="7" xr3:uid="{00000000-0010-0000-1100-000007000000}" name="Słupek" dataDxfId="132" totalsRowDxfId="131"/>
    <tableColumn id="8" xr3:uid="{00000000-0010-0000-1100-000008000000}" name="L ramy" dataDxfId="130" totalsRowDxfId="129"/>
    <tableColumn id="9" xr3:uid="{00000000-0010-0000-1100-000009000000}" name="H ramy" dataDxfId="128" totalsRowDxfId="127"/>
    <tableColumn id="10" xr3:uid="{00000000-0010-0000-1100-00000A000000}" name="grubość" dataDxfId="126" totalsRowDxfId="125"/>
    <tableColumn id="11" xr3:uid="{00000000-0010-0000-1100-00000B000000}" name="L całk" dataDxfId="124" totalsRowDxfId="123"/>
    <tableColumn id="12" xr3:uid="{00000000-0010-0000-1100-00000C000000}" name="H całk" dataDxfId="122" totalsRowDxfId="121"/>
    <tableColumn id="13" xr3:uid="{00000000-0010-0000-1100-00000D000000}" name="pow. netto" dataDxfId="120" totalsRowDxfId="119"/>
    <tableColumn id="14" xr3:uid="{00000000-0010-0000-1100-00000E000000}" name="Powierzchnia brutto" dataDxfId="118"/>
  </tableColumns>
  <tableStyleInfo name="TableStyleLight16" showFirstColumn="0" showLastColumn="1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2000000}" name="Harm_el_zewn" displayName="Harm_el_zewn" ref="A1:P205" totalsRowShown="0" headerRowDxfId="115" dataDxfId="114" tableBorderDxfId="113">
  <autoFilter ref="A1:P205" xr:uid="{00000000-0009-0000-0100-000002000000}">
    <filterColumn colId="13">
      <filters blank="1">
        <dateGroupItem year="2022" month="2" day="15" dateTimeGrouping="day"/>
        <dateGroupItem year="2022" month="2" day="17" dateTimeGrouping="day"/>
      </filters>
    </filterColumn>
  </autoFilter>
  <tableColumns count="16">
    <tableColumn id="3" xr3:uid="{00000000-0010-0000-1200-000003000000}" name="Kod elementu" dataDxfId="112"/>
    <tableColumn id="1" xr3:uid="{00000000-0010-0000-1200-000001000000}" name="Indeks" dataDxfId="111"/>
    <tableColumn id="2" xr3:uid="{00000000-0010-0000-1200-000002000000}" name="Element" dataDxfId="110"/>
    <tableColumn id="16" xr3:uid="{00000000-0010-0000-1200-000010000000}" name="Budynek" dataDxfId="109"/>
    <tableColumn id="15" xr3:uid="{00000000-0010-0000-1200-00000F000000}" name="Moduł" dataDxfId="108"/>
    <tableColumn id="7" xr3:uid="{00000000-0010-0000-1200-000007000000}" name="grubość" dataDxfId="107"/>
    <tableColumn id="5" xr3:uid="{00000000-0010-0000-1200-000005000000}" name="L całk" dataDxfId="106"/>
    <tableColumn id="6" xr3:uid="{00000000-0010-0000-1200-000006000000}" name="H całk" dataDxfId="105"/>
    <tableColumn id="4" xr3:uid="{00000000-0010-0000-1200-000004000000}" name="Powierzchnia brutto" dataDxfId="104"/>
    <tableColumn id="8" xr3:uid="{00000000-0010-0000-1200-000008000000}" name="Date modified - data importu listy" dataDxfId="103"/>
    <tableColumn id="13" xr3:uid="{00000000-0010-0000-1200-00000D000000}" name="Data dokumentacji [plan]" dataDxfId="102"/>
    <tableColumn id="14" xr3:uid="{00000000-0010-0000-1200-00000E000000}" name="Data dokumentacji [rzeczywista]" dataDxfId="101"/>
    <tableColumn id="9" xr3:uid="{00000000-0010-0000-1200-000009000000}" name="Planowana data montażu" dataDxfId="100"/>
    <tableColumn id="12" xr3:uid="{00000000-0010-0000-1200-00000C000000}" name="Data wykonania" dataDxfId="99"/>
    <tableColumn id="10" xr3:uid="{00000000-0010-0000-1200-00000A000000}" name="Wykonanie" dataDxfId="98">
      <calculatedColumnFormula>IF(Harm_el_zewn[[#This Row],[Data wykonania]]&lt;&gt;0,"WYKONANE","NIEWYKONANE")</calculatedColumnFormula>
    </tableColumn>
    <tableColumn id="11" xr3:uid="{00000000-0010-0000-1200-00000B000000}" name="Nr skrzyni" dataDxfId="97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13000000}" name="Wszystkie_elementy_zewnętrzne" displayName="Wszystkie_elementy_zewnętrzne" ref="N1:Y81" tableType="queryTable" totalsRowShown="0">
  <autoFilter ref="N1:Y81" xr:uid="{00000000-0009-0000-0100-000036000000}"/>
  <tableColumns count="12">
    <tableColumn id="1" xr3:uid="{00000000-0010-0000-1300-000001000000}" uniqueName="1" name="Element" queryTableFieldId="1" dataDxfId="96"/>
    <tableColumn id="2" xr3:uid="{00000000-0010-0000-1300-000002000000}" uniqueName="2" name="Indeks" queryTableFieldId="2"/>
    <tableColumn id="3" xr3:uid="{00000000-0010-0000-1300-000003000000}" uniqueName="3" name="Nazwa elementu" queryTableFieldId="3"/>
    <tableColumn id="4" xr3:uid="{00000000-0010-0000-1300-000004000000}" uniqueName="4" name="Budynek" queryTableFieldId="4" dataDxfId="95"/>
    <tableColumn id="5" xr3:uid="{00000000-0010-0000-1300-000005000000}" uniqueName="5" name="Moduł" queryTableFieldId="5" dataDxfId="94"/>
    <tableColumn id="6" xr3:uid="{00000000-0010-0000-1300-000006000000}" uniqueName="6" name="gr całk" queryTableFieldId="6"/>
    <tableColumn id="7" xr3:uid="{00000000-0010-0000-1300-000007000000}" uniqueName="7" name="L całk" queryTableFieldId="7"/>
    <tableColumn id="8" xr3:uid="{00000000-0010-0000-1300-000008000000}" uniqueName="8" name="H całk" queryTableFieldId="8"/>
    <tableColumn id="10" xr3:uid="{00000000-0010-0000-1300-00000A000000}" uniqueName="10" name="W ramy" queryTableFieldId="10"/>
    <tableColumn id="11" xr3:uid="{00000000-0010-0000-1300-00000B000000}" uniqueName="11" name="W całk" queryTableFieldId="11"/>
    <tableColumn id="12" xr3:uid="{00000000-0010-0000-1300-00000C000000}" uniqueName="12" name="pow." queryTableFieldId="12"/>
    <tableColumn id="9" xr3:uid="{00000000-0010-0000-1300-000009000000}" uniqueName="9" name="pow. brutto" queryTableFieldId="9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4000000}" name="Wszystkie_elementy_zewnętrzne_2" displayName="Wszystkie_elementy_zewnętrzne_2" ref="B1:M205" tableType="queryTable" totalsRowShown="0">
  <autoFilter ref="B1:M205" xr:uid="{00000000-0009-0000-0100-000019000000}"/>
  <tableColumns count="12">
    <tableColumn id="13" xr3:uid="{00000000-0010-0000-1400-00000D000000}" uniqueName="13" name="Element" queryTableFieldId="1" dataDxfId="93"/>
    <tableColumn id="2" xr3:uid="{00000000-0010-0000-1400-000002000000}" uniqueName="2" name="Indeks" queryTableFieldId="2"/>
    <tableColumn id="3" xr3:uid="{00000000-0010-0000-1400-000003000000}" uniqueName="3" name="Nazwa elementu" queryTableFieldId="3"/>
    <tableColumn id="4" xr3:uid="{00000000-0010-0000-1400-000004000000}" uniqueName="4" name="Budynek" queryTableFieldId="4" dataDxfId="92"/>
    <tableColumn id="5" xr3:uid="{00000000-0010-0000-1400-000005000000}" uniqueName="5" name="Moduł" queryTableFieldId="5" dataDxfId="91"/>
    <tableColumn id="6" xr3:uid="{00000000-0010-0000-1400-000006000000}" uniqueName="6" name="gr całk" queryTableFieldId="6"/>
    <tableColumn id="7" xr3:uid="{00000000-0010-0000-1400-000007000000}" uniqueName="7" name="L całk" queryTableFieldId="7"/>
    <tableColumn id="8" xr3:uid="{00000000-0010-0000-1400-000008000000}" uniqueName="8" name="H całk" queryTableFieldId="8"/>
    <tableColumn id="9" xr3:uid="{00000000-0010-0000-1400-000009000000}" uniqueName="9" name="W ramy" queryTableFieldId="9"/>
    <tableColumn id="10" xr3:uid="{00000000-0010-0000-1400-00000A000000}" uniqueName="10" name="W całk" queryTableFieldId="10"/>
    <tableColumn id="11" xr3:uid="{00000000-0010-0000-1400-00000B000000}" uniqueName="11" name="pow." queryTableFieldId="11"/>
    <tableColumn id="12" xr3:uid="{00000000-0010-0000-1400-00000C000000}" uniqueName="12" name="pow. brutto" queryTableFieldId="12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5000000}" name="Harm_prod_stolarnia" displayName="Harm_prod_stolarnia" ref="A1:Q31" totalsRowShown="0" headerRowDxfId="88" dataDxfId="87" tableBorderDxfId="86">
  <autoFilter ref="A1:Q31" xr:uid="{00000000-0009-0000-0100-000007000000}"/>
  <tableColumns count="17">
    <tableColumn id="3" xr3:uid="{00000000-0010-0000-1500-000003000000}" name="Kod elementu" dataDxfId="85"/>
    <tableColumn id="1" xr3:uid="{00000000-0010-0000-1500-000001000000}" name="Indeks" dataDxfId="84"/>
    <tableColumn id="2" xr3:uid="{00000000-0010-0000-1500-000002000000}" name="Nazwa elementu" dataDxfId="83"/>
    <tableColumn id="16" xr3:uid="{00000000-0010-0000-1500-000010000000}" name="Budynek" dataDxfId="82"/>
    <tableColumn id="15" xr3:uid="{00000000-0010-0000-1500-00000F000000}" name="Kondygnacja" dataDxfId="81"/>
    <tableColumn id="17" xr3:uid="{00000000-0010-0000-1500-000011000000}" name="Ilość" dataDxfId="80" dataCellStyle="Normalny 2 2"/>
    <tableColumn id="7" xr3:uid="{00000000-0010-0000-1500-000007000000}" name="grubość" dataDxfId="79"/>
    <tableColumn id="5" xr3:uid="{00000000-0010-0000-1500-000005000000}" name="L całk" dataDxfId="78"/>
    <tableColumn id="6" xr3:uid="{00000000-0010-0000-1500-000006000000}" name="H całk" dataDxfId="77"/>
    <tableColumn id="4" xr3:uid="{00000000-0010-0000-1500-000004000000}" name="Powierzchnia brutto" dataDxfId="76"/>
    <tableColumn id="8" xr3:uid="{00000000-0010-0000-1500-000008000000}" name="Date modified - data importu listy" dataDxfId="75"/>
    <tableColumn id="13" xr3:uid="{00000000-0010-0000-1500-00000D000000}" name="Data dokumentacji [plan]" dataDxfId="74"/>
    <tableColumn id="14" xr3:uid="{00000000-0010-0000-1500-00000E000000}" name="Data dokumentacji [rzeczywista]" dataDxfId="73"/>
    <tableColumn id="9" xr3:uid="{00000000-0010-0000-1500-000009000000}" name="Planowana data montażu" dataDxfId="72"/>
    <tableColumn id="12" xr3:uid="{00000000-0010-0000-1500-00000C000000}" name="Data wykonania" dataDxfId="71"/>
    <tableColumn id="10" xr3:uid="{00000000-0010-0000-1500-00000A000000}" name="Wykonanie" dataDxfId="70">
      <calculatedColumnFormula>IF(Harm_prod_stolarnia[[#This Row],[Data wykonania]]&lt;&gt;0,"WYKONANE","NIEWYKONANE")</calculatedColumnFormula>
    </tableColumn>
    <tableColumn id="11" xr3:uid="{00000000-0010-0000-1500-00000B000000}" name="Nr skrzyni" dataDxfId="69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6000000}" name="Wszystkie_elementy_stolarni" displayName="Wszystkie_elementy_stolarni" ref="B1:K31" tableType="queryTable" totalsRowShown="0">
  <autoFilter ref="B1:K31" xr:uid="{00000000-0009-0000-0100-000015000000}"/>
  <tableColumns count="10">
    <tableColumn id="11" xr3:uid="{00000000-0010-0000-1600-00000B000000}" uniqueName="11" name="Indeks" queryTableFieldId="1"/>
    <tableColumn id="2" xr3:uid="{00000000-0010-0000-1600-000002000000}" uniqueName="2" name="Kod elementu" queryTableFieldId="2" dataDxfId="68"/>
    <tableColumn id="3" xr3:uid="{00000000-0010-0000-1600-000003000000}" uniqueName="3" name="Nazwa elementu" queryTableFieldId="3"/>
    <tableColumn id="4" xr3:uid="{00000000-0010-0000-1600-000004000000}" uniqueName="4" name="Budynek" queryTableFieldId="4" dataDxfId="67"/>
    <tableColumn id="5" xr3:uid="{00000000-0010-0000-1600-000005000000}" uniqueName="5" name="Moduł" queryTableFieldId="5" dataDxfId="66"/>
    <tableColumn id="6" xr3:uid="{00000000-0010-0000-1600-000006000000}" uniqueName="6" name="Ilość" queryTableFieldId="6"/>
    <tableColumn id="7" xr3:uid="{00000000-0010-0000-1600-000007000000}" uniqueName="7" name="gr całk" queryTableFieldId="7"/>
    <tableColumn id="8" xr3:uid="{00000000-0010-0000-1600-000008000000}" uniqueName="8" name="W całk" queryTableFieldId="8"/>
    <tableColumn id="9" xr3:uid="{00000000-0010-0000-1600-000009000000}" uniqueName="9" name="L całk" queryTableFieldId="9"/>
    <tableColumn id="10" xr3:uid="{00000000-0010-0000-1600-00000A000000}" uniqueName="10" name="pow." queryTableFieldId="10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7000000}" name="Harm_podwyk" displayName="Harm_podwyk" ref="A1:R6" totalsRowShown="0" headerRowDxfId="63" dataDxfId="62" tableBorderDxfId="61">
  <autoFilter ref="A1:R6" xr:uid="{00000000-0009-0000-0100-00000C000000}"/>
  <tableColumns count="18">
    <tableColumn id="3" xr3:uid="{00000000-0010-0000-1700-000003000000}" name="Kod elementu" dataDxfId="60"/>
    <tableColumn id="1" xr3:uid="{00000000-0010-0000-1700-000001000000}" name="Indeks" dataDxfId="59"/>
    <tableColumn id="2" xr3:uid="{00000000-0010-0000-1700-000002000000}" name="Nazwa elementu"/>
    <tableColumn id="16" xr3:uid="{00000000-0010-0000-1700-000010000000}" name="Budynek" dataDxfId="58"/>
    <tableColumn id="15" xr3:uid="{00000000-0010-0000-1700-00000F000000}" name="Moduł" dataDxfId="57"/>
    <tableColumn id="17" xr3:uid="{00000000-0010-0000-1700-000011000000}" name="Ilość" dataDxfId="56" dataCellStyle="Normalny 2"/>
    <tableColumn id="7" xr3:uid="{00000000-0010-0000-1700-000007000000}" name="grubość"/>
    <tableColumn id="5" xr3:uid="{00000000-0010-0000-1700-000005000000}" name="L całk"/>
    <tableColumn id="6" xr3:uid="{00000000-0010-0000-1700-000006000000}" name="H całk"/>
    <tableColumn id="4" xr3:uid="{00000000-0010-0000-1700-000004000000}" name="Powierzchnia brutto" dataDxfId="55"/>
    <tableColumn id="8" xr3:uid="{00000000-0010-0000-1700-000008000000}" name="Date modified - data importu listy" dataDxfId="54"/>
    <tableColumn id="13" xr3:uid="{00000000-0010-0000-1700-00000D000000}" name="Data dokumentacji [plan]" dataDxfId="53"/>
    <tableColumn id="14" xr3:uid="{00000000-0010-0000-1700-00000E000000}" name="Data dokumentacji [rzeczywista]" dataDxfId="52"/>
    <tableColumn id="9" xr3:uid="{00000000-0010-0000-1700-000009000000}" name="Planowana data montażu" dataDxfId="51"/>
    <tableColumn id="12" xr3:uid="{00000000-0010-0000-1700-00000C000000}" name="Data wykonania" dataDxfId="50"/>
    <tableColumn id="10" xr3:uid="{00000000-0010-0000-1700-00000A000000}" name="Wykonanie" dataDxfId="49">
      <calculatedColumnFormula>IF(Harm_podwyk[[#This Row],[Data wykonania]]&lt;&gt;0,"WYKONANE","NIEWYKONANE")</calculatedColumnFormula>
    </tableColumn>
    <tableColumn id="18" xr3:uid="{00000000-0010-0000-1700-000012000000}" name="Podwykonawca" dataDxfId="48" dataCellStyle="Normalny 2 2"/>
    <tableColumn id="11" xr3:uid="{00000000-0010-0000-1700-00000B000000}" name="Nr skrzyni" dataDxfId="47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18000000}" name="Wszystkie_ściany" displayName="Wszystkie_ściany" ref="B1:P110" tableType="queryTable" totalsRowShown="0">
  <autoFilter ref="B1:P110" xr:uid="{00000000-0009-0000-0100-000037000000}"/>
  <tableColumns count="15">
    <tableColumn id="1" xr3:uid="{00000000-0010-0000-1800-000001000000}" uniqueName="1" name="Element" queryTableFieldId="1" dataDxfId="46"/>
    <tableColumn id="2" xr3:uid="{00000000-0010-0000-1800-000002000000}" uniqueName="2" name="Słupek" queryTableFieldId="2"/>
    <tableColumn id="3" xr3:uid="{00000000-0010-0000-1800-000003000000}" uniqueName="3" name="L ramy" queryTableFieldId="3"/>
    <tableColumn id="4" xr3:uid="{00000000-0010-0000-1800-000004000000}" uniqueName="4" name="H ramy" queryTableFieldId="4"/>
    <tableColumn id="5" xr3:uid="{00000000-0010-0000-1800-000005000000}" uniqueName="5" name="gr całk" queryTableFieldId="5"/>
    <tableColumn id="6" xr3:uid="{00000000-0010-0000-1800-000006000000}" uniqueName="6" name="L całk" queryTableFieldId="6"/>
    <tableColumn id="7" xr3:uid="{00000000-0010-0000-1800-000007000000}" uniqueName="7" name="H całk" queryTableFieldId="7"/>
    <tableColumn id="8" xr3:uid="{00000000-0010-0000-1800-000008000000}" uniqueName="8" name="pow. netto" queryTableFieldId="8"/>
    <tableColumn id="9" xr3:uid="{00000000-0010-0000-1800-000009000000}" uniqueName="9" name="pow. brutto" queryTableFieldId="9"/>
    <tableColumn id="10" xr3:uid="{00000000-0010-0000-1800-00000A000000}" uniqueName="10" name="ciężar" queryTableFieldId="10"/>
    <tableColumn id="11" xr3:uid="{00000000-0010-0000-1800-00000B000000}" uniqueName="11" name="opis" queryTableFieldId="11"/>
    <tableColumn id="12" xr3:uid="{00000000-0010-0000-1800-00000C000000}" uniqueName="12" name="Nazwa elementu" queryTableFieldId="12"/>
    <tableColumn id="13" xr3:uid="{00000000-0010-0000-1800-00000D000000}" uniqueName="13" name="Budynek" queryTableFieldId="13" dataDxfId="45"/>
    <tableColumn id="14" xr3:uid="{00000000-0010-0000-1800-00000E000000}" uniqueName="14" name="Indeks" queryTableFieldId="14"/>
    <tableColumn id="15" xr3:uid="{00000000-0010-0000-1800-00000F000000}" uniqueName="15" name="Moduł" queryTableFieldId="15" dataDxfId="44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9000000}" name="Wszystkie_elementy_podwykonawcy" displayName="Wszystkie_elementy_podwykonawcy" ref="W1:AQ79" tableType="queryTable" totalsRowShown="0">
  <autoFilter ref="W1:AQ79" xr:uid="{00000000-0009-0000-0100-000005000000}"/>
  <tableColumns count="21">
    <tableColumn id="1" xr3:uid="{00000000-0010-0000-1900-000001000000}" uniqueName="1" name="Element" queryTableFieldId="1" dataDxfId="43"/>
    <tableColumn id="2" xr3:uid="{00000000-0010-0000-1900-000002000000}" uniqueName="2" name="Nazwa elementu" queryTableFieldId="2"/>
    <tableColumn id="3" xr3:uid="{00000000-0010-0000-1900-000003000000}" uniqueName="3" name="Budynek" queryTableFieldId="3" dataDxfId="42"/>
    <tableColumn id="4" xr3:uid="{00000000-0010-0000-1900-000004000000}" uniqueName="4" name="Moduł" queryTableFieldId="4" dataDxfId="41"/>
    <tableColumn id="5" xr3:uid="{00000000-0010-0000-1900-000005000000}" uniqueName="5" name="Ilość" queryTableFieldId="5"/>
    <tableColumn id="6" xr3:uid="{00000000-0010-0000-1900-000006000000}" uniqueName="6" name="gr całk" queryTableFieldId="6"/>
    <tableColumn id="7" xr3:uid="{00000000-0010-0000-1900-000007000000}" uniqueName="7" name="W całk" queryTableFieldId="7"/>
    <tableColumn id="8" xr3:uid="{00000000-0010-0000-1900-000008000000}" uniqueName="8" name="Numer" queryTableFieldId="8"/>
    <tableColumn id="9" xr3:uid="{00000000-0010-0000-1900-000009000000}" uniqueName="9" name="Nazwa" queryTableFieldId="9"/>
    <tableColumn id="10" xr3:uid="{00000000-0010-0000-1900-00000A000000}" uniqueName="10" name="Materiał" queryTableFieldId="10" dataDxfId="40"/>
    <tableColumn id="11" xr3:uid="{00000000-0010-0000-1900-00000B000000}" uniqueName="11" name="szt." queryTableFieldId="11"/>
    <tableColumn id="12" xr3:uid="{00000000-0010-0000-1900-00000C000000}" uniqueName="12" name="szer." queryTableFieldId="12"/>
    <tableColumn id="13" xr3:uid="{00000000-0010-0000-1900-00000D000000}" uniqueName="13" name="H1" queryTableFieldId="13"/>
    <tableColumn id="14" xr3:uid="{00000000-0010-0000-1900-00000E000000}" uniqueName="14" name="H2" queryTableFieldId="14"/>
    <tableColumn id="15" xr3:uid="{00000000-0010-0000-1900-00000F000000}" uniqueName="15" name="długość" queryTableFieldId="15"/>
    <tableColumn id="16" xr3:uid="{00000000-0010-0000-1900-000010000000}" uniqueName="16" name="V1" queryTableFieldId="16"/>
    <tableColumn id="17" xr3:uid="{00000000-0010-0000-1900-000011000000}" uniqueName="17" name="klasa (grade)" queryTableFieldId="17" dataDxfId="39"/>
    <tableColumn id="18" xr3:uid="{00000000-0010-0000-1900-000012000000}" uniqueName="18" name="kod (indeks)" queryTableFieldId="18"/>
    <tableColumn id="19" xr3:uid="{00000000-0010-0000-1900-000013000000}" uniqueName="19" name="L całk" queryTableFieldId="19"/>
    <tableColumn id="20" xr3:uid="{00000000-0010-0000-1900-000014000000}" uniqueName="20" name="pow." queryTableFieldId="20"/>
    <tableColumn id="21" xr3:uid="{00000000-0010-0000-1900-000015000000}" uniqueName="21" name="Indeks" queryTableFieldId="21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1A000000}" name="Wszystkie_elementy_podwykonawcy1" displayName="Wszystkie_elementy_podwykonawcy_" ref="B1:V100" tableType="queryTable" totalsRowShown="0">
  <autoFilter ref="B1:V100" xr:uid="{00000000-0009-0000-0100-00003B000000}"/>
  <tableColumns count="21">
    <tableColumn id="1" xr3:uid="{00000000-0010-0000-1A00-000001000000}" uniqueName="1" name="Element" queryTableFieldId="1" dataDxfId="38"/>
    <tableColumn id="2" xr3:uid="{00000000-0010-0000-1A00-000002000000}" uniqueName="2" name="Nazwa elementu" queryTableFieldId="2"/>
    <tableColumn id="3" xr3:uid="{00000000-0010-0000-1A00-000003000000}" uniqueName="3" name="Budynek" queryTableFieldId="3" dataDxfId="37"/>
    <tableColumn id="4" xr3:uid="{00000000-0010-0000-1A00-000004000000}" uniqueName="4" name="Moduł" queryTableFieldId="4" dataDxfId="36"/>
    <tableColumn id="5" xr3:uid="{00000000-0010-0000-1A00-000005000000}" uniqueName="5" name="Ilość" queryTableFieldId="5"/>
    <tableColumn id="6" xr3:uid="{00000000-0010-0000-1A00-000006000000}" uniqueName="6" name="gr całk" queryTableFieldId="6"/>
    <tableColumn id="7" xr3:uid="{00000000-0010-0000-1A00-000007000000}" uniqueName="7" name="W całk" queryTableFieldId="7"/>
    <tableColumn id="8" xr3:uid="{00000000-0010-0000-1A00-000008000000}" uniqueName="8" name="Numer" queryTableFieldId="8"/>
    <tableColumn id="9" xr3:uid="{00000000-0010-0000-1A00-000009000000}" uniqueName="9" name="Nazwa" queryTableFieldId="9"/>
    <tableColumn id="10" xr3:uid="{00000000-0010-0000-1A00-00000A000000}" uniqueName="10" name="Materiał" queryTableFieldId="10" dataDxfId="35"/>
    <tableColumn id="11" xr3:uid="{00000000-0010-0000-1A00-00000B000000}" uniqueName="11" name="szt." queryTableFieldId="11"/>
    <tableColumn id="12" xr3:uid="{00000000-0010-0000-1A00-00000C000000}" uniqueName="12" name="szer." queryTableFieldId="12"/>
    <tableColumn id="13" xr3:uid="{00000000-0010-0000-1A00-00000D000000}" uniqueName="13" name="H1" queryTableFieldId="13"/>
    <tableColumn id="14" xr3:uid="{00000000-0010-0000-1A00-00000E000000}" uniqueName="14" name="H2" queryTableFieldId="14"/>
    <tableColumn id="15" xr3:uid="{00000000-0010-0000-1A00-00000F000000}" uniqueName="15" name="długość" queryTableFieldId="15"/>
    <tableColumn id="16" xr3:uid="{00000000-0010-0000-1A00-000010000000}" uniqueName="16" name="V1" queryTableFieldId="16"/>
    <tableColumn id="17" xr3:uid="{00000000-0010-0000-1A00-000011000000}" uniqueName="17" name="klasa (grade)" queryTableFieldId="17" dataDxfId="34"/>
    <tableColumn id="18" xr3:uid="{00000000-0010-0000-1A00-000012000000}" uniqueName="18" name="kod (indeks)" queryTableFieldId="18"/>
    <tableColumn id="19" xr3:uid="{00000000-0010-0000-1A00-000013000000}" uniqueName="19" name="L całk" queryTableFieldId="19"/>
    <tableColumn id="20" xr3:uid="{00000000-0010-0000-1A00-000014000000}" uniqueName="20" name="pow." queryTableFieldId="20"/>
    <tableColumn id="21" xr3:uid="{00000000-0010-0000-1A00-000015000000}" uniqueName="21" name="Indeks" queryTableFieldId="21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B000000}" name="Harm_prod_stolarnia_kliny" displayName="Harm_prod_stolarnia_kliny" ref="A1:W181" totalsRowShown="0" headerRowDxfId="31" dataDxfId="30" tableBorderDxfId="29">
  <autoFilter ref="A1:W181" xr:uid="{00000000-0009-0000-0100-00000A000000}"/>
  <tableColumns count="23">
    <tableColumn id="1" xr3:uid="{00000000-0010-0000-1B00-000001000000}" name="Indeks" dataDxfId="28"/>
    <tableColumn id="3" xr3:uid="{00000000-0010-0000-1B00-000003000000}" name="Kod elementu" dataDxfId="27"/>
    <tableColumn id="2" xr3:uid="{00000000-0010-0000-1B00-000002000000}" name="Nazwa elementu" dataDxfId="26"/>
    <tableColumn id="15" xr3:uid="{00000000-0010-0000-1B00-00000F000000}" name="Budynek" dataDxfId="25"/>
    <tableColumn id="17" xr3:uid="{00000000-0010-0000-1B00-000011000000}" name="Numer" dataDxfId="24" dataCellStyle="Normalny 2"/>
    <tableColumn id="7" xr3:uid="{00000000-0010-0000-1B00-000007000000}" name="szt." dataDxfId="23" dataCellStyle="Normalny 2"/>
    <tableColumn id="5" xr3:uid="{00000000-0010-0000-1B00-000005000000}" name="Materiał" dataDxfId="22"/>
    <tableColumn id="6" xr3:uid="{00000000-0010-0000-1B00-000006000000}" name="szer." dataDxfId="21"/>
    <tableColumn id="4" xr3:uid="{00000000-0010-0000-1B00-000004000000}" name="H1" dataDxfId="20" dataCellStyle="Normalny 2"/>
    <tableColumn id="34" xr3:uid="{00000000-0010-0000-1B00-000022000000}" name="H2" dataDxfId="19"/>
    <tableColumn id="33" xr3:uid="{00000000-0010-0000-1B00-000021000000}" name="długość" dataDxfId="18"/>
    <tableColumn id="32" xr3:uid="{00000000-0010-0000-1B00-000020000000}" name="V1" dataDxfId="17"/>
    <tableColumn id="31" xr3:uid="{00000000-0010-0000-1B00-00001F000000}" name="pow." dataDxfId="16"/>
    <tableColumn id="30" xr3:uid="{00000000-0010-0000-1B00-00001E000000}" name="klasa (grade)" dataDxfId="15"/>
    <tableColumn id="29" xr3:uid="{00000000-0010-0000-1B00-00001D000000}" name="kod (indeks)" dataDxfId="14"/>
    <tableColumn id="8" xr3:uid="{00000000-0010-0000-1B00-000008000000}" name="Date modified - data importu listy" dataDxfId="13"/>
    <tableColumn id="13" xr3:uid="{00000000-0010-0000-1B00-00000D000000}" name="Data dokumentacji [plan]" dataDxfId="12"/>
    <tableColumn id="14" xr3:uid="{00000000-0010-0000-1B00-00000E000000}" name="Data dokumentacji [rzeczywista]" dataDxfId="11"/>
    <tableColumn id="9" xr3:uid="{00000000-0010-0000-1B00-000009000000}" name="Planowana data montażu" dataDxfId="10"/>
    <tableColumn id="12" xr3:uid="{00000000-0010-0000-1B00-00000C000000}" name="Data wykonania" dataDxfId="9"/>
    <tableColumn id="10" xr3:uid="{00000000-0010-0000-1B00-00000A000000}" name="Wykonanie" dataDxfId="8">
      <calculatedColumnFormula>IF(Harm_prod_stolarnia_kliny[[#This Row],[Data wykonania]]&lt;&gt;0,"WYKONANE","NIEWYKONANE")</calculatedColumnFormula>
    </tableColumn>
    <tableColumn id="11" xr3:uid="{00000000-0010-0000-1B00-00000B000000}" name="Nr skrzyni" dataDxfId="7"/>
    <tableColumn id="18" xr3:uid="{00000000-0010-0000-1B00-000012000000}" name="Uwagi" dataDxfId="6" dataCellStyle="Normalny 2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C000000}" name="Wszystkie_kliny" displayName="Wszystkie_kliny" ref="B1:P181" tableType="queryTable" totalsRowShown="0">
  <autoFilter ref="B1:P181" xr:uid="{00000000-0009-0000-0100-000014000000}"/>
  <tableColumns count="15">
    <tableColumn id="16" xr3:uid="{00000000-0010-0000-1C00-000010000000}" uniqueName="16" name="Indeks" queryTableFieldId="1"/>
    <tableColumn id="2" xr3:uid="{00000000-0010-0000-1C00-000002000000}" uniqueName="2" name="Kod elementu" queryTableFieldId="2" dataDxfId="5"/>
    <tableColumn id="3" xr3:uid="{00000000-0010-0000-1C00-000003000000}" uniqueName="3" name="Nazwa elementu" queryTableFieldId="3" dataDxfId="4"/>
    <tableColumn id="4" xr3:uid="{00000000-0010-0000-1C00-000004000000}" uniqueName="4" name="Budynek" queryTableFieldId="4" dataDxfId="3"/>
    <tableColumn id="5" xr3:uid="{00000000-0010-0000-1C00-000005000000}" uniqueName="5" name="Numer" queryTableFieldId="5" dataDxfId="2"/>
    <tableColumn id="6" xr3:uid="{00000000-0010-0000-1C00-000006000000}" uniqueName="6" name="szt." queryTableFieldId="6"/>
    <tableColumn id="7" xr3:uid="{00000000-0010-0000-1C00-000007000000}" uniqueName="7" name="Materiał" queryTableFieldId="7" dataDxfId="1"/>
    <tableColumn id="8" xr3:uid="{00000000-0010-0000-1C00-000008000000}" uniqueName="8" name="szer." queryTableFieldId="8"/>
    <tableColumn id="9" xr3:uid="{00000000-0010-0000-1C00-000009000000}" uniqueName="9" name="H1" queryTableFieldId="9"/>
    <tableColumn id="10" xr3:uid="{00000000-0010-0000-1C00-00000A000000}" uniqueName="10" name="H2" queryTableFieldId="10"/>
    <tableColumn id="11" xr3:uid="{00000000-0010-0000-1C00-00000B000000}" uniqueName="11" name="długość" queryTableFieldId="11"/>
    <tableColumn id="12" xr3:uid="{00000000-0010-0000-1C00-00000C000000}" uniqueName="12" name="V1" queryTableFieldId="12"/>
    <tableColumn id="13" xr3:uid="{00000000-0010-0000-1C00-00000D000000}" uniqueName="13" name="pow." queryTableFieldId="13"/>
    <tableColumn id="14" xr3:uid="{00000000-0010-0000-1C00-00000E000000}" uniqueName="14" name="klasa (grade)" queryTableFieldId="14" dataDxfId="0"/>
    <tableColumn id="15" xr3:uid="{00000000-0010-0000-1C00-00000F000000}" uniqueName="15" name="kod (indeks)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s://unibep.sharepoint.com/sites/Unihouse_SA/Shared%20Documents/Projekty/03.%20POLSKA/267_2021%20Ma%C5%82kinia/!%20Projekt/4%20LISTY/2.%20Elementy%20zewn%C4%99trzne%20i%20stolarnia/Obudowy%20szacht%C3%B3w-%20Lista%20element%C3%B3w%20-budowa.xlsx" TargetMode="External"/><Relationship Id="rId13" Type="http://schemas.openxmlformats.org/officeDocument/2006/relationships/hyperlink" Target="https://unibep.sharepoint.com/sites/Unihouse_SA/Shared%20Documents/Projekty/03.%20POLSKA/267_2021%20Ma%C5%82kinia/!%20Projekt/4%20LISTY/2.%20Elementy%20zewn%C4%99trzne%20i%20stolarnia/!Nieaktualne/Attyki-%20Lista%20element%C3%B3w%20-budowa.xlsx" TargetMode="External"/><Relationship Id="rId18" Type="http://schemas.openxmlformats.org/officeDocument/2006/relationships/table" Target="../tables/table15.xml"/><Relationship Id="rId3" Type="http://schemas.openxmlformats.org/officeDocument/2006/relationships/hyperlink" Target="https://unibep.sharepoint.com/sites/Unihouse_SA/Shared%20Documents/Projekty/03.%20POLSKA/267_2021%20Ma%C5%82kinia/!%20Projekt/4%20LISTY/2.%20Elementy%20zewn%C4%99trzne%20i%20stolarnia/Attyki-%20Lista%20element%C3%B3w%20-produkcja.xlsx" TargetMode="External"/><Relationship Id="rId7" Type="http://schemas.openxmlformats.org/officeDocument/2006/relationships/hyperlink" Target="https://unibep.sharepoint.com/sites/Unihouse_SA/Shared%20Documents/Projekty/03.%20POLSKA/267_2021%20Ma%C5%82kinia/!%20Projekt/4%20LISTY/2.%20Elementy%20zewn%C4%99trzne%20i%20stolarnia/Obudowy%20szacht%C3%B3w-%20Lista%20element%C3%B3w%20-budowa%20cz.2.xlsx" TargetMode="External"/><Relationship Id="rId12" Type="http://schemas.openxmlformats.org/officeDocument/2006/relationships/hyperlink" Target="https://unibep.sharepoint.com/sites/Unihouse_SA/Shared%20Documents/Projekty/03.%20POLSKA/267_2021%20Ma%C5%82kinia/!%20Projekt/4%20LISTY/2.%20Elementy%20zewn%C4%99trzne%20i%20stolarnia/Trapy%20balkon%C3%B3w%20-%20lista%20klin%C3%B3w.xlsx" TargetMode="External"/><Relationship Id="rId17" Type="http://schemas.openxmlformats.org/officeDocument/2006/relationships/table" Target="../tables/table14.xml"/><Relationship Id="rId2" Type="http://schemas.openxmlformats.org/officeDocument/2006/relationships/hyperlink" Target="https://unibep.sharepoint.com/sites/Unihouse_SA/Shared%20Documents/Projekty/03.%20POLSKA/267_2021%20Ma%C5%82kinia/!%20Projekt/4%20LISTY/2.%20Elementy%20zewn%C4%99trzne%20i%20stolarnia/Attyki-%20Lista%20element%C3%B3w%20-budowa.xlsx" TargetMode="External"/><Relationship Id="rId16" Type="http://schemas.openxmlformats.org/officeDocument/2006/relationships/drawing" Target="../drawings/drawing1.xml"/><Relationship Id="rId1" Type="http://schemas.openxmlformats.org/officeDocument/2006/relationships/hyperlink" Target="https://unibep.sharepoint.com/sites/Unihouse_SA/Shared%20Documents/Forms/AllItems.aspx?RootFolder=/sites%2FUnihouse%5FSA%2FShared%20Documents%2FProjekty%2F03%2E%20POLSKA%2F267%5F2021%20Ma%C5%82kinia%2F%21%20Projekt%2F4%20LISTY%2F2%2E%20Elementy%20zewn%C4%99" TargetMode="External"/><Relationship Id="rId6" Type="http://schemas.openxmlformats.org/officeDocument/2006/relationships/hyperlink" Target="https://unibep.sharepoint.com/sites/Unihouse_SA/Shared%20Documents/Projekty/03.%20POLSKA/267_2021%20Ma%C5%82kinia/!%20Projekt/4%20LISTY/2.%20Elementy%20zewn%C4%99trzne%20i%20stolarnia/Dobitka%20przy%20kot%C5%82owni%20-%20Lista%20element%C3%B3w.xlsx" TargetMode="External"/><Relationship Id="rId11" Type="http://schemas.openxmlformats.org/officeDocument/2006/relationships/hyperlink" Target="https://unibep.sharepoint.com/sites/Unihouse_SA/Shared%20Documents/Projekty/03.%20POLSKA/267_2021%20Ma%C5%82kinia/!%20Projekt/4%20LISTY/2.%20Elementy%20zewn%C4%99trzne%20i%20stolarnia/Trapy%20balkon%C3%B3w%20-%20lista%20element%C3%B3w.xlsx" TargetMode="External"/><Relationship Id="rId5" Type="http://schemas.openxmlformats.org/officeDocument/2006/relationships/hyperlink" Target="https://unibep.sharepoint.com/sites/Unihouse_SA/Shared%20Documents/Projekty/03.%20POLSKA/267_2021%20Ma%C5%82kinia/!%20Projekt/4%20LISTY/2.%20Elementy%20zewn%C4%99trzne%20i%20stolarnia/Balkony%20-%20lista%20klin%C3%B3w.xlsx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unibep.sharepoint.com/sites/Unihouse_SA/Shared%20Documents/Projekty/03.%20POLSKA/267_2021%20Ma%C5%82kinia/!%20Projekt/4%20LISTY/2.%20Elementy%20zewn%C4%99trzne%20i%20stolarnia/Obudowy%20szacht%C3%B3w-%20Lista%20element%C3%B3w%20-produkcja.xlsx" TargetMode="External"/><Relationship Id="rId4" Type="http://schemas.openxmlformats.org/officeDocument/2006/relationships/hyperlink" Target="https://unibep.sharepoint.com/sites/Unihouse_SA/Shared%20Documents/Projekty/03.%20POLSKA/267_2021%20Ma%C5%82kinia/!%20Projekt/4%20LISTY/2.%20Elementy%20zewn%C4%99trzne%20i%20stolarnia/Balkony%20-%20lista%20element%C3%B3w.xlsx" TargetMode="External"/><Relationship Id="rId9" Type="http://schemas.openxmlformats.org/officeDocument/2006/relationships/hyperlink" Target="https://unibep.sharepoint.com/sites/Unihouse_SA/Shared%20Documents/Projekty/03.%20POLSKA/267_2021%20Ma%C5%82kinia/!%20Projekt/4%20LISTY/2.%20Elementy%20zewn%C4%99trzne%20i%20stolarnia/Obudowy%20szacht%C3%B3w-%20Lista%20element%C3%B3w%20-produkcja%20cz.2.x" TargetMode="External"/><Relationship Id="rId14" Type="http://schemas.openxmlformats.org/officeDocument/2006/relationships/hyperlink" Target="https://unibep.sharepoint.com/sites/Unihouse_SA/Shared%20Documents/Projekty/03.%20POLSKA/267_2021%20Ma%C5%82kinia/!%20Projekt/4%20LISTY/2.%20Elementy%20zewn%C4%99trzne%20i%20stolarnia/!Nieaktualne/Obudowy%20szacht%C3%B3w-%20Lista%20element%C3%B3w%20-produ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microsoft.com/office/2007/relationships/slicer" Target="../slicers/slicer1.xml"/><Relationship Id="rId4" Type="http://schemas.openxmlformats.org/officeDocument/2006/relationships/pivotTable" Target="../pivotTables/pivotTable4.xml"/><Relationship Id="rId9" Type="http://schemas.openxmlformats.org/officeDocument/2006/relationships/drawing" Target="../drawings/drawing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8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table" Target="../tables/table2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table" Target="../tables/table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table" Target="../tables/table27.xml"/><Relationship Id="rId1" Type="http://schemas.openxmlformats.org/officeDocument/2006/relationships/table" Target="../tables/table26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8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9.xml"/><Relationship Id="rId1" Type="http://schemas.openxmlformats.org/officeDocument/2006/relationships/table" Target="../tables/table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/>
  <dimension ref="A1:O1424"/>
  <sheetViews>
    <sheetView topLeftCell="A10" zoomScale="70" zoomScaleNormal="70" workbookViewId="0">
      <selection activeCell="E16" sqref="E16"/>
    </sheetView>
  </sheetViews>
  <sheetFormatPr defaultRowHeight="15" x14ac:dyDescent="0.25"/>
  <cols>
    <col min="1" max="1" width="20.85546875" bestFit="1" customWidth="1"/>
    <col min="2" max="2" width="29.7109375" bestFit="1" customWidth="1"/>
    <col min="3" max="3" width="11.42578125" bestFit="1" customWidth="1"/>
    <col min="4" max="4" width="17.42578125" bestFit="1" customWidth="1"/>
    <col min="5" max="5" width="13.7109375" bestFit="1" customWidth="1"/>
    <col min="6" max="6" width="12.28515625" bestFit="1" customWidth="1"/>
    <col min="7" max="7" width="17.5703125" bestFit="1" customWidth="1"/>
    <col min="8" max="8" width="26" bestFit="1" customWidth="1"/>
    <col min="9" max="9" width="8.140625" bestFit="1" customWidth="1"/>
    <col min="10" max="10" width="10.5703125" bestFit="1" customWidth="1"/>
    <col min="11" max="11" width="24.5703125" bestFit="1" customWidth="1"/>
    <col min="12" max="12" width="15.42578125" bestFit="1" customWidth="1"/>
    <col min="13" max="13" width="14.42578125" bestFit="1" customWidth="1"/>
    <col min="14" max="14" width="11.28515625" bestFit="1" customWidth="1"/>
    <col min="15" max="15" width="7.42578125" bestFit="1" customWidth="1"/>
  </cols>
  <sheetData>
    <row r="1" spans="1:15" x14ac:dyDescent="0.25">
      <c r="A1" t="s">
        <v>32</v>
      </c>
      <c r="B1" t="s">
        <v>61</v>
      </c>
      <c r="C1" t="s">
        <v>14</v>
      </c>
      <c r="D1" t="s">
        <v>24</v>
      </c>
      <c r="E1" t="s">
        <v>40</v>
      </c>
      <c r="F1" t="s">
        <v>23</v>
      </c>
      <c r="G1" t="s">
        <v>215</v>
      </c>
      <c r="H1" t="s">
        <v>60</v>
      </c>
      <c r="I1" t="s">
        <v>73</v>
      </c>
      <c r="J1" t="s">
        <v>228</v>
      </c>
      <c r="K1" t="s">
        <v>229</v>
      </c>
      <c r="L1" t="s">
        <v>230</v>
      </c>
      <c r="M1" t="s">
        <v>231</v>
      </c>
      <c r="N1" t="s">
        <v>232</v>
      </c>
      <c r="O1" t="s">
        <v>233</v>
      </c>
    </row>
    <row r="2" spans="1:15" x14ac:dyDescent="0.25">
      <c r="A2" s="1" t="s">
        <v>1167</v>
      </c>
      <c r="B2" s="1" t="s">
        <v>72</v>
      </c>
      <c r="C2" s="1" t="s">
        <v>80</v>
      </c>
      <c r="D2" s="2"/>
      <c r="E2" s="1" t="s">
        <v>207</v>
      </c>
      <c r="F2" s="1" t="s">
        <v>337</v>
      </c>
      <c r="G2" s="1" t="s">
        <v>220</v>
      </c>
      <c r="H2" s="2"/>
      <c r="I2">
        <v>1</v>
      </c>
      <c r="J2" s="1" t="s">
        <v>234</v>
      </c>
      <c r="K2" s="1" t="s">
        <v>876</v>
      </c>
      <c r="L2">
        <v>4.3874997857232607</v>
      </c>
      <c r="M2" s="1" t="s">
        <v>234</v>
      </c>
      <c r="N2" s="1" t="s">
        <v>235</v>
      </c>
    </row>
    <row r="3" spans="1:15" x14ac:dyDescent="0.25">
      <c r="A3" s="1" t="s">
        <v>1168</v>
      </c>
      <c r="B3" s="1" t="s">
        <v>72</v>
      </c>
      <c r="C3" s="1" t="s">
        <v>80</v>
      </c>
      <c r="D3" s="2"/>
      <c r="E3" s="1" t="s">
        <v>207</v>
      </c>
      <c r="F3" s="1" t="s">
        <v>337</v>
      </c>
      <c r="G3" s="1" t="s">
        <v>220</v>
      </c>
      <c r="H3" s="2"/>
      <c r="I3">
        <v>1</v>
      </c>
      <c r="J3" s="1" t="s">
        <v>234</v>
      </c>
      <c r="K3" s="1" t="s">
        <v>876</v>
      </c>
      <c r="L3">
        <v>4.2120776392098689</v>
      </c>
      <c r="M3" s="1" t="s">
        <v>234</v>
      </c>
      <c r="N3" s="1" t="s">
        <v>235</v>
      </c>
    </row>
    <row r="4" spans="1:15" x14ac:dyDescent="0.25">
      <c r="A4" s="1" t="s">
        <v>1169</v>
      </c>
      <c r="B4" s="1" t="s">
        <v>72</v>
      </c>
      <c r="C4" s="1" t="s">
        <v>80</v>
      </c>
      <c r="D4" s="2"/>
      <c r="E4" s="1" t="s">
        <v>207</v>
      </c>
      <c r="F4" s="1" t="s">
        <v>337</v>
      </c>
      <c r="G4" s="1" t="s">
        <v>220</v>
      </c>
      <c r="H4" s="2"/>
      <c r="I4">
        <v>1</v>
      </c>
      <c r="J4" s="1" t="s">
        <v>234</v>
      </c>
      <c r="K4" s="1" t="s">
        <v>876</v>
      </c>
      <c r="L4">
        <v>4.2120019820508698</v>
      </c>
      <c r="M4" s="1" t="s">
        <v>234</v>
      </c>
      <c r="N4" s="1" t="s">
        <v>235</v>
      </c>
    </row>
    <row r="5" spans="1:15" x14ac:dyDescent="0.25">
      <c r="A5" s="1" t="s">
        <v>1170</v>
      </c>
      <c r="B5" s="1" t="s">
        <v>72</v>
      </c>
      <c r="C5" s="1" t="s">
        <v>80</v>
      </c>
      <c r="D5" s="2"/>
      <c r="E5" s="1" t="s">
        <v>207</v>
      </c>
      <c r="F5" s="1" t="s">
        <v>337</v>
      </c>
      <c r="G5" s="1" t="s">
        <v>220</v>
      </c>
      <c r="H5" s="2"/>
      <c r="I5">
        <v>1</v>
      </c>
      <c r="J5" s="1" t="s">
        <v>234</v>
      </c>
      <c r="K5" s="1" t="s">
        <v>876</v>
      </c>
      <c r="L5">
        <v>4.2348972947659878</v>
      </c>
      <c r="M5" s="1" t="s">
        <v>234</v>
      </c>
      <c r="N5" s="1" t="s">
        <v>235</v>
      </c>
    </row>
    <row r="6" spans="1:15" x14ac:dyDescent="0.25">
      <c r="A6" s="1" t="s">
        <v>1171</v>
      </c>
      <c r="B6" s="1" t="s">
        <v>72</v>
      </c>
      <c r="C6" s="1" t="s">
        <v>80</v>
      </c>
      <c r="D6" s="2"/>
      <c r="E6" s="1" t="s">
        <v>207</v>
      </c>
      <c r="F6" s="1" t="s">
        <v>361</v>
      </c>
      <c r="G6" s="1" t="s">
        <v>220</v>
      </c>
      <c r="H6" s="2"/>
      <c r="I6">
        <v>1</v>
      </c>
      <c r="J6" s="1" t="s">
        <v>234</v>
      </c>
      <c r="K6" s="1" t="s">
        <v>876</v>
      </c>
      <c r="L6">
        <v>4.3888501166012004</v>
      </c>
      <c r="M6" s="1" t="s">
        <v>234</v>
      </c>
      <c r="N6" s="1" t="s">
        <v>235</v>
      </c>
    </row>
    <row r="7" spans="1:15" x14ac:dyDescent="0.25">
      <c r="A7" s="1" t="s">
        <v>1172</v>
      </c>
      <c r="B7" s="1" t="s">
        <v>72</v>
      </c>
      <c r="C7" s="1" t="s">
        <v>80</v>
      </c>
      <c r="D7" s="2"/>
      <c r="E7" s="1" t="s">
        <v>207</v>
      </c>
      <c r="F7" s="1" t="s">
        <v>361</v>
      </c>
      <c r="G7" s="1" t="s">
        <v>220</v>
      </c>
      <c r="H7" s="2"/>
      <c r="I7">
        <v>1</v>
      </c>
      <c r="J7" s="1" t="s">
        <v>234</v>
      </c>
      <c r="K7" s="1" t="s">
        <v>876</v>
      </c>
      <c r="L7">
        <v>4.2120776392085197</v>
      </c>
      <c r="M7" s="1" t="s">
        <v>234</v>
      </c>
      <c r="N7" s="1" t="s">
        <v>235</v>
      </c>
    </row>
    <row r="8" spans="1:15" x14ac:dyDescent="0.25">
      <c r="A8" s="1" t="s">
        <v>1173</v>
      </c>
      <c r="B8" s="1" t="s">
        <v>72</v>
      </c>
      <c r="C8" s="1" t="s">
        <v>80</v>
      </c>
      <c r="D8" s="2"/>
      <c r="E8" s="1" t="s">
        <v>207</v>
      </c>
      <c r="F8" s="1" t="s">
        <v>361</v>
      </c>
      <c r="G8" s="1" t="s">
        <v>220</v>
      </c>
      <c r="H8" s="2"/>
      <c r="I8">
        <v>1</v>
      </c>
      <c r="J8" s="1" t="s">
        <v>234</v>
      </c>
      <c r="K8" s="1" t="s">
        <v>876</v>
      </c>
      <c r="L8">
        <v>4.2120019820643693</v>
      </c>
      <c r="M8" s="1" t="s">
        <v>234</v>
      </c>
      <c r="N8" s="1" t="s">
        <v>235</v>
      </c>
    </row>
    <row r="9" spans="1:15" x14ac:dyDescent="0.25">
      <c r="A9" s="1" t="s">
        <v>1174</v>
      </c>
      <c r="B9" s="1" t="s">
        <v>72</v>
      </c>
      <c r="C9" s="1" t="s">
        <v>80</v>
      </c>
      <c r="D9" s="2"/>
      <c r="E9" s="1" t="s">
        <v>207</v>
      </c>
      <c r="F9" s="1" t="s">
        <v>361</v>
      </c>
      <c r="G9" s="1" t="s">
        <v>220</v>
      </c>
      <c r="H9" s="2"/>
      <c r="I9">
        <v>1</v>
      </c>
      <c r="J9" s="1" t="s">
        <v>234</v>
      </c>
      <c r="K9" s="1" t="s">
        <v>876</v>
      </c>
      <c r="L9">
        <v>4.2334715538394789</v>
      </c>
      <c r="M9" s="1" t="s">
        <v>234</v>
      </c>
      <c r="N9" s="1" t="s">
        <v>235</v>
      </c>
    </row>
    <row r="10" spans="1:15" x14ac:dyDescent="0.25">
      <c r="A10" s="1" t="s">
        <v>1176</v>
      </c>
      <c r="B10" s="1" t="s">
        <v>72</v>
      </c>
      <c r="C10" s="1" t="s">
        <v>80</v>
      </c>
      <c r="D10" s="2"/>
      <c r="E10" s="1" t="s">
        <v>207</v>
      </c>
      <c r="F10" s="1" t="s">
        <v>336</v>
      </c>
      <c r="G10" s="1" t="s">
        <v>220</v>
      </c>
      <c r="H10" s="2"/>
      <c r="I10">
        <v>1</v>
      </c>
      <c r="J10" s="1" t="s">
        <v>234</v>
      </c>
      <c r="K10" s="1" t="s">
        <v>876</v>
      </c>
      <c r="L10">
        <v>4.1589518230493008</v>
      </c>
      <c r="M10" s="1" t="s">
        <v>234</v>
      </c>
      <c r="N10" s="1" t="s">
        <v>235</v>
      </c>
    </row>
    <row r="11" spans="1:15" x14ac:dyDescent="0.25">
      <c r="A11" s="1" t="s">
        <v>1175</v>
      </c>
      <c r="B11" s="1" t="s">
        <v>72</v>
      </c>
      <c r="C11" s="1" t="s">
        <v>80</v>
      </c>
      <c r="D11" s="2"/>
      <c r="E11" s="1" t="s">
        <v>207</v>
      </c>
      <c r="F11" s="1" t="s">
        <v>336</v>
      </c>
      <c r="G11" s="1" t="s">
        <v>220</v>
      </c>
      <c r="H11" s="2"/>
      <c r="I11">
        <v>1</v>
      </c>
      <c r="J11" s="1" t="s">
        <v>234</v>
      </c>
      <c r="K11" s="1" t="s">
        <v>876</v>
      </c>
      <c r="L11">
        <v>4.2565494307046272</v>
      </c>
      <c r="M11" s="1" t="s">
        <v>234</v>
      </c>
      <c r="N11" s="1" t="s">
        <v>235</v>
      </c>
    </row>
    <row r="12" spans="1:15" x14ac:dyDescent="0.25">
      <c r="A12" s="1" t="s">
        <v>1177</v>
      </c>
      <c r="B12" s="1" t="s">
        <v>72</v>
      </c>
      <c r="C12" s="1" t="s">
        <v>81</v>
      </c>
      <c r="D12" s="2"/>
      <c r="E12" s="1" t="s">
        <v>207</v>
      </c>
      <c r="F12" s="1" t="s">
        <v>355</v>
      </c>
      <c r="G12" s="1" t="s">
        <v>220</v>
      </c>
      <c r="H12" s="2"/>
      <c r="I12">
        <v>1</v>
      </c>
      <c r="J12" s="1" t="s">
        <v>234</v>
      </c>
      <c r="K12" s="1" t="s">
        <v>876</v>
      </c>
      <c r="L12">
        <v>3.2078410898587699</v>
      </c>
      <c r="M12" s="1" t="s">
        <v>234</v>
      </c>
      <c r="N12" s="1" t="s">
        <v>235</v>
      </c>
    </row>
    <row r="13" spans="1:15" x14ac:dyDescent="0.25">
      <c r="A13" s="1" t="s">
        <v>1178</v>
      </c>
      <c r="B13" s="1" t="s">
        <v>72</v>
      </c>
      <c r="C13" s="1" t="s">
        <v>81</v>
      </c>
      <c r="D13" s="2"/>
      <c r="E13" s="1" t="s">
        <v>207</v>
      </c>
      <c r="F13" s="1" t="s">
        <v>355</v>
      </c>
      <c r="G13" s="1" t="s">
        <v>220</v>
      </c>
      <c r="H13" s="2"/>
      <c r="I13">
        <v>1</v>
      </c>
      <c r="J13" s="1" t="s">
        <v>234</v>
      </c>
      <c r="K13" s="1" t="s">
        <v>876</v>
      </c>
      <c r="L13">
        <v>3.0795845195840554</v>
      </c>
      <c r="M13" s="1" t="s">
        <v>234</v>
      </c>
      <c r="N13" s="1" t="s">
        <v>235</v>
      </c>
    </row>
    <row r="14" spans="1:15" x14ac:dyDescent="0.25">
      <c r="A14" s="1" t="s">
        <v>1179</v>
      </c>
      <c r="B14" s="1" t="s">
        <v>72</v>
      </c>
      <c r="C14" s="1" t="s">
        <v>81</v>
      </c>
      <c r="D14" s="2"/>
      <c r="E14" s="1" t="s">
        <v>207</v>
      </c>
      <c r="F14" s="1" t="s">
        <v>355</v>
      </c>
      <c r="G14" s="1" t="s">
        <v>220</v>
      </c>
      <c r="H14" s="2"/>
      <c r="I14">
        <v>1</v>
      </c>
      <c r="J14" s="1" t="s">
        <v>234</v>
      </c>
      <c r="K14" s="1" t="s">
        <v>876</v>
      </c>
      <c r="L14">
        <v>3.079584519584055</v>
      </c>
      <c r="M14" s="1" t="s">
        <v>234</v>
      </c>
      <c r="N14" s="1" t="s">
        <v>235</v>
      </c>
    </row>
    <row r="15" spans="1:15" x14ac:dyDescent="0.25">
      <c r="A15" s="1" t="s">
        <v>1180</v>
      </c>
      <c r="B15" s="1" t="s">
        <v>72</v>
      </c>
      <c r="C15" s="1" t="s">
        <v>81</v>
      </c>
      <c r="D15" s="2"/>
      <c r="E15" s="1" t="s">
        <v>207</v>
      </c>
      <c r="F15" s="1" t="s">
        <v>355</v>
      </c>
      <c r="G15" s="1" t="s">
        <v>220</v>
      </c>
      <c r="H15" s="2"/>
      <c r="I15">
        <v>1</v>
      </c>
      <c r="J15" s="1" t="s">
        <v>234</v>
      </c>
      <c r="K15" s="1" t="s">
        <v>876</v>
      </c>
      <c r="L15">
        <v>3.0960844469763078</v>
      </c>
      <c r="M15" s="1" t="s">
        <v>234</v>
      </c>
      <c r="N15" s="1" t="s">
        <v>235</v>
      </c>
    </row>
    <row r="16" spans="1:15" x14ac:dyDescent="0.25">
      <c r="A16" s="1" t="s">
        <v>1181</v>
      </c>
      <c r="B16" s="1" t="s">
        <v>72</v>
      </c>
      <c r="C16" s="1" t="s">
        <v>81</v>
      </c>
      <c r="D16" s="2"/>
      <c r="E16" s="1" t="s">
        <v>207</v>
      </c>
      <c r="F16" s="1" t="s">
        <v>342</v>
      </c>
      <c r="G16" s="1" t="s">
        <v>220</v>
      </c>
      <c r="H16" s="2"/>
      <c r="I16">
        <v>1</v>
      </c>
      <c r="J16" s="1" t="s">
        <v>234</v>
      </c>
      <c r="K16" s="1" t="s">
        <v>876</v>
      </c>
      <c r="L16">
        <v>2.4364026504885712</v>
      </c>
      <c r="M16" s="1" t="s">
        <v>234</v>
      </c>
      <c r="N16" s="1" t="s">
        <v>235</v>
      </c>
    </row>
    <row r="17" spans="1:14" x14ac:dyDescent="0.25">
      <c r="A17" s="1" t="s">
        <v>1182</v>
      </c>
      <c r="B17" s="1" t="s">
        <v>72</v>
      </c>
      <c r="C17" s="1" t="s">
        <v>81</v>
      </c>
      <c r="D17" s="2"/>
      <c r="E17" s="1" t="s">
        <v>207</v>
      </c>
      <c r="F17" s="1" t="s">
        <v>342</v>
      </c>
      <c r="G17" s="1" t="s">
        <v>220</v>
      </c>
      <c r="H17" s="2"/>
      <c r="I17">
        <v>1</v>
      </c>
      <c r="J17" s="1" t="s">
        <v>234</v>
      </c>
      <c r="K17" s="1" t="s">
        <v>876</v>
      </c>
      <c r="L17">
        <v>2.3389898926067993</v>
      </c>
      <c r="M17" s="1" t="s">
        <v>234</v>
      </c>
      <c r="N17" s="1" t="s">
        <v>235</v>
      </c>
    </row>
    <row r="18" spans="1:14" x14ac:dyDescent="0.25">
      <c r="A18" s="1" t="s">
        <v>1183</v>
      </c>
      <c r="B18" s="1" t="s">
        <v>72</v>
      </c>
      <c r="C18" s="1" t="s">
        <v>81</v>
      </c>
      <c r="D18" s="2"/>
      <c r="E18" s="1" t="s">
        <v>207</v>
      </c>
      <c r="F18" s="1" t="s">
        <v>342</v>
      </c>
      <c r="G18" s="1" t="s">
        <v>220</v>
      </c>
      <c r="H18" s="2"/>
      <c r="I18">
        <v>1</v>
      </c>
      <c r="J18" s="1" t="s">
        <v>234</v>
      </c>
      <c r="K18" s="1" t="s">
        <v>876</v>
      </c>
      <c r="L18">
        <v>2.3389898924975601</v>
      </c>
      <c r="M18" s="1" t="s">
        <v>234</v>
      </c>
      <c r="N18" s="1" t="s">
        <v>235</v>
      </c>
    </row>
    <row r="19" spans="1:14" x14ac:dyDescent="0.25">
      <c r="A19" s="1" t="s">
        <v>1184</v>
      </c>
      <c r="B19" s="1" t="s">
        <v>72</v>
      </c>
      <c r="C19" s="1" t="s">
        <v>81</v>
      </c>
      <c r="D19" s="2"/>
      <c r="E19" s="1" t="s">
        <v>207</v>
      </c>
      <c r="F19" s="1" t="s">
        <v>342</v>
      </c>
      <c r="G19" s="1" t="s">
        <v>220</v>
      </c>
      <c r="H19" s="2"/>
      <c r="I19">
        <v>1</v>
      </c>
      <c r="J19" s="1" t="s">
        <v>234</v>
      </c>
      <c r="K19" s="1" t="s">
        <v>876</v>
      </c>
      <c r="L19">
        <v>2.3515230036076979</v>
      </c>
      <c r="M19" s="1" t="s">
        <v>234</v>
      </c>
      <c r="N19" s="1" t="s">
        <v>235</v>
      </c>
    </row>
    <row r="20" spans="1:14" x14ac:dyDescent="0.25">
      <c r="A20" s="1" t="s">
        <v>1185</v>
      </c>
      <c r="B20" s="1" t="s">
        <v>72</v>
      </c>
      <c r="C20" s="1" t="s">
        <v>82</v>
      </c>
      <c r="D20" s="2"/>
      <c r="E20" s="1" t="s">
        <v>207</v>
      </c>
      <c r="F20" s="1" t="s">
        <v>365</v>
      </c>
      <c r="G20" s="1" t="s">
        <v>220</v>
      </c>
      <c r="H20" s="2"/>
      <c r="I20">
        <v>1</v>
      </c>
      <c r="J20" s="1" t="s">
        <v>234</v>
      </c>
      <c r="K20" s="1" t="s">
        <v>876</v>
      </c>
      <c r="L20">
        <v>7.438233567273155</v>
      </c>
      <c r="M20" s="1" t="s">
        <v>234</v>
      </c>
      <c r="N20" s="1" t="s">
        <v>235</v>
      </c>
    </row>
    <row r="21" spans="1:14" x14ac:dyDescent="0.25">
      <c r="A21" s="1" t="s">
        <v>1186</v>
      </c>
      <c r="B21" s="1" t="s">
        <v>72</v>
      </c>
      <c r="C21" s="1" t="s">
        <v>82</v>
      </c>
      <c r="D21" s="2"/>
      <c r="E21" s="1" t="s">
        <v>207</v>
      </c>
      <c r="F21" s="1" t="s">
        <v>365</v>
      </c>
      <c r="G21" s="1" t="s">
        <v>220</v>
      </c>
      <c r="H21" s="2"/>
      <c r="I21">
        <v>1</v>
      </c>
      <c r="J21" s="1" t="s">
        <v>234</v>
      </c>
      <c r="K21" s="1" t="s">
        <v>876</v>
      </c>
      <c r="L21">
        <v>7.1408358052471756</v>
      </c>
      <c r="M21" s="1" t="s">
        <v>234</v>
      </c>
      <c r="N21" s="1" t="s">
        <v>235</v>
      </c>
    </row>
    <row r="22" spans="1:14" x14ac:dyDescent="0.25">
      <c r="A22" s="1" t="s">
        <v>1187</v>
      </c>
      <c r="B22" s="1" t="s">
        <v>72</v>
      </c>
      <c r="C22" s="1" t="s">
        <v>82</v>
      </c>
      <c r="D22" s="2"/>
      <c r="E22" s="1" t="s">
        <v>207</v>
      </c>
      <c r="F22" s="1" t="s">
        <v>365</v>
      </c>
      <c r="G22" s="1" t="s">
        <v>220</v>
      </c>
      <c r="H22" s="2"/>
      <c r="I22">
        <v>1</v>
      </c>
      <c r="J22" s="1" t="s">
        <v>234</v>
      </c>
      <c r="K22" s="1" t="s">
        <v>876</v>
      </c>
      <c r="L22">
        <v>7.1408358052380194</v>
      </c>
      <c r="M22" s="1" t="s">
        <v>234</v>
      </c>
      <c r="N22" s="1" t="s">
        <v>235</v>
      </c>
    </row>
    <row r="23" spans="1:14" x14ac:dyDescent="0.25">
      <c r="A23" s="1" t="s">
        <v>1188</v>
      </c>
      <c r="B23" s="1" t="s">
        <v>72</v>
      </c>
      <c r="C23" s="1" t="s">
        <v>82</v>
      </c>
      <c r="D23" s="2"/>
      <c r="E23" s="1" t="s">
        <v>207</v>
      </c>
      <c r="F23" s="1" t="s">
        <v>365</v>
      </c>
      <c r="G23" s="1" t="s">
        <v>220</v>
      </c>
      <c r="H23" s="2"/>
      <c r="I23">
        <v>1</v>
      </c>
      <c r="J23" s="1" t="s">
        <v>234</v>
      </c>
      <c r="K23" s="1" t="s">
        <v>876</v>
      </c>
      <c r="L23">
        <v>7.1794358133708274</v>
      </c>
      <c r="M23" s="1" t="s">
        <v>234</v>
      </c>
      <c r="N23" s="1" t="s">
        <v>235</v>
      </c>
    </row>
    <row r="24" spans="1:14" x14ac:dyDescent="0.25">
      <c r="A24" s="1" t="s">
        <v>1193</v>
      </c>
      <c r="B24" s="1" t="s">
        <v>72</v>
      </c>
      <c r="C24" s="1" t="s">
        <v>82</v>
      </c>
      <c r="D24" s="2"/>
      <c r="E24" s="1" t="s">
        <v>207</v>
      </c>
      <c r="F24" s="1" t="s">
        <v>347</v>
      </c>
      <c r="G24" s="1" t="s">
        <v>220</v>
      </c>
      <c r="H24" s="2"/>
      <c r="I24">
        <v>1</v>
      </c>
      <c r="J24" s="1" t="s">
        <v>234</v>
      </c>
      <c r="K24" s="1" t="s">
        <v>876</v>
      </c>
      <c r="L24">
        <v>6.4892466309052326</v>
      </c>
      <c r="M24" s="1" t="s">
        <v>234</v>
      </c>
      <c r="N24" s="1" t="s">
        <v>235</v>
      </c>
    </row>
    <row r="25" spans="1:14" x14ac:dyDescent="0.25">
      <c r="A25" s="1" t="s">
        <v>1194</v>
      </c>
      <c r="B25" s="1" t="s">
        <v>72</v>
      </c>
      <c r="C25" s="1" t="s">
        <v>82</v>
      </c>
      <c r="D25" s="2"/>
      <c r="E25" s="1" t="s">
        <v>207</v>
      </c>
      <c r="F25" s="1" t="s">
        <v>347</v>
      </c>
      <c r="G25" s="1" t="s">
        <v>220</v>
      </c>
      <c r="H25" s="2"/>
      <c r="I25">
        <v>1</v>
      </c>
      <c r="J25" s="1" t="s">
        <v>234</v>
      </c>
      <c r="K25" s="1" t="s">
        <v>876</v>
      </c>
      <c r="L25">
        <v>6.4892466306029482</v>
      </c>
      <c r="M25" s="1" t="s">
        <v>234</v>
      </c>
      <c r="N25" s="1" t="s">
        <v>235</v>
      </c>
    </row>
    <row r="26" spans="1:14" x14ac:dyDescent="0.25">
      <c r="A26" s="1" t="s">
        <v>1195</v>
      </c>
      <c r="B26" s="1" t="s">
        <v>72</v>
      </c>
      <c r="C26" s="1" t="s">
        <v>82</v>
      </c>
      <c r="D26" s="2"/>
      <c r="E26" s="1" t="s">
        <v>207</v>
      </c>
      <c r="F26" s="1" t="s">
        <v>347</v>
      </c>
      <c r="G26" s="1" t="s">
        <v>220</v>
      </c>
      <c r="H26" s="2"/>
      <c r="I26">
        <v>1</v>
      </c>
      <c r="J26" s="1" t="s">
        <v>234</v>
      </c>
      <c r="K26" s="1" t="s">
        <v>876</v>
      </c>
      <c r="L26">
        <v>5.932304952885568</v>
      </c>
      <c r="M26" s="1" t="s">
        <v>234</v>
      </c>
      <c r="N26" s="1" t="s">
        <v>235</v>
      </c>
    </row>
    <row r="27" spans="1:14" x14ac:dyDescent="0.25">
      <c r="A27" s="1" t="s">
        <v>1189</v>
      </c>
      <c r="B27" s="1" t="s">
        <v>72</v>
      </c>
      <c r="C27" s="1" t="s">
        <v>82</v>
      </c>
      <c r="D27" s="2"/>
      <c r="E27" s="1" t="s">
        <v>207</v>
      </c>
      <c r="F27" s="1" t="s">
        <v>366</v>
      </c>
      <c r="G27" s="1" t="s">
        <v>220</v>
      </c>
      <c r="H27" s="2"/>
      <c r="I27">
        <v>1</v>
      </c>
      <c r="J27" s="1" t="s">
        <v>234</v>
      </c>
      <c r="K27" s="1" t="s">
        <v>876</v>
      </c>
      <c r="L27">
        <v>7.371000003943843</v>
      </c>
      <c r="M27" s="1" t="s">
        <v>234</v>
      </c>
      <c r="N27" s="1" t="s">
        <v>235</v>
      </c>
    </row>
    <row r="28" spans="1:14" x14ac:dyDescent="0.25">
      <c r="A28" s="1" t="s">
        <v>1190</v>
      </c>
      <c r="B28" s="1" t="s">
        <v>72</v>
      </c>
      <c r="C28" s="1" t="s">
        <v>82</v>
      </c>
      <c r="D28" s="2"/>
      <c r="E28" s="1" t="s">
        <v>207</v>
      </c>
      <c r="F28" s="1" t="s">
        <v>366</v>
      </c>
      <c r="G28" s="1" t="s">
        <v>220</v>
      </c>
      <c r="H28" s="2"/>
      <c r="I28">
        <v>1</v>
      </c>
      <c r="J28" s="1" t="s">
        <v>234</v>
      </c>
      <c r="K28" s="1" t="s">
        <v>876</v>
      </c>
      <c r="L28">
        <v>7.0762907977146181</v>
      </c>
      <c r="M28" s="1" t="s">
        <v>234</v>
      </c>
      <c r="N28" s="1" t="s">
        <v>235</v>
      </c>
    </row>
    <row r="29" spans="1:14" x14ac:dyDescent="0.25">
      <c r="A29" s="1" t="s">
        <v>1191</v>
      </c>
      <c r="B29" s="1" t="s">
        <v>72</v>
      </c>
      <c r="C29" s="1" t="s">
        <v>82</v>
      </c>
      <c r="D29" s="2"/>
      <c r="E29" s="1" t="s">
        <v>207</v>
      </c>
      <c r="F29" s="1" t="s">
        <v>366</v>
      </c>
      <c r="G29" s="1" t="s">
        <v>220</v>
      </c>
      <c r="H29" s="2"/>
      <c r="I29">
        <v>1</v>
      </c>
      <c r="J29" s="1" t="s">
        <v>234</v>
      </c>
      <c r="K29" s="1" t="s">
        <v>876</v>
      </c>
      <c r="L29">
        <v>7.0762907957314107</v>
      </c>
      <c r="M29" s="1" t="s">
        <v>234</v>
      </c>
      <c r="N29" s="1" t="s">
        <v>235</v>
      </c>
    </row>
    <row r="30" spans="1:14" x14ac:dyDescent="0.25">
      <c r="A30" s="1" t="s">
        <v>1192</v>
      </c>
      <c r="B30" s="1" t="s">
        <v>72</v>
      </c>
      <c r="C30" s="1" t="s">
        <v>82</v>
      </c>
      <c r="D30" s="2"/>
      <c r="E30" s="1" t="s">
        <v>207</v>
      </c>
      <c r="F30" s="1" t="s">
        <v>366</v>
      </c>
      <c r="G30" s="1" t="s">
        <v>220</v>
      </c>
      <c r="H30" s="2"/>
      <c r="I30">
        <v>1</v>
      </c>
      <c r="J30" s="1" t="s">
        <v>234</v>
      </c>
      <c r="K30" s="1" t="s">
        <v>876</v>
      </c>
      <c r="L30">
        <v>6.3840778556194175</v>
      </c>
      <c r="M30" s="1" t="s">
        <v>234</v>
      </c>
      <c r="N30" s="1" t="s">
        <v>235</v>
      </c>
    </row>
    <row r="31" spans="1:14" x14ac:dyDescent="0.25">
      <c r="A31" s="1" t="s">
        <v>1933</v>
      </c>
      <c r="B31" s="1" t="s">
        <v>2012</v>
      </c>
      <c r="C31" s="1" t="s">
        <v>80</v>
      </c>
      <c r="D31" s="2"/>
      <c r="E31" s="1" t="s">
        <v>207</v>
      </c>
      <c r="F31" s="1" t="s">
        <v>337</v>
      </c>
      <c r="G31" s="1" t="s">
        <v>220</v>
      </c>
      <c r="H31" s="2"/>
      <c r="I31">
        <v>1</v>
      </c>
      <c r="J31" s="1" t="s">
        <v>234</v>
      </c>
      <c r="K31" s="1" t="s">
        <v>876</v>
      </c>
      <c r="L31">
        <v>2.6316639353419418</v>
      </c>
      <c r="M31" s="1" t="s">
        <v>234</v>
      </c>
      <c r="N31" s="1" t="s">
        <v>235</v>
      </c>
    </row>
    <row r="32" spans="1:14" x14ac:dyDescent="0.25">
      <c r="A32" s="1" t="s">
        <v>1929</v>
      </c>
      <c r="B32" s="1" t="s">
        <v>2012</v>
      </c>
      <c r="C32" s="1" t="s">
        <v>80</v>
      </c>
      <c r="D32" s="2"/>
      <c r="E32" s="1" t="s">
        <v>207</v>
      </c>
      <c r="F32" s="1" t="s">
        <v>337</v>
      </c>
      <c r="G32" s="1" t="s">
        <v>220</v>
      </c>
      <c r="H32" s="2"/>
      <c r="I32">
        <v>1</v>
      </c>
      <c r="J32" s="1" t="s">
        <v>234</v>
      </c>
      <c r="K32" s="1" t="s">
        <v>876</v>
      </c>
      <c r="L32">
        <v>3.2519446386353641</v>
      </c>
      <c r="M32" s="1" t="s">
        <v>234</v>
      </c>
      <c r="N32" s="1" t="s">
        <v>235</v>
      </c>
    </row>
    <row r="33" spans="1:14" x14ac:dyDescent="0.25">
      <c r="A33" s="1" t="s">
        <v>1934</v>
      </c>
      <c r="B33" s="1" t="s">
        <v>2012</v>
      </c>
      <c r="C33" s="1" t="s">
        <v>80</v>
      </c>
      <c r="D33" s="2"/>
      <c r="E33" s="1" t="s">
        <v>207</v>
      </c>
      <c r="F33" s="1" t="s">
        <v>337</v>
      </c>
      <c r="G33" s="1" t="s">
        <v>220</v>
      </c>
      <c r="H33" s="2"/>
      <c r="I33">
        <v>1</v>
      </c>
      <c r="J33" s="1" t="s">
        <v>234</v>
      </c>
      <c r="K33" s="1" t="s">
        <v>876</v>
      </c>
      <c r="L33">
        <v>3.2245258569452688</v>
      </c>
      <c r="M33" s="1" t="s">
        <v>234</v>
      </c>
      <c r="N33" s="1" t="s">
        <v>235</v>
      </c>
    </row>
    <row r="34" spans="1:14" x14ac:dyDescent="0.25">
      <c r="A34" s="1" t="s">
        <v>1931</v>
      </c>
      <c r="B34" s="1" t="s">
        <v>2012</v>
      </c>
      <c r="C34" s="1" t="s">
        <v>80</v>
      </c>
      <c r="D34" s="2"/>
      <c r="E34" s="1" t="s">
        <v>207</v>
      </c>
      <c r="F34" s="1" t="s">
        <v>337</v>
      </c>
      <c r="G34" s="1" t="s">
        <v>220</v>
      </c>
      <c r="H34" s="2"/>
      <c r="I34">
        <v>1</v>
      </c>
      <c r="J34" s="1" t="s">
        <v>234</v>
      </c>
      <c r="K34" s="1" t="s">
        <v>876</v>
      </c>
      <c r="L34">
        <v>2.5906100575301925</v>
      </c>
      <c r="M34" s="1" t="s">
        <v>234</v>
      </c>
      <c r="N34" s="1" t="s">
        <v>235</v>
      </c>
    </row>
    <row r="35" spans="1:14" x14ac:dyDescent="0.25">
      <c r="A35" s="1" t="s">
        <v>1932</v>
      </c>
      <c r="B35" s="1" t="s">
        <v>2012</v>
      </c>
      <c r="C35" s="1" t="s">
        <v>80</v>
      </c>
      <c r="D35" s="2"/>
      <c r="E35" s="1" t="s">
        <v>207</v>
      </c>
      <c r="F35" s="1" t="s">
        <v>337</v>
      </c>
      <c r="G35" s="1" t="s">
        <v>220</v>
      </c>
      <c r="H35" s="2"/>
      <c r="I35">
        <v>1</v>
      </c>
      <c r="J35" s="1" t="s">
        <v>234</v>
      </c>
      <c r="K35" s="1" t="s">
        <v>876</v>
      </c>
      <c r="L35">
        <v>2.4812128366778881</v>
      </c>
      <c r="M35" s="1" t="s">
        <v>234</v>
      </c>
      <c r="N35" s="1" t="s">
        <v>235</v>
      </c>
    </row>
    <row r="36" spans="1:14" x14ac:dyDescent="0.25">
      <c r="A36" s="1" t="s">
        <v>1930</v>
      </c>
      <c r="B36" s="1" t="s">
        <v>2012</v>
      </c>
      <c r="C36" s="1" t="s">
        <v>80</v>
      </c>
      <c r="D36" s="2"/>
      <c r="E36" s="1" t="s">
        <v>207</v>
      </c>
      <c r="F36" s="1" t="s">
        <v>337</v>
      </c>
      <c r="G36" s="1" t="s">
        <v>220</v>
      </c>
      <c r="H36" s="2"/>
      <c r="I36">
        <v>1</v>
      </c>
      <c r="J36" s="1" t="s">
        <v>234</v>
      </c>
      <c r="K36" s="1" t="s">
        <v>876</v>
      </c>
      <c r="L36">
        <v>3.2772762114740726</v>
      </c>
      <c r="M36" s="1" t="s">
        <v>234</v>
      </c>
      <c r="N36" s="1" t="s">
        <v>235</v>
      </c>
    </row>
    <row r="37" spans="1:14" x14ac:dyDescent="0.25">
      <c r="A37" s="1" t="s">
        <v>1936</v>
      </c>
      <c r="B37" s="1" t="s">
        <v>2012</v>
      </c>
      <c r="C37" s="1" t="s">
        <v>80</v>
      </c>
      <c r="D37" s="2"/>
      <c r="E37" s="1" t="s">
        <v>207</v>
      </c>
      <c r="F37" s="1" t="s">
        <v>361</v>
      </c>
      <c r="G37" s="1" t="s">
        <v>220</v>
      </c>
      <c r="H37" s="2"/>
      <c r="I37">
        <v>1</v>
      </c>
      <c r="J37" s="1" t="s">
        <v>234</v>
      </c>
      <c r="K37" s="1" t="s">
        <v>876</v>
      </c>
      <c r="L37">
        <v>3.6161834985000012</v>
      </c>
      <c r="M37" s="1" t="s">
        <v>234</v>
      </c>
      <c r="N37" s="1" t="s">
        <v>235</v>
      </c>
    </row>
    <row r="38" spans="1:14" x14ac:dyDescent="0.25">
      <c r="A38" s="1" t="s">
        <v>1942</v>
      </c>
      <c r="B38" s="1" t="s">
        <v>2012</v>
      </c>
      <c r="C38" s="1" t="s">
        <v>80</v>
      </c>
      <c r="D38" s="2"/>
      <c r="E38" s="1" t="s">
        <v>207</v>
      </c>
      <c r="F38" s="1" t="s">
        <v>361</v>
      </c>
      <c r="G38" s="1" t="s">
        <v>220</v>
      </c>
      <c r="H38" s="2"/>
      <c r="I38">
        <v>1</v>
      </c>
      <c r="J38" s="1" t="s">
        <v>234</v>
      </c>
      <c r="K38" s="1" t="s">
        <v>876</v>
      </c>
      <c r="L38">
        <v>2.636060414789879</v>
      </c>
      <c r="M38" s="1" t="s">
        <v>234</v>
      </c>
      <c r="N38" s="1" t="s">
        <v>235</v>
      </c>
    </row>
    <row r="39" spans="1:14" x14ac:dyDescent="0.25">
      <c r="A39" s="1" t="s">
        <v>1937</v>
      </c>
      <c r="B39" s="1" t="s">
        <v>2012</v>
      </c>
      <c r="C39" s="1" t="s">
        <v>80</v>
      </c>
      <c r="D39" s="2"/>
      <c r="E39" s="1" t="s">
        <v>207</v>
      </c>
      <c r="F39" s="1" t="s">
        <v>361</v>
      </c>
      <c r="G39" s="1" t="s">
        <v>220</v>
      </c>
      <c r="H39" s="2"/>
      <c r="I39">
        <v>1</v>
      </c>
      <c r="J39" s="1" t="s">
        <v>234</v>
      </c>
      <c r="K39" s="1" t="s">
        <v>876</v>
      </c>
      <c r="L39">
        <v>3.2591526130653627</v>
      </c>
      <c r="M39" s="1" t="s">
        <v>234</v>
      </c>
      <c r="N39" s="1" t="s">
        <v>235</v>
      </c>
    </row>
    <row r="40" spans="1:14" x14ac:dyDescent="0.25">
      <c r="A40" s="1" t="s">
        <v>1945</v>
      </c>
      <c r="B40" s="1" t="s">
        <v>2012</v>
      </c>
      <c r="C40" s="1" t="s">
        <v>80</v>
      </c>
      <c r="D40" s="2"/>
      <c r="E40" s="1" t="s">
        <v>207</v>
      </c>
      <c r="F40" s="1" t="s">
        <v>361</v>
      </c>
      <c r="G40" s="1" t="s">
        <v>220</v>
      </c>
      <c r="H40" s="2"/>
      <c r="I40">
        <v>1</v>
      </c>
      <c r="J40" s="1" t="s">
        <v>234</v>
      </c>
      <c r="K40" s="1" t="s">
        <v>876</v>
      </c>
      <c r="L40">
        <v>3.4678664262610872</v>
      </c>
      <c r="M40" s="1" t="s">
        <v>234</v>
      </c>
      <c r="N40" s="1" t="s">
        <v>235</v>
      </c>
    </row>
    <row r="41" spans="1:14" x14ac:dyDescent="0.25">
      <c r="A41" s="1" t="s">
        <v>1938</v>
      </c>
      <c r="B41" s="1" t="s">
        <v>2012</v>
      </c>
      <c r="C41" s="1" t="s">
        <v>80</v>
      </c>
      <c r="D41" s="2"/>
      <c r="E41" s="1" t="s">
        <v>207</v>
      </c>
      <c r="F41" s="1" t="s">
        <v>336</v>
      </c>
      <c r="G41" s="1" t="s">
        <v>220</v>
      </c>
      <c r="H41" s="2"/>
      <c r="I41">
        <v>1</v>
      </c>
      <c r="J41" s="1" t="s">
        <v>234</v>
      </c>
      <c r="K41" s="1" t="s">
        <v>876</v>
      </c>
      <c r="L41">
        <v>3.6161834984652264</v>
      </c>
      <c r="M41" s="1" t="s">
        <v>234</v>
      </c>
      <c r="N41" s="1" t="s">
        <v>235</v>
      </c>
    </row>
    <row r="42" spans="1:14" x14ac:dyDescent="0.25">
      <c r="A42" s="1" t="s">
        <v>1939</v>
      </c>
      <c r="B42" s="1" t="s">
        <v>2012</v>
      </c>
      <c r="C42" s="1" t="s">
        <v>80</v>
      </c>
      <c r="D42" s="2"/>
      <c r="E42" s="1" t="s">
        <v>207</v>
      </c>
      <c r="F42" s="1" t="s">
        <v>336</v>
      </c>
      <c r="G42" s="1" t="s">
        <v>220</v>
      </c>
      <c r="H42" s="2"/>
      <c r="I42">
        <v>1</v>
      </c>
      <c r="J42" s="1" t="s">
        <v>234</v>
      </c>
      <c r="K42" s="1" t="s">
        <v>876</v>
      </c>
      <c r="L42">
        <v>3.2591550797142905</v>
      </c>
      <c r="M42" s="1" t="s">
        <v>234</v>
      </c>
      <c r="N42" s="1" t="s">
        <v>235</v>
      </c>
    </row>
    <row r="43" spans="1:14" x14ac:dyDescent="0.25">
      <c r="A43" s="1" t="s">
        <v>1943</v>
      </c>
      <c r="B43" s="1" t="s">
        <v>2012</v>
      </c>
      <c r="C43" s="1" t="s">
        <v>80</v>
      </c>
      <c r="D43" s="2"/>
      <c r="E43" s="1" t="s">
        <v>207</v>
      </c>
      <c r="F43" s="1" t="s">
        <v>336</v>
      </c>
      <c r="G43" s="1" t="s">
        <v>220</v>
      </c>
      <c r="H43" s="2"/>
      <c r="I43">
        <v>1</v>
      </c>
      <c r="J43" s="1" t="s">
        <v>234</v>
      </c>
      <c r="K43" s="1" t="s">
        <v>876</v>
      </c>
      <c r="L43">
        <v>2.6360721495268438</v>
      </c>
      <c r="M43" s="1" t="s">
        <v>234</v>
      </c>
      <c r="N43" s="1" t="s">
        <v>235</v>
      </c>
    </row>
    <row r="44" spans="1:14" x14ac:dyDescent="0.25">
      <c r="A44" s="1" t="s">
        <v>1946</v>
      </c>
      <c r="B44" s="1" t="s">
        <v>2012</v>
      </c>
      <c r="C44" s="1" t="s">
        <v>80</v>
      </c>
      <c r="D44" s="2"/>
      <c r="E44" s="1" t="s">
        <v>207</v>
      </c>
      <c r="F44" s="1" t="s">
        <v>336</v>
      </c>
      <c r="G44" s="1" t="s">
        <v>220</v>
      </c>
      <c r="H44" s="2"/>
      <c r="I44">
        <v>1</v>
      </c>
      <c r="J44" s="1" t="s">
        <v>234</v>
      </c>
      <c r="K44" s="1" t="s">
        <v>876</v>
      </c>
      <c r="L44">
        <v>3.4678664262721974</v>
      </c>
      <c r="M44" s="1" t="s">
        <v>234</v>
      </c>
      <c r="N44" s="1" t="s">
        <v>235</v>
      </c>
    </row>
    <row r="45" spans="1:14" x14ac:dyDescent="0.25">
      <c r="A45" s="1" t="s">
        <v>1935</v>
      </c>
      <c r="B45" s="1" t="s">
        <v>2012</v>
      </c>
      <c r="C45" s="1" t="s">
        <v>80</v>
      </c>
      <c r="D45" s="2"/>
      <c r="E45" s="1" t="s">
        <v>207</v>
      </c>
      <c r="F45" s="1" t="s">
        <v>355</v>
      </c>
      <c r="G45" s="1" t="s">
        <v>220</v>
      </c>
      <c r="H45" s="2"/>
      <c r="I45">
        <v>1</v>
      </c>
      <c r="J45" s="1" t="s">
        <v>234</v>
      </c>
      <c r="K45" s="1" t="s">
        <v>876</v>
      </c>
      <c r="L45">
        <v>2.4822171491322265</v>
      </c>
      <c r="M45" s="1" t="s">
        <v>234</v>
      </c>
      <c r="N45" s="1" t="s">
        <v>235</v>
      </c>
    </row>
    <row r="46" spans="1:14" x14ac:dyDescent="0.25">
      <c r="A46" s="1" t="s">
        <v>1944</v>
      </c>
      <c r="B46" s="1" t="s">
        <v>2012</v>
      </c>
      <c r="C46" s="1" t="s">
        <v>80</v>
      </c>
      <c r="D46" s="2"/>
      <c r="E46" s="1" t="s">
        <v>207</v>
      </c>
      <c r="F46" s="1" t="s">
        <v>355</v>
      </c>
      <c r="G46" s="1" t="s">
        <v>220</v>
      </c>
      <c r="H46" s="2"/>
      <c r="I46">
        <v>1</v>
      </c>
      <c r="J46" s="1" t="s">
        <v>234</v>
      </c>
      <c r="K46" s="1" t="s">
        <v>876</v>
      </c>
      <c r="L46">
        <v>2.469622349505364</v>
      </c>
      <c r="M46" s="1" t="s">
        <v>234</v>
      </c>
      <c r="N46" s="1" t="s">
        <v>235</v>
      </c>
    </row>
    <row r="47" spans="1:14" x14ac:dyDescent="0.25">
      <c r="A47" s="1" t="s">
        <v>1940</v>
      </c>
      <c r="B47" s="1" t="s">
        <v>2012</v>
      </c>
      <c r="C47" s="1" t="s">
        <v>80</v>
      </c>
      <c r="D47" s="2"/>
      <c r="E47" s="1" t="s">
        <v>207</v>
      </c>
      <c r="F47" s="1" t="s">
        <v>355</v>
      </c>
      <c r="G47" s="1" t="s">
        <v>220</v>
      </c>
      <c r="H47" s="2"/>
      <c r="I47">
        <v>1</v>
      </c>
      <c r="J47" s="1" t="s">
        <v>234</v>
      </c>
      <c r="K47" s="1" t="s">
        <v>876</v>
      </c>
      <c r="L47">
        <v>3.4812666879221799</v>
      </c>
      <c r="M47" s="1" t="s">
        <v>234</v>
      </c>
      <c r="N47" s="1" t="s">
        <v>235</v>
      </c>
    </row>
    <row r="48" spans="1:14" x14ac:dyDescent="0.25">
      <c r="A48" s="1" t="s">
        <v>1941</v>
      </c>
      <c r="B48" s="1" t="s">
        <v>2012</v>
      </c>
      <c r="C48" s="1" t="s">
        <v>80</v>
      </c>
      <c r="D48" s="2"/>
      <c r="E48" s="1" t="s">
        <v>207</v>
      </c>
      <c r="F48" s="1" t="s">
        <v>355</v>
      </c>
      <c r="G48" s="1" t="s">
        <v>220</v>
      </c>
      <c r="H48" s="2"/>
      <c r="I48">
        <v>1</v>
      </c>
      <c r="J48" s="1" t="s">
        <v>234</v>
      </c>
      <c r="K48" s="1" t="s">
        <v>876</v>
      </c>
      <c r="L48">
        <v>3.1230626867623577</v>
      </c>
      <c r="M48" s="1" t="s">
        <v>234</v>
      </c>
      <c r="N48" s="1" t="s">
        <v>235</v>
      </c>
    </row>
    <row r="49" spans="1:14" x14ac:dyDescent="0.25">
      <c r="A49" s="1" t="s">
        <v>1947</v>
      </c>
      <c r="B49" s="1" t="s">
        <v>2012</v>
      </c>
      <c r="C49" s="1" t="s">
        <v>80</v>
      </c>
      <c r="D49" s="2"/>
      <c r="E49" s="1" t="s">
        <v>207</v>
      </c>
      <c r="F49" s="1" t="s">
        <v>355</v>
      </c>
      <c r="G49" s="1" t="s">
        <v>220</v>
      </c>
      <c r="H49" s="2"/>
      <c r="I49">
        <v>1</v>
      </c>
      <c r="J49" s="1" t="s">
        <v>234</v>
      </c>
      <c r="K49" s="1" t="s">
        <v>876</v>
      </c>
      <c r="L49">
        <v>3.4449193676974472</v>
      </c>
      <c r="M49" s="1" t="s">
        <v>234</v>
      </c>
      <c r="N49" s="1" t="s">
        <v>235</v>
      </c>
    </row>
    <row r="50" spans="1:14" x14ac:dyDescent="0.25">
      <c r="A50" s="1" t="s">
        <v>1950</v>
      </c>
      <c r="B50" s="1" t="s">
        <v>2012</v>
      </c>
      <c r="C50" s="1" t="s">
        <v>81</v>
      </c>
      <c r="D50" s="2"/>
      <c r="E50" s="1" t="s">
        <v>207</v>
      </c>
      <c r="F50" s="1" t="s">
        <v>342</v>
      </c>
      <c r="G50" s="1" t="s">
        <v>220</v>
      </c>
      <c r="H50" s="2"/>
      <c r="I50">
        <v>1</v>
      </c>
      <c r="J50" s="1" t="s">
        <v>234</v>
      </c>
      <c r="K50" s="1" t="s">
        <v>876</v>
      </c>
      <c r="L50">
        <v>3.9275140488751799</v>
      </c>
      <c r="M50" s="1" t="s">
        <v>234</v>
      </c>
      <c r="N50" s="1" t="s">
        <v>235</v>
      </c>
    </row>
    <row r="51" spans="1:14" x14ac:dyDescent="0.25">
      <c r="A51" s="1" t="s">
        <v>1951</v>
      </c>
      <c r="B51" s="1" t="s">
        <v>2012</v>
      </c>
      <c r="C51" s="1" t="s">
        <v>81</v>
      </c>
      <c r="D51" s="2"/>
      <c r="E51" s="1" t="s">
        <v>207</v>
      </c>
      <c r="F51" s="1" t="s">
        <v>342</v>
      </c>
      <c r="G51" s="1" t="s">
        <v>220</v>
      </c>
      <c r="H51" s="2"/>
      <c r="I51">
        <v>1</v>
      </c>
      <c r="J51" s="1" t="s">
        <v>234</v>
      </c>
      <c r="K51" s="1" t="s">
        <v>876</v>
      </c>
      <c r="L51">
        <v>3.4414756765684298</v>
      </c>
      <c r="M51" s="1" t="s">
        <v>234</v>
      </c>
      <c r="N51" s="1" t="s">
        <v>235</v>
      </c>
    </row>
    <row r="52" spans="1:14" x14ac:dyDescent="0.25">
      <c r="A52" s="1" t="s">
        <v>1952</v>
      </c>
      <c r="B52" s="1" t="s">
        <v>2012</v>
      </c>
      <c r="C52" s="1" t="s">
        <v>81</v>
      </c>
      <c r="D52" s="2"/>
      <c r="E52" s="1" t="s">
        <v>207</v>
      </c>
      <c r="F52" s="1" t="s">
        <v>342</v>
      </c>
      <c r="G52" s="1" t="s">
        <v>220</v>
      </c>
      <c r="H52" s="2"/>
      <c r="I52">
        <v>1</v>
      </c>
      <c r="J52" s="1" t="s">
        <v>234</v>
      </c>
      <c r="K52" s="1" t="s">
        <v>876</v>
      </c>
      <c r="L52">
        <v>4.2661997573721901</v>
      </c>
      <c r="M52" s="1" t="s">
        <v>234</v>
      </c>
      <c r="N52" s="1" t="s">
        <v>235</v>
      </c>
    </row>
    <row r="53" spans="1:14" x14ac:dyDescent="0.25">
      <c r="A53" s="1" t="s">
        <v>1948</v>
      </c>
      <c r="B53" s="1" t="s">
        <v>2012</v>
      </c>
      <c r="C53" s="1" t="s">
        <v>81</v>
      </c>
      <c r="D53" s="2"/>
      <c r="E53" s="1" t="s">
        <v>207</v>
      </c>
      <c r="F53" s="1" t="s">
        <v>342</v>
      </c>
      <c r="G53" s="1" t="s">
        <v>220</v>
      </c>
      <c r="H53" s="2"/>
      <c r="I53">
        <v>1</v>
      </c>
      <c r="J53" s="1" t="s">
        <v>234</v>
      </c>
      <c r="K53" s="1" t="s">
        <v>876</v>
      </c>
      <c r="L53">
        <v>4.9050869872664213</v>
      </c>
      <c r="M53" s="1" t="s">
        <v>234</v>
      </c>
      <c r="N53" s="1" t="s">
        <v>235</v>
      </c>
    </row>
    <row r="54" spans="1:14" x14ac:dyDescent="0.25">
      <c r="A54" s="1" t="s">
        <v>1949</v>
      </c>
      <c r="B54" s="1" t="s">
        <v>2012</v>
      </c>
      <c r="C54" s="1" t="s">
        <v>81</v>
      </c>
      <c r="D54" s="2"/>
      <c r="E54" s="1" t="s">
        <v>207</v>
      </c>
      <c r="F54" s="1" t="s">
        <v>342</v>
      </c>
      <c r="G54" s="1" t="s">
        <v>220</v>
      </c>
      <c r="H54" s="2"/>
      <c r="I54">
        <v>1</v>
      </c>
      <c r="J54" s="1" t="s">
        <v>234</v>
      </c>
      <c r="K54" s="1" t="s">
        <v>876</v>
      </c>
      <c r="L54">
        <v>4.8181195470052911</v>
      </c>
      <c r="M54" s="1" t="s">
        <v>234</v>
      </c>
      <c r="N54" s="1" t="s">
        <v>235</v>
      </c>
    </row>
    <row r="55" spans="1:14" x14ac:dyDescent="0.25">
      <c r="A55" s="1" t="s">
        <v>1967</v>
      </c>
      <c r="B55" s="1" t="s">
        <v>2012</v>
      </c>
      <c r="C55" s="1" t="s">
        <v>81</v>
      </c>
      <c r="D55" s="2"/>
      <c r="E55" s="1" t="s">
        <v>207</v>
      </c>
      <c r="F55" s="1" t="s">
        <v>342</v>
      </c>
      <c r="G55" s="1" t="s">
        <v>220</v>
      </c>
      <c r="H55" s="2"/>
      <c r="I55">
        <v>1</v>
      </c>
      <c r="J55" s="1" t="s">
        <v>234</v>
      </c>
      <c r="K55" s="1" t="s">
        <v>876</v>
      </c>
      <c r="L55">
        <v>4.8181195470052911</v>
      </c>
      <c r="M55" s="1" t="s">
        <v>234</v>
      </c>
      <c r="N55" s="1" t="s">
        <v>235</v>
      </c>
    </row>
    <row r="56" spans="1:14" x14ac:dyDescent="0.25">
      <c r="A56" s="1" t="s">
        <v>1966</v>
      </c>
      <c r="B56" s="1" t="s">
        <v>2012</v>
      </c>
      <c r="C56" s="1" t="s">
        <v>81</v>
      </c>
      <c r="D56" s="2"/>
      <c r="E56" s="1" t="s">
        <v>207</v>
      </c>
      <c r="F56" s="1" t="s">
        <v>342</v>
      </c>
      <c r="G56" s="1" t="s">
        <v>220</v>
      </c>
      <c r="H56" s="2"/>
      <c r="I56">
        <v>1</v>
      </c>
      <c r="J56" s="1" t="s">
        <v>234</v>
      </c>
      <c r="K56" s="1" t="s">
        <v>876</v>
      </c>
      <c r="L56">
        <v>4.9050869872664213</v>
      </c>
      <c r="M56" s="1" t="s">
        <v>234</v>
      </c>
      <c r="N56" s="1" t="s">
        <v>235</v>
      </c>
    </row>
    <row r="57" spans="1:14" x14ac:dyDescent="0.25">
      <c r="A57" s="1" t="s">
        <v>1953</v>
      </c>
      <c r="B57" s="1" t="s">
        <v>2012</v>
      </c>
      <c r="C57" s="1" t="s">
        <v>81</v>
      </c>
      <c r="D57" s="2"/>
      <c r="E57" s="1" t="s">
        <v>207</v>
      </c>
      <c r="F57" s="1" t="s">
        <v>365</v>
      </c>
      <c r="G57" s="1" t="s">
        <v>220</v>
      </c>
      <c r="H57" s="2"/>
      <c r="I57">
        <v>1</v>
      </c>
      <c r="J57" s="1" t="s">
        <v>234</v>
      </c>
      <c r="K57" s="1" t="s">
        <v>876</v>
      </c>
      <c r="L57">
        <v>3.9687148918565209</v>
      </c>
      <c r="M57" s="1" t="s">
        <v>234</v>
      </c>
      <c r="N57" s="1" t="s">
        <v>235</v>
      </c>
    </row>
    <row r="58" spans="1:14" x14ac:dyDescent="0.25">
      <c r="A58" s="1" t="s">
        <v>1954</v>
      </c>
      <c r="B58" s="1" t="s">
        <v>2012</v>
      </c>
      <c r="C58" s="1" t="s">
        <v>81</v>
      </c>
      <c r="D58" s="2"/>
      <c r="E58" s="1" t="s">
        <v>207</v>
      </c>
      <c r="F58" s="1" t="s">
        <v>365</v>
      </c>
      <c r="G58" s="1" t="s">
        <v>220</v>
      </c>
      <c r="H58" s="2"/>
      <c r="I58">
        <v>1</v>
      </c>
      <c r="J58" s="1" t="s">
        <v>234</v>
      </c>
      <c r="K58" s="1" t="s">
        <v>876</v>
      </c>
      <c r="L58">
        <v>3.4781873920132869</v>
      </c>
      <c r="M58" s="1" t="s">
        <v>234</v>
      </c>
      <c r="N58" s="1" t="s">
        <v>235</v>
      </c>
    </row>
    <row r="59" spans="1:14" x14ac:dyDescent="0.25">
      <c r="A59" s="1" t="s">
        <v>1957</v>
      </c>
      <c r="B59" s="1" t="s">
        <v>2012</v>
      </c>
      <c r="C59" s="1" t="s">
        <v>81</v>
      </c>
      <c r="D59" s="2"/>
      <c r="E59" s="1" t="s">
        <v>207</v>
      </c>
      <c r="F59" s="1" t="s">
        <v>365</v>
      </c>
      <c r="G59" s="1" t="s">
        <v>220</v>
      </c>
      <c r="H59" s="2"/>
      <c r="I59">
        <v>1</v>
      </c>
      <c r="J59" s="1" t="s">
        <v>234</v>
      </c>
      <c r="K59" s="1" t="s">
        <v>876</v>
      </c>
      <c r="L59">
        <v>4.303871599117886</v>
      </c>
      <c r="M59" s="1" t="s">
        <v>234</v>
      </c>
      <c r="N59" s="1" t="s">
        <v>235</v>
      </c>
    </row>
    <row r="60" spans="1:14" x14ac:dyDescent="0.25">
      <c r="A60" s="1" t="s">
        <v>1960</v>
      </c>
      <c r="B60" s="1" t="s">
        <v>2012</v>
      </c>
      <c r="C60" s="1" t="s">
        <v>81</v>
      </c>
      <c r="D60" s="2"/>
      <c r="E60" s="1" t="s">
        <v>207</v>
      </c>
      <c r="F60" s="1" t="s">
        <v>365</v>
      </c>
      <c r="G60" s="1" t="s">
        <v>220</v>
      </c>
      <c r="H60" s="2"/>
      <c r="I60">
        <v>1</v>
      </c>
      <c r="J60" s="1" t="s">
        <v>234</v>
      </c>
      <c r="K60" s="1" t="s">
        <v>876</v>
      </c>
      <c r="L60">
        <v>5.0928992072197419</v>
      </c>
      <c r="M60" s="1" t="s">
        <v>234</v>
      </c>
      <c r="N60" s="1" t="s">
        <v>235</v>
      </c>
    </row>
    <row r="61" spans="1:14" x14ac:dyDescent="0.25">
      <c r="A61" s="1" t="s">
        <v>1961</v>
      </c>
      <c r="B61" s="1" t="s">
        <v>2012</v>
      </c>
      <c r="C61" s="1" t="s">
        <v>81</v>
      </c>
      <c r="D61" s="2"/>
      <c r="E61" s="1" t="s">
        <v>207</v>
      </c>
      <c r="F61" s="1" t="s">
        <v>365</v>
      </c>
      <c r="G61" s="1" t="s">
        <v>220</v>
      </c>
      <c r="H61" s="2"/>
      <c r="I61">
        <v>1</v>
      </c>
      <c r="J61" s="1" t="s">
        <v>234</v>
      </c>
      <c r="K61" s="1" t="s">
        <v>876</v>
      </c>
      <c r="L61">
        <v>4.8240862892183811</v>
      </c>
      <c r="M61" s="1" t="s">
        <v>234</v>
      </c>
      <c r="N61" s="1" t="s">
        <v>235</v>
      </c>
    </row>
    <row r="62" spans="1:14" x14ac:dyDescent="0.25">
      <c r="A62" s="1" t="s">
        <v>1969</v>
      </c>
      <c r="B62" s="1" t="s">
        <v>2012</v>
      </c>
      <c r="C62" s="1" t="s">
        <v>81</v>
      </c>
      <c r="D62" s="2"/>
      <c r="E62" s="1" t="s">
        <v>207</v>
      </c>
      <c r="F62" s="1" t="s">
        <v>365</v>
      </c>
      <c r="G62" s="1" t="s">
        <v>220</v>
      </c>
      <c r="H62" s="2"/>
      <c r="I62">
        <v>1</v>
      </c>
      <c r="J62" s="1" t="s">
        <v>234</v>
      </c>
      <c r="K62" s="1" t="s">
        <v>876</v>
      </c>
      <c r="L62">
        <v>4.8240862892183811</v>
      </c>
      <c r="M62" s="1" t="s">
        <v>234</v>
      </c>
      <c r="N62" s="1" t="s">
        <v>235</v>
      </c>
    </row>
    <row r="63" spans="1:14" x14ac:dyDescent="0.25">
      <c r="A63" s="1" t="s">
        <v>1968</v>
      </c>
      <c r="B63" s="1" t="s">
        <v>2012</v>
      </c>
      <c r="C63" s="1" t="s">
        <v>81</v>
      </c>
      <c r="D63" s="2"/>
      <c r="E63" s="1" t="s">
        <v>207</v>
      </c>
      <c r="F63" s="1" t="s">
        <v>365</v>
      </c>
      <c r="G63" s="1" t="s">
        <v>220</v>
      </c>
      <c r="H63" s="2"/>
      <c r="I63">
        <v>1</v>
      </c>
      <c r="J63" s="1" t="s">
        <v>234</v>
      </c>
      <c r="K63" s="1" t="s">
        <v>876</v>
      </c>
      <c r="L63">
        <v>5.0928992072197419</v>
      </c>
      <c r="M63" s="1" t="s">
        <v>234</v>
      </c>
      <c r="N63" s="1" t="s">
        <v>235</v>
      </c>
    </row>
    <row r="64" spans="1:14" x14ac:dyDescent="0.25">
      <c r="A64" s="1" t="s">
        <v>1955</v>
      </c>
      <c r="B64" s="1" t="s">
        <v>2012</v>
      </c>
      <c r="C64" s="1" t="s">
        <v>81</v>
      </c>
      <c r="D64" s="2"/>
      <c r="E64" s="1" t="s">
        <v>207</v>
      </c>
      <c r="F64" s="1" t="s">
        <v>347</v>
      </c>
      <c r="G64" s="1" t="s">
        <v>220</v>
      </c>
      <c r="H64" s="2"/>
      <c r="I64">
        <v>1</v>
      </c>
      <c r="J64" s="1" t="s">
        <v>234</v>
      </c>
      <c r="K64" s="1" t="s">
        <v>876</v>
      </c>
      <c r="L64">
        <v>3.9687148918149195</v>
      </c>
      <c r="M64" s="1" t="s">
        <v>234</v>
      </c>
      <c r="N64" s="1" t="s">
        <v>235</v>
      </c>
    </row>
    <row r="65" spans="1:14" x14ac:dyDescent="0.25">
      <c r="A65" s="1" t="s">
        <v>1956</v>
      </c>
      <c r="B65" s="1" t="s">
        <v>2012</v>
      </c>
      <c r="C65" s="1" t="s">
        <v>81</v>
      </c>
      <c r="D65" s="2"/>
      <c r="E65" s="1" t="s">
        <v>207</v>
      </c>
      <c r="F65" s="1" t="s">
        <v>347</v>
      </c>
      <c r="G65" s="1" t="s">
        <v>220</v>
      </c>
      <c r="H65" s="2"/>
      <c r="I65">
        <v>1</v>
      </c>
      <c r="J65" s="1" t="s">
        <v>234</v>
      </c>
      <c r="K65" s="1" t="s">
        <v>876</v>
      </c>
      <c r="L65">
        <v>3.478187392050395</v>
      </c>
      <c r="M65" s="1" t="s">
        <v>234</v>
      </c>
      <c r="N65" s="1" t="s">
        <v>235</v>
      </c>
    </row>
    <row r="66" spans="1:14" x14ac:dyDescent="0.25">
      <c r="A66" s="1" t="s">
        <v>1958</v>
      </c>
      <c r="B66" s="1" t="s">
        <v>2012</v>
      </c>
      <c r="C66" s="1" t="s">
        <v>81</v>
      </c>
      <c r="D66" s="2"/>
      <c r="E66" s="1" t="s">
        <v>207</v>
      </c>
      <c r="F66" s="1" t="s">
        <v>347</v>
      </c>
      <c r="G66" s="1" t="s">
        <v>220</v>
      </c>
      <c r="H66" s="2"/>
      <c r="I66">
        <v>1</v>
      </c>
      <c r="J66" s="1" t="s">
        <v>234</v>
      </c>
      <c r="K66" s="1" t="s">
        <v>876</v>
      </c>
      <c r="L66">
        <v>4.303871599163787</v>
      </c>
      <c r="M66" s="1" t="s">
        <v>234</v>
      </c>
      <c r="N66" s="1" t="s">
        <v>235</v>
      </c>
    </row>
    <row r="67" spans="1:14" x14ac:dyDescent="0.25">
      <c r="A67" s="1" t="s">
        <v>1962</v>
      </c>
      <c r="B67" s="1" t="s">
        <v>2012</v>
      </c>
      <c r="C67" s="1" t="s">
        <v>81</v>
      </c>
      <c r="D67" s="2"/>
      <c r="E67" s="1" t="s">
        <v>207</v>
      </c>
      <c r="F67" s="1" t="s">
        <v>347</v>
      </c>
      <c r="G67" s="1" t="s">
        <v>220</v>
      </c>
      <c r="H67" s="2"/>
      <c r="I67">
        <v>1</v>
      </c>
      <c r="J67" s="1" t="s">
        <v>234</v>
      </c>
      <c r="K67" s="1" t="s">
        <v>876</v>
      </c>
      <c r="L67">
        <v>5.0928992072890225</v>
      </c>
      <c r="M67" s="1" t="s">
        <v>234</v>
      </c>
      <c r="N67" s="1" t="s">
        <v>235</v>
      </c>
    </row>
    <row r="68" spans="1:14" x14ac:dyDescent="0.25">
      <c r="A68" s="1" t="s">
        <v>1963</v>
      </c>
      <c r="B68" s="1" t="s">
        <v>2012</v>
      </c>
      <c r="C68" s="1" t="s">
        <v>81</v>
      </c>
      <c r="D68" s="2"/>
      <c r="E68" s="1" t="s">
        <v>207</v>
      </c>
      <c r="F68" s="1" t="s">
        <v>347</v>
      </c>
      <c r="G68" s="1" t="s">
        <v>220</v>
      </c>
      <c r="H68" s="2"/>
      <c r="I68">
        <v>1</v>
      </c>
      <c r="J68" s="1" t="s">
        <v>234</v>
      </c>
      <c r="K68" s="1" t="s">
        <v>876</v>
      </c>
      <c r="L68">
        <v>4.8240862891491059</v>
      </c>
      <c r="M68" s="1" t="s">
        <v>234</v>
      </c>
      <c r="N68" s="1" t="s">
        <v>235</v>
      </c>
    </row>
    <row r="69" spans="1:14" x14ac:dyDescent="0.25">
      <c r="A69" s="1" t="s">
        <v>1971</v>
      </c>
      <c r="B69" s="1" t="s">
        <v>2012</v>
      </c>
      <c r="C69" s="1" t="s">
        <v>81</v>
      </c>
      <c r="D69" s="2"/>
      <c r="E69" s="1" t="s">
        <v>207</v>
      </c>
      <c r="F69" s="1" t="s">
        <v>347</v>
      </c>
      <c r="G69" s="1" t="s">
        <v>220</v>
      </c>
      <c r="H69" s="2"/>
      <c r="I69">
        <v>1</v>
      </c>
      <c r="J69" s="1" t="s">
        <v>234</v>
      </c>
      <c r="K69" s="1" t="s">
        <v>876</v>
      </c>
      <c r="L69">
        <v>4.8240862891491059</v>
      </c>
      <c r="M69" s="1" t="s">
        <v>234</v>
      </c>
      <c r="N69" s="1" t="s">
        <v>235</v>
      </c>
    </row>
    <row r="70" spans="1:14" x14ac:dyDescent="0.25">
      <c r="A70" s="1" t="s">
        <v>1970</v>
      </c>
      <c r="B70" s="1" t="s">
        <v>2012</v>
      </c>
      <c r="C70" s="1" t="s">
        <v>81</v>
      </c>
      <c r="D70" s="2"/>
      <c r="E70" s="1" t="s">
        <v>207</v>
      </c>
      <c r="F70" s="1" t="s">
        <v>347</v>
      </c>
      <c r="G70" s="1" t="s">
        <v>220</v>
      </c>
      <c r="H70" s="2"/>
      <c r="I70">
        <v>1</v>
      </c>
      <c r="J70" s="1" t="s">
        <v>234</v>
      </c>
      <c r="K70" s="1" t="s">
        <v>876</v>
      </c>
      <c r="L70">
        <v>5.0928992072890225</v>
      </c>
      <c r="M70" s="1" t="s">
        <v>234</v>
      </c>
      <c r="N70" s="1" t="s">
        <v>235</v>
      </c>
    </row>
    <row r="71" spans="1:14" x14ac:dyDescent="0.25">
      <c r="A71" s="1" t="s">
        <v>1974</v>
      </c>
      <c r="B71" s="1" t="s">
        <v>2012</v>
      </c>
      <c r="C71" s="1" t="s">
        <v>81</v>
      </c>
      <c r="D71" s="2"/>
      <c r="E71" s="1" t="s">
        <v>207</v>
      </c>
      <c r="F71" s="1" t="s">
        <v>366</v>
      </c>
      <c r="G71" s="1" t="s">
        <v>220</v>
      </c>
      <c r="H71" s="2"/>
      <c r="I71">
        <v>1</v>
      </c>
      <c r="J71" s="1" t="s">
        <v>234</v>
      </c>
      <c r="K71" s="1" t="s">
        <v>876</v>
      </c>
      <c r="L71">
        <v>3.0175016784478381</v>
      </c>
      <c r="M71" s="1" t="s">
        <v>234</v>
      </c>
      <c r="N71" s="1" t="s">
        <v>235</v>
      </c>
    </row>
    <row r="72" spans="1:14" x14ac:dyDescent="0.25">
      <c r="A72" s="1" t="s">
        <v>1975</v>
      </c>
      <c r="B72" s="1" t="s">
        <v>2012</v>
      </c>
      <c r="C72" s="1" t="s">
        <v>81</v>
      </c>
      <c r="D72" s="2"/>
      <c r="E72" s="1" t="s">
        <v>207</v>
      </c>
      <c r="F72" s="1" t="s">
        <v>366</v>
      </c>
      <c r="G72" s="1" t="s">
        <v>220</v>
      </c>
      <c r="H72" s="2"/>
      <c r="I72">
        <v>1</v>
      </c>
      <c r="J72" s="1" t="s">
        <v>234</v>
      </c>
      <c r="K72" s="1" t="s">
        <v>876</v>
      </c>
      <c r="L72">
        <v>3.0180285440053884</v>
      </c>
      <c r="M72" s="1" t="s">
        <v>234</v>
      </c>
      <c r="N72" s="1" t="s">
        <v>235</v>
      </c>
    </row>
    <row r="73" spans="1:14" x14ac:dyDescent="0.25">
      <c r="A73" s="1" t="s">
        <v>1959</v>
      </c>
      <c r="B73" s="1" t="s">
        <v>2012</v>
      </c>
      <c r="C73" s="1" t="s">
        <v>81</v>
      </c>
      <c r="D73" s="2"/>
      <c r="E73" s="1" t="s">
        <v>207</v>
      </c>
      <c r="F73" s="1" t="s">
        <v>366</v>
      </c>
      <c r="G73" s="1" t="s">
        <v>220</v>
      </c>
      <c r="H73" s="2"/>
      <c r="I73">
        <v>1</v>
      </c>
      <c r="J73" s="1" t="s">
        <v>234</v>
      </c>
      <c r="K73" s="1" t="s">
        <v>876</v>
      </c>
      <c r="L73">
        <v>4.2453008789060442</v>
      </c>
      <c r="M73" s="1" t="s">
        <v>234</v>
      </c>
      <c r="N73" s="1" t="s">
        <v>235</v>
      </c>
    </row>
    <row r="74" spans="1:14" x14ac:dyDescent="0.25">
      <c r="A74" s="1" t="s">
        <v>1964</v>
      </c>
      <c r="B74" s="1" t="s">
        <v>2012</v>
      </c>
      <c r="C74" s="1" t="s">
        <v>81</v>
      </c>
      <c r="D74" s="2"/>
      <c r="E74" s="1" t="s">
        <v>207</v>
      </c>
      <c r="F74" s="1" t="s">
        <v>366</v>
      </c>
      <c r="G74" s="1" t="s">
        <v>220</v>
      </c>
      <c r="H74" s="2"/>
      <c r="I74">
        <v>1</v>
      </c>
      <c r="J74" s="1" t="s">
        <v>234</v>
      </c>
      <c r="K74" s="1" t="s">
        <v>876</v>
      </c>
      <c r="L74">
        <v>4.7855982534632835</v>
      </c>
      <c r="M74" s="1" t="s">
        <v>234</v>
      </c>
      <c r="N74" s="1" t="s">
        <v>235</v>
      </c>
    </row>
    <row r="75" spans="1:14" x14ac:dyDescent="0.25">
      <c r="A75" s="1" t="s">
        <v>1965</v>
      </c>
      <c r="B75" s="1" t="s">
        <v>2012</v>
      </c>
      <c r="C75" s="1" t="s">
        <v>81</v>
      </c>
      <c r="D75" s="2"/>
      <c r="E75" s="1" t="s">
        <v>207</v>
      </c>
      <c r="F75" s="1" t="s">
        <v>366</v>
      </c>
      <c r="G75" s="1" t="s">
        <v>220</v>
      </c>
      <c r="H75" s="2"/>
      <c r="I75">
        <v>1</v>
      </c>
      <c r="J75" s="1" t="s">
        <v>234</v>
      </c>
      <c r="K75" s="1" t="s">
        <v>876</v>
      </c>
      <c r="L75">
        <v>4.6034355575332828</v>
      </c>
      <c r="M75" s="1" t="s">
        <v>234</v>
      </c>
      <c r="N75" s="1" t="s">
        <v>235</v>
      </c>
    </row>
    <row r="76" spans="1:14" x14ac:dyDescent="0.25">
      <c r="A76" s="1" t="s">
        <v>1973</v>
      </c>
      <c r="B76" s="1" t="s">
        <v>2012</v>
      </c>
      <c r="C76" s="1" t="s">
        <v>81</v>
      </c>
      <c r="D76" s="2"/>
      <c r="E76" s="1" t="s">
        <v>207</v>
      </c>
      <c r="F76" s="1" t="s">
        <v>366</v>
      </c>
      <c r="G76" s="1" t="s">
        <v>220</v>
      </c>
      <c r="H76" s="2"/>
      <c r="I76">
        <v>1</v>
      </c>
      <c r="J76" s="1" t="s">
        <v>234</v>
      </c>
      <c r="K76" s="1" t="s">
        <v>876</v>
      </c>
      <c r="L76">
        <v>4.6034355575332828</v>
      </c>
      <c r="M76" s="1" t="s">
        <v>234</v>
      </c>
      <c r="N76" s="1" t="s">
        <v>235</v>
      </c>
    </row>
    <row r="77" spans="1:14" x14ac:dyDescent="0.25">
      <c r="A77" s="1" t="s">
        <v>1972</v>
      </c>
      <c r="B77" s="1" t="s">
        <v>2012</v>
      </c>
      <c r="C77" s="1" t="s">
        <v>81</v>
      </c>
      <c r="D77" s="2"/>
      <c r="E77" s="1" t="s">
        <v>207</v>
      </c>
      <c r="F77" s="1" t="s">
        <v>366</v>
      </c>
      <c r="G77" s="1" t="s">
        <v>220</v>
      </c>
      <c r="H77" s="2"/>
      <c r="I77">
        <v>1</v>
      </c>
      <c r="J77" s="1" t="s">
        <v>234</v>
      </c>
      <c r="K77" s="1" t="s">
        <v>876</v>
      </c>
      <c r="L77">
        <v>4.7855982534632835</v>
      </c>
      <c r="M77" s="1" t="s">
        <v>234</v>
      </c>
      <c r="N77" s="1" t="s">
        <v>235</v>
      </c>
    </row>
    <row r="78" spans="1:14" x14ac:dyDescent="0.25">
      <c r="A78" s="1" t="s">
        <v>1981</v>
      </c>
      <c r="B78" s="1" t="s">
        <v>2012</v>
      </c>
      <c r="C78" s="1" t="s">
        <v>82</v>
      </c>
      <c r="D78" s="2"/>
      <c r="E78" s="1" t="s">
        <v>207</v>
      </c>
      <c r="F78" s="1" t="s">
        <v>362</v>
      </c>
      <c r="G78" s="1" t="s">
        <v>220</v>
      </c>
      <c r="H78" s="2"/>
      <c r="I78">
        <v>1</v>
      </c>
      <c r="J78" s="1" t="s">
        <v>234</v>
      </c>
      <c r="K78" s="1" t="s">
        <v>876</v>
      </c>
      <c r="L78">
        <v>2.3201113601358245</v>
      </c>
      <c r="M78" s="1" t="s">
        <v>234</v>
      </c>
      <c r="N78" s="1" t="s">
        <v>235</v>
      </c>
    </row>
    <row r="79" spans="1:14" x14ac:dyDescent="0.25">
      <c r="A79" s="1" t="s">
        <v>1982</v>
      </c>
      <c r="B79" s="1" t="s">
        <v>2012</v>
      </c>
      <c r="C79" s="1" t="s">
        <v>82</v>
      </c>
      <c r="D79" s="2"/>
      <c r="E79" s="1" t="s">
        <v>207</v>
      </c>
      <c r="F79" s="1" t="s">
        <v>362</v>
      </c>
      <c r="G79" s="1" t="s">
        <v>220</v>
      </c>
      <c r="H79" s="2"/>
      <c r="I79">
        <v>1</v>
      </c>
      <c r="J79" s="1" t="s">
        <v>234</v>
      </c>
      <c r="K79" s="1" t="s">
        <v>876</v>
      </c>
      <c r="L79">
        <v>2.3201113601358245</v>
      </c>
      <c r="M79" s="1" t="s">
        <v>234</v>
      </c>
      <c r="N79" s="1" t="s">
        <v>235</v>
      </c>
    </row>
    <row r="80" spans="1:14" x14ac:dyDescent="0.25">
      <c r="A80" s="1" t="s">
        <v>1983</v>
      </c>
      <c r="B80" s="1" t="s">
        <v>2012</v>
      </c>
      <c r="C80" s="1" t="s">
        <v>82</v>
      </c>
      <c r="D80" s="2"/>
      <c r="E80" s="1" t="s">
        <v>207</v>
      </c>
      <c r="F80" s="1" t="s">
        <v>362</v>
      </c>
      <c r="G80" s="1" t="s">
        <v>220</v>
      </c>
      <c r="H80" s="2"/>
      <c r="I80">
        <v>1</v>
      </c>
      <c r="J80" s="1" t="s">
        <v>234</v>
      </c>
      <c r="K80" s="1" t="s">
        <v>876</v>
      </c>
      <c r="L80">
        <v>2.3201113601358245</v>
      </c>
      <c r="M80" s="1" t="s">
        <v>234</v>
      </c>
      <c r="N80" s="1" t="s">
        <v>235</v>
      </c>
    </row>
    <row r="81" spans="1:14" x14ac:dyDescent="0.25">
      <c r="A81" s="1" t="s">
        <v>1984</v>
      </c>
      <c r="B81" s="1" t="s">
        <v>2012</v>
      </c>
      <c r="C81" s="1" t="s">
        <v>82</v>
      </c>
      <c r="D81" s="2"/>
      <c r="E81" s="1" t="s">
        <v>207</v>
      </c>
      <c r="F81" s="1" t="s">
        <v>362</v>
      </c>
      <c r="G81" s="1" t="s">
        <v>220</v>
      </c>
      <c r="H81" s="2"/>
      <c r="I81">
        <v>1</v>
      </c>
      <c r="J81" s="1" t="s">
        <v>234</v>
      </c>
      <c r="K81" s="1" t="s">
        <v>876</v>
      </c>
      <c r="L81">
        <v>2.3201113601358245</v>
      </c>
      <c r="M81" s="1" t="s">
        <v>234</v>
      </c>
      <c r="N81" s="1" t="s">
        <v>235</v>
      </c>
    </row>
    <row r="82" spans="1:14" x14ac:dyDescent="0.25">
      <c r="A82" s="1" t="s">
        <v>1979</v>
      </c>
      <c r="B82" s="1" t="s">
        <v>2012</v>
      </c>
      <c r="C82" s="1" t="s">
        <v>82</v>
      </c>
      <c r="D82" s="2"/>
      <c r="E82" s="1" t="s">
        <v>207</v>
      </c>
      <c r="F82" s="1" t="s">
        <v>362</v>
      </c>
      <c r="G82" s="1" t="s">
        <v>220</v>
      </c>
      <c r="H82" s="2"/>
      <c r="I82">
        <v>1</v>
      </c>
      <c r="J82" s="1" t="s">
        <v>234</v>
      </c>
      <c r="K82" s="1" t="s">
        <v>876</v>
      </c>
      <c r="L82">
        <v>2.3201113601358245</v>
      </c>
      <c r="M82" s="1" t="s">
        <v>234</v>
      </c>
      <c r="N82" s="1" t="s">
        <v>235</v>
      </c>
    </row>
    <row r="83" spans="1:14" x14ac:dyDescent="0.25">
      <c r="A83" s="1" t="s">
        <v>1980</v>
      </c>
      <c r="B83" s="1" t="s">
        <v>2012</v>
      </c>
      <c r="C83" s="1" t="s">
        <v>82</v>
      </c>
      <c r="D83" s="2"/>
      <c r="E83" s="1" t="s">
        <v>207</v>
      </c>
      <c r="F83" s="1" t="s">
        <v>374</v>
      </c>
      <c r="G83" s="1" t="s">
        <v>220</v>
      </c>
      <c r="H83" s="2"/>
      <c r="I83">
        <v>1</v>
      </c>
      <c r="J83" s="1" t="s">
        <v>234</v>
      </c>
      <c r="K83" s="1" t="s">
        <v>876</v>
      </c>
      <c r="L83">
        <v>5.4613786267882078</v>
      </c>
      <c r="M83" s="1" t="s">
        <v>234</v>
      </c>
      <c r="N83" s="1" t="s">
        <v>235</v>
      </c>
    </row>
    <row r="84" spans="1:14" x14ac:dyDescent="0.25">
      <c r="A84" s="1" t="s">
        <v>1978</v>
      </c>
      <c r="B84" s="1" t="s">
        <v>2012</v>
      </c>
      <c r="C84" s="1" t="s">
        <v>82</v>
      </c>
      <c r="D84" s="2"/>
      <c r="E84" s="1" t="s">
        <v>207</v>
      </c>
      <c r="F84" s="1" t="s">
        <v>374</v>
      </c>
      <c r="G84" s="1" t="s">
        <v>220</v>
      </c>
      <c r="H84" s="2"/>
      <c r="I84">
        <v>1</v>
      </c>
      <c r="J84" s="1" t="s">
        <v>234</v>
      </c>
      <c r="K84" s="1" t="s">
        <v>876</v>
      </c>
      <c r="L84">
        <v>4.9113417246236502</v>
      </c>
      <c r="M84" s="1" t="s">
        <v>234</v>
      </c>
      <c r="N84" s="1" t="s">
        <v>235</v>
      </c>
    </row>
    <row r="85" spans="1:14" x14ac:dyDescent="0.25">
      <c r="A85" s="1" t="s">
        <v>1977</v>
      </c>
      <c r="B85" s="1" t="s">
        <v>2012</v>
      </c>
      <c r="C85" s="1" t="s">
        <v>82</v>
      </c>
      <c r="D85" s="2"/>
      <c r="E85" s="1" t="s">
        <v>207</v>
      </c>
      <c r="F85" s="1" t="s">
        <v>374</v>
      </c>
      <c r="G85" s="1" t="s">
        <v>220</v>
      </c>
      <c r="H85" s="2"/>
      <c r="I85">
        <v>1</v>
      </c>
      <c r="J85" s="1" t="s">
        <v>234</v>
      </c>
      <c r="K85" s="1" t="s">
        <v>876</v>
      </c>
      <c r="L85">
        <v>6.1450425015673344</v>
      </c>
      <c r="M85" s="1" t="s">
        <v>234</v>
      </c>
      <c r="N85" s="1" t="s">
        <v>235</v>
      </c>
    </row>
    <row r="86" spans="1:14" x14ac:dyDescent="0.25">
      <c r="A86" s="1" t="s">
        <v>1976</v>
      </c>
      <c r="B86" s="1" t="s">
        <v>2012</v>
      </c>
      <c r="C86" s="1" t="s">
        <v>82</v>
      </c>
      <c r="D86" s="2"/>
      <c r="E86" s="1" t="s">
        <v>207</v>
      </c>
      <c r="F86" s="1" t="s">
        <v>363</v>
      </c>
      <c r="G86" s="1" t="s">
        <v>220</v>
      </c>
      <c r="H86" s="2"/>
      <c r="I86">
        <v>1</v>
      </c>
      <c r="J86" s="1" t="s">
        <v>234</v>
      </c>
      <c r="K86" s="1" t="s">
        <v>876</v>
      </c>
      <c r="L86">
        <v>4.7148044659283155</v>
      </c>
      <c r="M86" s="1" t="s">
        <v>234</v>
      </c>
      <c r="N86" s="1" t="s">
        <v>235</v>
      </c>
    </row>
    <row r="87" spans="1:14" x14ac:dyDescent="0.25">
      <c r="A87" s="1" t="s">
        <v>2004</v>
      </c>
      <c r="B87" s="1" t="s">
        <v>2012</v>
      </c>
      <c r="C87" s="1" t="s">
        <v>82</v>
      </c>
      <c r="D87" s="2"/>
      <c r="E87" s="1" t="s">
        <v>207</v>
      </c>
      <c r="F87" s="1" t="s">
        <v>363</v>
      </c>
      <c r="G87" s="1" t="s">
        <v>220</v>
      </c>
      <c r="H87" s="2"/>
      <c r="I87">
        <v>1</v>
      </c>
      <c r="J87" s="1" t="s">
        <v>234</v>
      </c>
      <c r="K87" s="1" t="s">
        <v>876</v>
      </c>
      <c r="L87">
        <v>4.7148044659255799</v>
      </c>
      <c r="M87" s="1" t="s">
        <v>234</v>
      </c>
      <c r="N87" s="1" t="s">
        <v>235</v>
      </c>
    </row>
    <row r="88" spans="1:14" x14ac:dyDescent="0.25">
      <c r="A88" s="1" t="s">
        <v>2005</v>
      </c>
      <c r="B88" s="1" t="s">
        <v>2012</v>
      </c>
      <c r="C88" s="1" t="s">
        <v>82</v>
      </c>
      <c r="D88" s="2"/>
      <c r="E88" s="1" t="s">
        <v>207</v>
      </c>
      <c r="F88" s="1" t="s">
        <v>363</v>
      </c>
      <c r="G88" s="1" t="s">
        <v>220</v>
      </c>
      <c r="H88" s="2"/>
      <c r="I88">
        <v>1</v>
      </c>
      <c r="J88" s="1" t="s">
        <v>234</v>
      </c>
      <c r="K88" s="1" t="s">
        <v>876</v>
      </c>
      <c r="L88">
        <v>4.7148044659255799</v>
      </c>
      <c r="M88" s="1" t="s">
        <v>234</v>
      </c>
      <c r="N88" s="1" t="s">
        <v>235</v>
      </c>
    </row>
    <row r="89" spans="1:14" x14ac:dyDescent="0.25">
      <c r="A89" s="1" t="s">
        <v>2006</v>
      </c>
      <c r="B89" s="1" t="s">
        <v>2012</v>
      </c>
      <c r="C89" s="1" t="s">
        <v>82</v>
      </c>
      <c r="D89" s="2"/>
      <c r="E89" s="1" t="s">
        <v>207</v>
      </c>
      <c r="F89" s="1" t="s">
        <v>363</v>
      </c>
      <c r="G89" s="1" t="s">
        <v>220</v>
      </c>
      <c r="H89" s="2"/>
      <c r="I89">
        <v>1</v>
      </c>
      <c r="J89" s="1" t="s">
        <v>234</v>
      </c>
      <c r="K89" s="1" t="s">
        <v>876</v>
      </c>
      <c r="L89">
        <v>4.7148044659283155</v>
      </c>
      <c r="M89" s="1" t="s">
        <v>234</v>
      </c>
      <c r="N89" s="1" t="s">
        <v>235</v>
      </c>
    </row>
    <row r="90" spans="1:14" x14ac:dyDescent="0.25">
      <c r="A90" s="1" t="s">
        <v>1993</v>
      </c>
      <c r="B90" s="1" t="s">
        <v>2012</v>
      </c>
      <c r="C90" s="1" t="s">
        <v>82</v>
      </c>
      <c r="D90" s="2"/>
      <c r="E90" s="1" t="s">
        <v>207</v>
      </c>
      <c r="F90" s="1" t="s">
        <v>338</v>
      </c>
      <c r="G90" s="1" t="s">
        <v>220</v>
      </c>
      <c r="H90" s="2"/>
      <c r="I90">
        <v>1</v>
      </c>
      <c r="J90" s="1" t="s">
        <v>234</v>
      </c>
      <c r="K90" s="1" t="s">
        <v>876</v>
      </c>
      <c r="L90">
        <v>2.3202279297663573</v>
      </c>
      <c r="M90" s="1" t="s">
        <v>234</v>
      </c>
      <c r="N90" s="1" t="s">
        <v>235</v>
      </c>
    </row>
    <row r="91" spans="1:14" x14ac:dyDescent="0.25">
      <c r="A91" s="1" t="s">
        <v>1991</v>
      </c>
      <c r="B91" s="1" t="s">
        <v>2012</v>
      </c>
      <c r="C91" s="1" t="s">
        <v>82</v>
      </c>
      <c r="D91" s="2"/>
      <c r="E91" s="1" t="s">
        <v>207</v>
      </c>
      <c r="F91" s="1" t="s">
        <v>338</v>
      </c>
      <c r="G91" s="1" t="s">
        <v>220</v>
      </c>
      <c r="H91" s="2"/>
      <c r="I91">
        <v>1</v>
      </c>
      <c r="J91" s="1" t="s">
        <v>234</v>
      </c>
      <c r="K91" s="1" t="s">
        <v>876</v>
      </c>
      <c r="L91">
        <v>2.3202279297663573</v>
      </c>
      <c r="M91" s="1" t="s">
        <v>234</v>
      </c>
      <c r="N91" s="1" t="s">
        <v>235</v>
      </c>
    </row>
    <row r="92" spans="1:14" x14ac:dyDescent="0.25">
      <c r="A92" s="1" t="s">
        <v>1989</v>
      </c>
      <c r="B92" s="1" t="s">
        <v>2012</v>
      </c>
      <c r="C92" s="1" t="s">
        <v>82</v>
      </c>
      <c r="D92" s="2"/>
      <c r="E92" s="1" t="s">
        <v>207</v>
      </c>
      <c r="F92" s="1" t="s">
        <v>338</v>
      </c>
      <c r="G92" s="1" t="s">
        <v>220</v>
      </c>
      <c r="H92" s="2"/>
      <c r="I92">
        <v>1</v>
      </c>
      <c r="J92" s="1" t="s">
        <v>234</v>
      </c>
      <c r="K92" s="1" t="s">
        <v>876</v>
      </c>
      <c r="L92">
        <v>2.3202279297663573</v>
      </c>
      <c r="M92" s="1" t="s">
        <v>234</v>
      </c>
      <c r="N92" s="1" t="s">
        <v>235</v>
      </c>
    </row>
    <row r="93" spans="1:14" x14ac:dyDescent="0.25">
      <c r="A93" s="1" t="s">
        <v>1987</v>
      </c>
      <c r="B93" s="1" t="s">
        <v>2012</v>
      </c>
      <c r="C93" s="1" t="s">
        <v>82</v>
      </c>
      <c r="D93" s="2"/>
      <c r="E93" s="1" t="s">
        <v>207</v>
      </c>
      <c r="F93" s="1" t="s">
        <v>338</v>
      </c>
      <c r="G93" s="1" t="s">
        <v>220</v>
      </c>
      <c r="H93" s="2"/>
      <c r="I93">
        <v>1</v>
      </c>
      <c r="J93" s="1" t="s">
        <v>234</v>
      </c>
      <c r="K93" s="1" t="s">
        <v>876</v>
      </c>
      <c r="L93">
        <v>2.3202279297663573</v>
      </c>
      <c r="M93" s="1" t="s">
        <v>234</v>
      </c>
      <c r="N93" s="1" t="s">
        <v>235</v>
      </c>
    </row>
    <row r="94" spans="1:14" x14ac:dyDescent="0.25">
      <c r="A94" s="1" t="s">
        <v>1985</v>
      </c>
      <c r="B94" s="1" t="s">
        <v>2012</v>
      </c>
      <c r="C94" s="1" t="s">
        <v>82</v>
      </c>
      <c r="D94" s="2"/>
      <c r="E94" s="1" t="s">
        <v>207</v>
      </c>
      <c r="F94" s="1" t="s">
        <v>338</v>
      </c>
      <c r="G94" s="1" t="s">
        <v>220</v>
      </c>
      <c r="H94" s="2"/>
      <c r="I94">
        <v>1</v>
      </c>
      <c r="J94" s="1" t="s">
        <v>234</v>
      </c>
      <c r="K94" s="1" t="s">
        <v>876</v>
      </c>
      <c r="L94">
        <v>2.3202279297663573</v>
      </c>
      <c r="M94" s="1" t="s">
        <v>234</v>
      </c>
      <c r="N94" s="1" t="s">
        <v>235</v>
      </c>
    </row>
    <row r="95" spans="1:14" x14ac:dyDescent="0.25">
      <c r="A95" s="1" t="s">
        <v>2007</v>
      </c>
      <c r="B95" s="1" t="s">
        <v>2012</v>
      </c>
      <c r="C95" s="1" t="s">
        <v>82</v>
      </c>
      <c r="D95" s="2"/>
      <c r="E95" s="1" t="s">
        <v>207</v>
      </c>
      <c r="F95" s="1" t="s">
        <v>356</v>
      </c>
      <c r="G95" s="1" t="s">
        <v>220</v>
      </c>
      <c r="H95" s="2"/>
      <c r="I95">
        <v>1</v>
      </c>
      <c r="J95" s="1" t="s">
        <v>234</v>
      </c>
      <c r="K95" s="1" t="s">
        <v>876</v>
      </c>
      <c r="L95">
        <v>5.7939521868145807</v>
      </c>
      <c r="M95" s="1" t="s">
        <v>234</v>
      </c>
      <c r="N95" s="1" t="s">
        <v>235</v>
      </c>
    </row>
    <row r="96" spans="1:14" x14ac:dyDescent="0.25">
      <c r="A96" s="1" t="s">
        <v>1996</v>
      </c>
      <c r="B96" s="1" t="s">
        <v>2012</v>
      </c>
      <c r="C96" s="1" t="s">
        <v>82</v>
      </c>
      <c r="D96" s="2"/>
      <c r="E96" s="1" t="s">
        <v>207</v>
      </c>
      <c r="F96" s="1" t="s">
        <v>356</v>
      </c>
      <c r="G96" s="1" t="s">
        <v>220</v>
      </c>
      <c r="H96" s="2"/>
      <c r="I96">
        <v>1</v>
      </c>
      <c r="J96" s="1" t="s">
        <v>234</v>
      </c>
      <c r="K96" s="1" t="s">
        <v>876</v>
      </c>
      <c r="L96">
        <v>4.8010795452875641</v>
      </c>
      <c r="M96" s="1" t="s">
        <v>234</v>
      </c>
      <c r="N96" s="1" t="s">
        <v>235</v>
      </c>
    </row>
    <row r="97" spans="1:15" x14ac:dyDescent="0.25">
      <c r="A97" s="1" t="s">
        <v>1998</v>
      </c>
      <c r="B97" s="1" t="s">
        <v>2012</v>
      </c>
      <c r="C97" s="1" t="s">
        <v>82</v>
      </c>
      <c r="D97" s="2"/>
      <c r="E97" s="1" t="s">
        <v>207</v>
      </c>
      <c r="F97" s="1" t="s">
        <v>356</v>
      </c>
      <c r="G97" s="1" t="s">
        <v>220</v>
      </c>
      <c r="H97" s="2"/>
      <c r="I97">
        <v>1</v>
      </c>
      <c r="J97" s="1" t="s">
        <v>234</v>
      </c>
      <c r="K97" s="1" t="s">
        <v>876</v>
      </c>
      <c r="L97">
        <v>4.8010795452847788</v>
      </c>
      <c r="M97" s="1" t="s">
        <v>234</v>
      </c>
      <c r="N97" s="1" t="s">
        <v>235</v>
      </c>
    </row>
    <row r="98" spans="1:15" x14ac:dyDescent="0.25">
      <c r="A98" s="1" t="s">
        <v>2001</v>
      </c>
      <c r="B98" s="1" t="s">
        <v>2012</v>
      </c>
      <c r="C98" s="1" t="s">
        <v>82</v>
      </c>
      <c r="D98" s="2"/>
      <c r="E98" s="1" t="s">
        <v>207</v>
      </c>
      <c r="F98" s="1" t="s">
        <v>356</v>
      </c>
      <c r="G98" s="1" t="s">
        <v>220</v>
      </c>
      <c r="H98" s="2"/>
      <c r="I98">
        <v>1</v>
      </c>
      <c r="J98" s="1" t="s">
        <v>234</v>
      </c>
      <c r="K98" s="1" t="s">
        <v>876</v>
      </c>
      <c r="L98">
        <v>4.8010795452847788</v>
      </c>
      <c r="M98" s="1" t="s">
        <v>234</v>
      </c>
      <c r="N98" s="1" t="s">
        <v>235</v>
      </c>
    </row>
    <row r="99" spans="1:15" x14ac:dyDescent="0.25">
      <c r="A99" s="1" t="s">
        <v>2003</v>
      </c>
      <c r="B99" s="1" t="s">
        <v>2012</v>
      </c>
      <c r="C99" s="1" t="s">
        <v>82</v>
      </c>
      <c r="D99" s="2"/>
      <c r="E99" s="1" t="s">
        <v>207</v>
      </c>
      <c r="F99" s="1" t="s">
        <v>356</v>
      </c>
      <c r="G99" s="1" t="s">
        <v>220</v>
      </c>
      <c r="H99" s="2"/>
      <c r="I99">
        <v>1</v>
      </c>
      <c r="J99" s="1" t="s">
        <v>234</v>
      </c>
      <c r="K99" s="1" t="s">
        <v>876</v>
      </c>
      <c r="L99">
        <v>4.8010795452875641</v>
      </c>
      <c r="M99" s="1" t="s">
        <v>234</v>
      </c>
      <c r="N99" s="1" t="s">
        <v>235</v>
      </c>
    </row>
    <row r="100" spans="1:15" x14ac:dyDescent="0.25">
      <c r="A100" s="1" t="s">
        <v>1992</v>
      </c>
      <c r="B100" s="1" t="s">
        <v>2012</v>
      </c>
      <c r="C100" s="1" t="s">
        <v>82</v>
      </c>
      <c r="D100" s="2"/>
      <c r="E100" s="1" t="s">
        <v>207</v>
      </c>
      <c r="F100" s="1" t="s">
        <v>352</v>
      </c>
      <c r="G100" s="1" t="s">
        <v>220</v>
      </c>
      <c r="H100" s="2"/>
      <c r="I100">
        <v>1</v>
      </c>
      <c r="J100" s="1" t="s">
        <v>234</v>
      </c>
      <c r="K100" s="1" t="s">
        <v>876</v>
      </c>
      <c r="L100">
        <v>2.3202279297230151</v>
      </c>
      <c r="M100" s="1" t="s">
        <v>234</v>
      </c>
      <c r="N100" s="1" t="s">
        <v>235</v>
      </c>
    </row>
    <row r="101" spans="1:15" x14ac:dyDescent="0.25">
      <c r="A101" s="1" t="s">
        <v>1990</v>
      </c>
      <c r="B101" s="1" t="s">
        <v>2012</v>
      </c>
      <c r="C101" s="1" t="s">
        <v>82</v>
      </c>
      <c r="D101" s="2"/>
      <c r="E101" s="1" t="s">
        <v>207</v>
      </c>
      <c r="F101" s="1" t="s">
        <v>352</v>
      </c>
      <c r="G101" s="1" t="s">
        <v>220</v>
      </c>
      <c r="H101" s="2"/>
      <c r="I101">
        <v>1</v>
      </c>
      <c r="J101" s="1" t="s">
        <v>234</v>
      </c>
      <c r="K101" s="1" t="s">
        <v>876</v>
      </c>
      <c r="L101">
        <v>2.3202279297230151</v>
      </c>
      <c r="M101" s="1" t="s">
        <v>234</v>
      </c>
      <c r="N101" s="1" t="s">
        <v>235</v>
      </c>
    </row>
    <row r="102" spans="1:15" x14ac:dyDescent="0.25">
      <c r="A102" s="1" t="s">
        <v>1988</v>
      </c>
      <c r="B102" s="1" t="s">
        <v>2012</v>
      </c>
      <c r="C102" s="1" t="s">
        <v>82</v>
      </c>
      <c r="D102" s="2"/>
      <c r="E102" s="1" t="s">
        <v>207</v>
      </c>
      <c r="F102" s="1" t="s">
        <v>352</v>
      </c>
      <c r="G102" s="1" t="s">
        <v>220</v>
      </c>
      <c r="H102" s="2"/>
      <c r="I102">
        <v>1</v>
      </c>
      <c r="J102" s="1" t="s">
        <v>234</v>
      </c>
      <c r="K102" s="1" t="s">
        <v>876</v>
      </c>
      <c r="L102">
        <v>2.3202279297230151</v>
      </c>
      <c r="M102" s="1" t="s">
        <v>234</v>
      </c>
      <c r="N102" s="1" t="s">
        <v>235</v>
      </c>
    </row>
    <row r="103" spans="1:15" x14ac:dyDescent="0.25">
      <c r="A103" s="1" t="s">
        <v>1986</v>
      </c>
      <c r="B103" s="1" t="s">
        <v>2012</v>
      </c>
      <c r="C103" s="1" t="s">
        <v>82</v>
      </c>
      <c r="D103" s="2"/>
      <c r="E103" s="1" t="s">
        <v>207</v>
      </c>
      <c r="F103" s="1" t="s">
        <v>352</v>
      </c>
      <c r="G103" s="1" t="s">
        <v>220</v>
      </c>
      <c r="H103" s="2"/>
      <c r="I103">
        <v>1</v>
      </c>
      <c r="J103" s="1" t="s">
        <v>234</v>
      </c>
      <c r="K103" s="1" t="s">
        <v>876</v>
      </c>
      <c r="L103">
        <v>2.3202279297230151</v>
      </c>
      <c r="M103" s="1" t="s">
        <v>234</v>
      </c>
      <c r="N103" s="1" t="s">
        <v>235</v>
      </c>
    </row>
    <row r="104" spans="1:15" x14ac:dyDescent="0.25">
      <c r="A104" s="1" t="s">
        <v>2008</v>
      </c>
      <c r="B104" s="1" t="s">
        <v>2012</v>
      </c>
      <c r="C104" s="1" t="s">
        <v>82</v>
      </c>
      <c r="D104" s="2"/>
      <c r="E104" s="1" t="s">
        <v>207</v>
      </c>
      <c r="F104" s="1" t="s">
        <v>353</v>
      </c>
      <c r="G104" s="1" t="s">
        <v>220</v>
      </c>
      <c r="H104" s="2"/>
      <c r="I104">
        <v>1</v>
      </c>
      <c r="J104" s="1" t="s">
        <v>234</v>
      </c>
      <c r="K104" s="1" t="s">
        <v>876</v>
      </c>
      <c r="L104">
        <v>5.7939521868331507</v>
      </c>
      <c r="M104" s="1" t="s">
        <v>234</v>
      </c>
      <c r="N104" s="1" t="s">
        <v>235</v>
      </c>
    </row>
    <row r="105" spans="1:15" x14ac:dyDescent="0.25">
      <c r="A105" s="1" t="s">
        <v>1997</v>
      </c>
      <c r="B105" s="1" t="s">
        <v>2012</v>
      </c>
      <c r="C105" s="1" t="s">
        <v>82</v>
      </c>
      <c r="D105" s="2"/>
      <c r="E105" s="1" t="s">
        <v>207</v>
      </c>
      <c r="F105" s="1" t="s">
        <v>353</v>
      </c>
      <c r="G105" s="1" t="s">
        <v>220</v>
      </c>
      <c r="H105" s="2"/>
      <c r="I105">
        <v>1</v>
      </c>
      <c r="J105" s="1" t="s">
        <v>234</v>
      </c>
      <c r="K105" s="1" t="s">
        <v>876</v>
      </c>
      <c r="L105">
        <v>4.8010795453020174</v>
      </c>
      <c r="M105" s="1" t="s">
        <v>234</v>
      </c>
      <c r="N105" s="1" t="s">
        <v>235</v>
      </c>
    </row>
    <row r="106" spans="1:15" x14ac:dyDescent="0.25">
      <c r="A106" s="1" t="s">
        <v>1999</v>
      </c>
      <c r="B106" s="1" t="s">
        <v>2012</v>
      </c>
      <c r="C106" s="1" t="s">
        <v>82</v>
      </c>
      <c r="D106" s="2"/>
      <c r="E106" s="1" t="s">
        <v>207</v>
      </c>
      <c r="F106" s="1" t="s">
        <v>353</v>
      </c>
      <c r="G106" s="1" t="s">
        <v>220</v>
      </c>
      <c r="H106" s="2"/>
      <c r="I106">
        <v>1</v>
      </c>
      <c r="J106" s="1" t="s">
        <v>234</v>
      </c>
      <c r="K106" s="1" t="s">
        <v>876</v>
      </c>
      <c r="L106">
        <v>4.8010795453020174</v>
      </c>
      <c r="M106" s="1" t="s">
        <v>234</v>
      </c>
      <c r="N106" s="1" t="s">
        <v>235</v>
      </c>
    </row>
    <row r="107" spans="1:15" x14ac:dyDescent="0.25">
      <c r="A107" s="1" t="s">
        <v>2002</v>
      </c>
      <c r="B107" s="1" t="s">
        <v>2012</v>
      </c>
      <c r="C107" s="1" t="s">
        <v>82</v>
      </c>
      <c r="D107" s="2"/>
      <c r="E107" s="1" t="s">
        <v>207</v>
      </c>
      <c r="F107" s="1" t="s">
        <v>353</v>
      </c>
      <c r="G107" s="1" t="s">
        <v>220</v>
      </c>
      <c r="H107" s="2"/>
      <c r="I107">
        <v>1</v>
      </c>
      <c r="J107" s="1" t="s">
        <v>234</v>
      </c>
      <c r="K107" s="1" t="s">
        <v>876</v>
      </c>
      <c r="L107">
        <v>4.8010795453020174</v>
      </c>
      <c r="M107" s="1" t="s">
        <v>234</v>
      </c>
      <c r="N107" s="1" t="s">
        <v>235</v>
      </c>
    </row>
    <row r="108" spans="1:15" x14ac:dyDescent="0.25">
      <c r="A108" s="1" t="s">
        <v>1995</v>
      </c>
      <c r="B108" s="1" t="s">
        <v>2012</v>
      </c>
      <c r="C108" s="1" t="s">
        <v>82</v>
      </c>
      <c r="D108" s="2"/>
      <c r="E108" s="1" t="s">
        <v>207</v>
      </c>
      <c r="F108" s="1" t="s">
        <v>328</v>
      </c>
      <c r="G108" s="1" t="s">
        <v>220</v>
      </c>
      <c r="H108" s="2"/>
      <c r="I108">
        <v>1</v>
      </c>
      <c r="J108" s="1" t="s">
        <v>234</v>
      </c>
      <c r="K108" s="1" t="s">
        <v>876</v>
      </c>
      <c r="L108">
        <v>2.1955872046925298</v>
      </c>
      <c r="M108" s="1" t="s">
        <v>234</v>
      </c>
      <c r="N108" s="1" t="s">
        <v>235</v>
      </c>
    </row>
    <row r="109" spans="1:15" x14ac:dyDescent="0.25">
      <c r="A109" s="1" t="s">
        <v>1994</v>
      </c>
      <c r="B109" s="1" t="s">
        <v>2012</v>
      </c>
      <c r="C109" s="1" t="s">
        <v>82</v>
      </c>
      <c r="D109" s="2"/>
      <c r="E109" s="1" t="s">
        <v>207</v>
      </c>
      <c r="F109" s="1" t="s">
        <v>328</v>
      </c>
      <c r="G109" s="1" t="s">
        <v>220</v>
      </c>
      <c r="H109" s="2"/>
      <c r="I109">
        <v>1</v>
      </c>
      <c r="J109" s="1" t="s">
        <v>234</v>
      </c>
      <c r="K109" s="1" t="s">
        <v>876</v>
      </c>
      <c r="L109">
        <v>2.1955872046925298</v>
      </c>
      <c r="M109" s="1" t="s">
        <v>234</v>
      </c>
      <c r="N109" s="1" t="s">
        <v>235</v>
      </c>
    </row>
    <row r="110" spans="1:15" x14ac:dyDescent="0.25">
      <c r="A110" s="1" t="s">
        <v>2009</v>
      </c>
      <c r="B110" s="1" t="s">
        <v>2012</v>
      </c>
      <c r="C110" s="1" t="s">
        <v>82</v>
      </c>
      <c r="D110" s="2"/>
      <c r="E110" s="1" t="s">
        <v>207</v>
      </c>
      <c r="F110" s="1" t="s">
        <v>328</v>
      </c>
      <c r="G110" s="1" t="s">
        <v>220</v>
      </c>
      <c r="H110" s="2"/>
      <c r="I110">
        <v>1</v>
      </c>
      <c r="J110" s="1" t="s">
        <v>234</v>
      </c>
      <c r="K110" s="1" t="s">
        <v>876</v>
      </c>
      <c r="L110">
        <v>5.0541035667395704</v>
      </c>
      <c r="M110" s="1" t="s">
        <v>234</v>
      </c>
      <c r="N110" s="1" t="s">
        <v>235</v>
      </c>
    </row>
    <row r="111" spans="1:15" x14ac:dyDescent="0.25">
      <c r="A111" s="1" t="s">
        <v>2000</v>
      </c>
      <c r="B111" s="1" t="s">
        <v>2012</v>
      </c>
      <c r="C111" s="1" t="s">
        <v>82</v>
      </c>
      <c r="D111" s="2"/>
      <c r="E111" s="1" t="s">
        <v>207</v>
      </c>
      <c r="F111" s="1" t="s">
        <v>328</v>
      </c>
      <c r="G111" s="1" t="s">
        <v>220</v>
      </c>
      <c r="H111" s="2"/>
      <c r="I111">
        <v>1</v>
      </c>
      <c r="J111" s="1" t="s">
        <v>234</v>
      </c>
      <c r="K111" s="1" t="s">
        <v>876</v>
      </c>
      <c r="L111">
        <v>4.6490947051971139</v>
      </c>
      <c r="M111" s="1" t="s">
        <v>234</v>
      </c>
      <c r="N111" s="1" t="s">
        <v>235</v>
      </c>
    </row>
    <row r="112" spans="1:15" x14ac:dyDescent="0.25">
      <c r="A112" s="1" t="s">
        <v>1102</v>
      </c>
      <c r="B112" s="1" t="s">
        <v>35</v>
      </c>
      <c r="C112" s="1" t="s">
        <v>80</v>
      </c>
      <c r="D112" s="2">
        <v>44506</v>
      </c>
      <c r="E112" s="1" t="s">
        <v>1779</v>
      </c>
      <c r="F112" s="1"/>
      <c r="G112" s="1" t="s">
        <v>35</v>
      </c>
      <c r="H112" s="2"/>
      <c r="I112">
        <v>1</v>
      </c>
      <c r="J112" s="1" t="s">
        <v>234</v>
      </c>
      <c r="K112" s="1" t="s">
        <v>877</v>
      </c>
      <c r="L112">
        <v>1.8637941130268252</v>
      </c>
      <c r="M112" s="1" t="s">
        <v>234</v>
      </c>
      <c r="N112" s="1" t="s">
        <v>1780</v>
      </c>
      <c r="O112">
        <v>2021</v>
      </c>
    </row>
    <row r="113" spans="1:15" x14ac:dyDescent="0.25">
      <c r="A113" s="1" t="s">
        <v>1104</v>
      </c>
      <c r="B113" s="1" t="s">
        <v>35</v>
      </c>
      <c r="C113" s="1" t="s">
        <v>80</v>
      </c>
      <c r="D113" s="2">
        <v>44506</v>
      </c>
      <c r="E113" s="1" t="s">
        <v>1779</v>
      </c>
      <c r="F113" s="1"/>
      <c r="G113" s="1" t="s">
        <v>35</v>
      </c>
      <c r="H113" s="2"/>
      <c r="I113">
        <v>1</v>
      </c>
      <c r="J113" s="1" t="s">
        <v>234</v>
      </c>
      <c r="K113" s="1" t="s">
        <v>877</v>
      </c>
      <c r="L113">
        <v>2.3830340708601998</v>
      </c>
      <c r="M113" s="1" t="s">
        <v>234</v>
      </c>
      <c r="N113" s="1" t="s">
        <v>1780</v>
      </c>
      <c r="O113">
        <v>2021</v>
      </c>
    </row>
    <row r="114" spans="1:15" x14ac:dyDescent="0.25">
      <c r="A114" s="1" t="s">
        <v>1105</v>
      </c>
      <c r="B114" s="1" t="s">
        <v>35</v>
      </c>
      <c r="C114" s="1" t="s">
        <v>80</v>
      </c>
      <c r="D114" s="2">
        <v>44506</v>
      </c>
      <c r="E114" s="1" t="s">
        <v>1779</v>
      </c>
      <c r="F114" s="1"/>
      <c r="G114" s="1" t="s">
        <v>35</v>
      </c>
      <c r="H114" s="2"/>
      <c r="I114">
        <v>1</v>
      </c>
      <c r="J114" s="1" t="s">
        <v>234</v>
      </c>
      <c r="K114" s="1" t="s">
        <v>877</v>
      </c>
      <c r="L114">
        <v>2.3389009253576902</v>
      </c>
      <c r="M114" s="1" t="s">
        <v>234</v>
      </c>
      <c r="N114" s="1" t="s">
        <v>1780</v>
      </c>
      <c r="O114">
        <v>2021</v>
      </c>
    </row>
    <row r="115" spans="1:15" x14ac:dyDescent="0.25">
      <c r="A115" s="1" t="s">
        <v>1106</v>
      </c>
      <c r="B115" s="1" t="s">
        <v>35</v>
      </c>
      <c r="C115" s="1" t="s">
        <v>80</v>
      </c>
      <c r="D115" s="2">
        <v>44506</v>
      </c>
      <c r="E115" s="1" t="s">
        <v>1779</v>
      </c>
      <c r="F115" s="1"/>
      <c r="G115" s="1" t="s">
        <v>35</v>
      </c>
      <c r="H115" s="2"/>
      <c r="I115">
        <v>1</v>
      </c>
      <c r="J115" s="1" t="s">
        <v>234</v>
      </c>
      <c r="K115" s="1" t="s">
        <v>877</v>
      </c>
      <c r="L115">
        <v>2.7490263304238205</v>
      </c>
      <c r="M115" s="1" t="s">
        <v>234</v>
      </c>
      <c r="N115" s="1" t="s">
        <v>1780</v>
      </c>
      <c r="O115">
        <v>2021</v>
      </c>
    </row>
    <row r="116" spans="1:15" x14ac:dyDescent="0.25">
      <c r="A116" s="1" t="s">
        <v>1107</v>
      </c>
      <c r="B116" s="1" t="s">
        <v>35</v>
      </c>
      <c r="C116" s="1" t="s">
        <v>80</v>
      </c>
      <c r="D116" s="2">
        <v>44506</v>
      </c>
      <c r="E116" s="1" t="s">
        <v>1779</v>
      </c>
      <c r="F116" s="1"/>
      <c r="G116" s="1" t="s">
        <v>35</v>
      </c>
      <c r="H116" s="2"/>
      <c r="I116">
        <v>1</v>
      </c>
      <c r="J116" s="1" t="s">
        <v>234</v>
      </c>
      <c r="K116" s="1" t="s">
        <v>877</v>
      </c>
      <c r="L116">
        <v>2.4195501328326898</v>
      </c>
      <c r="M116" s="1" t="s">
        <v>234</v>
      </c>
      <c r="N116" s="1" t="s">
        <v>1780</v>
      </c>
      <c r="O116">
        <v>2021</v>
      </c>
    </row>
    <row r="117" spans="1:15" x14ac:dyDescent="0.25">
      <c r="A117" s="1" t="s">
        <v>1108</v>
      </c>
      <c r="B117" s="1" t="s">
        <v>35</v>
      </c>
      <c r="C117" s="1" t="s">
        <v>80</v>
      </c>
      <c r="D117" s="2">
        <v>44506</v>
      </c>
      <c r="E117" s="1" t="s">
        <v>1779</v>
      </c>
      <c r="F117" s="1"/>
      <c r="G117" s="1" t="s">
        <v>35</v>
      </c>
      <c r="H117" s="2"/>
      <c r="I117">
        <v>1</v>
      </c>
      <c r="J117" s="1" t="s">
        <v>234</v>
      </c>
      <c r="K117" s="1" t="s">
        <v>877</v>
      </c>
      <c r="L117">
        <v>2.7118348383337425</v>
      </c>
      <c r="M117" s="1" t="s">
        <v>234</v>
      </c>
      <c r="N117" s="1" t="s">
        <v>1780</v>
      </c>
      <c r="O117">
        <v>2021</v>
      </c>
    </row>
    <row r="118" spans="1:15" x14ac:dyDescent="0.25">
      <c r="A118" s="1" t="s">
        <v>1109</v>
      </c>
      <c r="B118" s="1" t="s">
        <v>35</v>
      </c>
      <c r="C118" s="1" t="s">
        <v>80</v>
      </c>
      <c r="D118" s="2">
        <v>44506</v>
      </c>
      <c r="E118" s="1" t="s">
        <v>1779</v>
      </c>
      <c r="F118" s="1"/>
      <c r="G118" s="1" t="s">
        <v>35</v>
      </c>
      <c r="H118" s="2"/>
      <c r="I118">
        <v>1</v>
      </c>
      <c r="J118" s="1" t="s">
        <v>234</v>
      </c>
      <c r="K118" s="1" t="s">
        <v>877</v>
      </c>
      <c r="L118">
        <v>2.3831839730040416</v>
      </c>
      <c r="M118" s="1" t="s">
        <v>234</v>
      </c>
      <c r="N118" s="1" t="s">
        <v>1780</v>
      </c>
      <c r="O118">
        <v>2021</v>
      </c>
    </row>
    <row r="119" spans="1:15" x14ac:dyDescent="0.25">
      <c r="A119" s="1" t="s">
        <v>1110</v>
      </c>
      <c r="B119" s="1" t="s">
        <v>35</v>
      </c>
      <c r="C119" s="1" t="s">
        <v>80</v>
      </c>
      <c r="D119" s="2">
        <v>44506</v>
      </c>
      <c r="E119" s="1" t="s">
        <v>1779</v>
      </c>
      <c r="F119" s="1"/>
      <c r="G119" s="1" t="s">
        <v>35</v>
      </c>
      <c r="H119" s="2"/>
      <c r="I119">
        <v>1</v>
      </c>
      <c r="J119" s="1" t="s">
        <v>234</v>
      </c>
      <c r="K119" s="1" t="s">
        <v>877</v>
      </c>
      <c r="L119">
        <v>2.6239783744312226</v>
      </c>
      <c r="M119" s="1" t="s">
        <v>234</v>
      </c>
      <c r="N119" s="1" t="s">
        <v>1780</v>
      </c>
      <c r="O119">
        <v>2021</v>
      </c>
    </row>
    <row r="120" spans="1:15" x14ac:dyDescent="0.25">
      <c r="A120" s="1" t="s">
        <v>1111</v>
      </c>
      <c r="B120" s="1" t="s">
        <v>35</v>
      </c>
      <c r="C120" s="1" t="s">
        <v>80</v>
      </c>
      <c r="D120" s="2">
        <v>44506</v>
      </c>
      <c r="E120" s="1" t="s">
        <v>1779</v>
      </c>
      <c r="F120" s="1"/>
      <c r="G120" s="1" t="s">
        <v>35</v>
      </c>
      <c r="H120" s="2"/>
      <c r="I120">
        <v>1</v>
      </c>
      <c r="J120" s="1" t="s">
        <v>234</v>
      </c>
      <c r="K120" s="1" t="s">
        <v>877</v>
      </c>
      <c r="L120">
        <v>2.3835593598760885</v>
      </c>
      <c r="M120" s="1" t="s">
        <v>234</v>
      </c>
      <c r="N120" s="1" t="s">
        <v>1780</v>
      </c>
      <c r="O120">
        <v>2021</v>
      </c>
    </row>
    <row r="121" spans="1:15" x14ac:dyDescent="0.25">
      <c r="A121" s="1" t="s">
        <v>1112</v>
      </c>
      <c r="B121" s="1" t="s">
        <v>35</v>
      </c>
      <c r="C121" s="1" t="s">
        <v>80</v>
      </c>
      <c r="D121" s="2">
        <v>44506</v>
      </c>
      <c r="E121" s="1" t="s">
        <v>1779</v>
      </c>
      <c r="F121" s="1"/>
      <c r="G121" s="1" t="s">
        <v>35</v>
      </c>
      <c r="H121" s="2"/>
      <c r="I121">
        <v>1</v>
      </c>
      <c r="J121" s="1" t="s">
        <v>234</v>
      </c>
      <c r="K121" s="1" t="s">
        <v>877</v>
      </c>
      <c r="L121">
        <v>2.6240674889478086</v>
      </c>
      <c r="M121" s="1" t="s">
        <v>234</v>
      </c>
      <c r="N121" s="1" t="s">
        <v>1780</v>
      </c>
      <c r="O121">
        <v>2021</v>
      </c>
    </row>
    <row r="122" spans="1:15" x14ac:dyDescent="0.25">
      <c r="A122" s="1" t="s">
        <v>1113</v>
      </c>
      <c r="B122" s="1" t="s">
        <v>35</v>
      </c>
      <c r="C122" s="1" t="s">
        <v>80</v>
      </c>
      <c r="D122" s="2">
        <v>44506</v>
      </c>
      <c r="E122" s="1" t="s">
        <v>1779</v>
      </c>
      <c r="F122" s="1"/>
      <c r="G122" s="1" t="s">
        <v>35</v>
      </c>
      <c r="H122" s="2"/>
      <c r="I122">
        <v>1</v>
      </c>
      <c r="J122" s="1" t="s">
        <v>234</v>
      </c>
      <c r="K122" s="1" t="s">
        <v>877</v>
      </c>
      <c r="L122">
        <v>2.3835593598760885</v>
      </c>
      <c r="M122" s="1" t="s">
        <v>234</v>
      </c>
      <c r="N122" s="1" t="s">
        <v>1780</v>
      </c>
      <c r="O122">
        <v>2021</v>
      </c>
    </row>
    <row r="123" spans="1:15" x14ac:dyDescent="0.25">
      <c r="A123" s="1" t="s">
        <v>1114</v>
      </c>
      <c r="B123" s="1" t="s">
        <v>35</v>
      </c>
      <c r="C123" s="1" t="s">
        <v>80</v>
      </c>
      <c r="D123" s="2">
        <v>44506</v>
      </c>
      <c r="E123" s="1" t="s">
        <v>1779</v>
      </c>
      <c r="F123" s="1"/>
      <c r="G123" s="1" t="s">
        <v>35</v>
      </c>
      <c r="H123" s="2"/>
      <c r="I123">
        <v>1</v>
      </c>
      <c r="J123" s="1" t="s">
        <v>234</v>
      </c>
      <c r="K123" s="1" t="s">
        <v>877</v>
      </c>
      <c r="L123">
        <v>2.6189935694599535</v>
      </c>
      <c r="M123" s="1" t="s">
        <v>234</v>
      </c>
      <c r="N123" s="1" t="s">
        <v>1780</v>
      </c>
      <c r="O123">
        <v>2021</v>
      </c>
    </row>
    <row r="124" spans="1:15" x14ac:dyDescent="0.25">
      <c r="A124" s="1" t="s">
        <v>1117</v>
      </c>
      <c r="B124" s="1" t="s">
        <v>35</v>
      </c>
      <c r="C124" s="1" t="s">
        <v>80</v>
      </c>
      <c r="D124" s="2">
        <v>44506</v>
      </c>
      <c r="E124" s="1" t="s">
        <v>1779</v>
      </c>
      <c r="F124" s="1"/>
      <c r="G124" s="1" t="s">
        <v>35</v>
      </c>
      <c r="H124" s="2"/>
      <c r="I124">
        <v>1</v>
      </c>
      <c r="J124" s="1" t="s">
        <v>234</v>
      </c>
      <c r="K124" s="1" t="s">
        <v>877</v>
      </c>
      <c r="L124">
        <v>0.96104967032897382</v>
      </c>
      <c r="M124" s="1" t="s">
        <v>234</v>
      </c>
      <c r="N124" s="1" t="s">
        <v>1780</v>
      </c>
      <c r="O124">
        <v>2021</v>
      </c>
    </row>
    <row r="125" spans="1:15" x14ac:dyDescent="0.25">
      <c r="A125" s="1" t="s">
        <v>1119</v>
      </c>
      <c r="B125" s="1" t="s">
        <v>35</v>
      </c>
      <c r="C125" s="1" t="s">
        <v>80</v>
      </c>
      <c r="D125" s="2">
        <v>44506</v>
      </c>
      <c r="E125" s="1" t="s">
        <v>1779</v>
      </c>
      <c r="F125" s="1"/>
      <c r="G125" s="1" t="s">
        <v>35</v>
      </c>
      <c r="H125" s="2"/>
      <c r="I125">
        <v>1</v>
      </c>
      <c r="J125" s="1" t="s">
        <v>234</v>
      </c>
      <c r="K125" s="1" t="s">
        <v>877</v>
      </c>
      <c r="L125">
        <v>2.6573607312059897</v>
      </c>
      <c r="M125" s="1" t="s">
        <v>234</v>
      </c>
      <c r="N125" s="1" t="s">
        <v>1780</v>
      </c>
      <c r="O125">
        <v>2021</v>
      </c>
    </row>
    <row r="126" spans="1:15" x14ac:dyDescent="0.25">
      <c r="A126" s="1" t="s">
        <v>1120</v>
      </c>
      <c r="B126" s="1" t="s">
        <v>35</v>
      </c>
      <c r="C126" s="1" t="s">
        <v>81</v>
      </c>
      <c r="D126" s="2">
        <v>44529</v>
      </c>
      <c r="E126" s="1" t="s">
        <v>1779</v>
      </c>
      <c r="F126" s="1"/>
      <c r="G126" s="1" t="s">
        <v>35</v>
      </c>
      <c r="H126" s="2"/>
      <c r="I126">
        <v>1</v>
      </c>
      <c r="J126" s="1" t="s">
        <v>234</v>
      </c>
      <c r="K126" s="1" t="s">
        <v>877</v>
      </c>
      <c r="L126">
        <v>2.2712754864319971</v>
      </c>
      <c r="M126" s="1" t="s">
        <v>234</v>
      </c>
      <c r="N126" s="1" t="s">
        <v>1780</v>
      </c>
      <c r="O126">
        <v>2021</v>
      </c>
    </row>
    <row r="127" spans="1:15" x14ac:dyDescent="0.25">
      <c r="A127" s="1" t="s">
        <v>1121</v>
      </c>
      <c r="B127" s="1" t="s">
        <v>35</v>
      </c>
      <c r="C127" s="1" t="s">
        <v>81</v>
      </c>
      <c r="D127" s="2">
        <v>44529</v>
      </c>
      <c r="E127" s="1" t="s">
        <v>1779</v>
      </c>
      <c r="F127" s="1"/>
      <c r="G127" s="1" t="s">
        <v>35</v>
      </c>
      <c r="H127" s="2"/>
      <c r="I127">
        <v>1</v>
      </c>
      <c r="J127" s="1" t="s">
        <v>234</v>
      </c>
      <c r="K127" s="1" t="s">
        <v>877</v>
      </c>
      <c r="L127">
        <v>2.2712754800520205</v>
      </c>
      <c r="M127" s="1" t="s">
        <v>234</v>
      </c>
      <c r="N127" s="1" t="s">
        <v>1780</v>
      </c>
      <c r="O127">
        <v>2021</v>
      </c>
    </row>
    <row r="128" spans="1:15" x14ac:dyDescent="0.25">
      <c r="A128" s="1" t="s">
        <v>1122</v>
      </c>
      <c r="B128" s="1" t="s">
        <v>35</v>
      </c>
      <c r="C128" s="1" t="s">
        <v>81</v>
      </c>
      <c r="D128" s="2">
        <v>44529</v>
      </c>
      <c r="E128" s="1" t="s">
        <v>1779</v>
      </c>
      <c r="F128" s="1"/>
      <c r="G128" s="1" t="s">
        <v>35</v>
      </c>
      <c r="H128" s="2"/>
      <c r="I128">
        <v>1</v>
      </c>
      <c r="J128" s="1" t="s">
        <v>234</v>
      </c>
      <c r="K128" s="1" t="s">
        <v>877</v>
      </c>
      <c r="L128">
        <v>2.2712754864319971</v>
      </c>
      <c r="M128" s="1" t="s">
        <v>234</v>
      </c>
      <c r="N128" s="1" t="s">
        <v>1780</v>
      </c>
      <c r="O128">
        <v>2021</v>
      </c>
    </row>
    <row r="129" spans="1:15" x14ac:dyDescent="0.25">
      <c r="A129" s="1" t="s">
        <v>1123</v>
      </c>
      <c r="B129" s="1" t="s">
        <v>35</v>
      </c>
      <c r="C129" s="1" t="s">
        <v>81</v>
      </c>
      <c r="D129" s="2">
        <v>44529</v>
      </c>
      <c r="E129" s="1" t="s">
        <v>1779</v>
      </c>
      <c r="F129" s="1"/>
      <c r="G129" s="1" t="s">
        <v>35</v>
      </c>
      <c r="H129" s="2"/>
      <c r="I129">
        <v>1</v>
      </c>
      <c r="J129" s="1" t="s">
        <v>234</v>
      </c>
      <c r="K129" s="1" t="s">
        <v>877</v>
      </c>
      <c r="L129">
        <v>2.2712754800520205</v>
      </c>
      <c r="M129" s="1" t="s">
        <v>234</v>
      </c>
      <c r="N129" s="1" t="s">
        <v>1780</v>
      </c>
      <c r="O129">
        <v>2021</v>
      </c>
    </row>
    <row r="130" spans="1:15" x14ac:dyDescent="0.25">
      <c r="A130" s="1" t="s">
        <v>1125</v>
      </c>
      <c r="B130" s="1" t="s">
        <v>35</v>
      </c>
      <c r="C130" s="1" t="s">
        <v>81</v>
      </c>
      <c r="D130" s="2">
        <v>44529</v>
      </c>
      <c r="E130" s="1" t="s">
        <v>1779</v>
      </c>
      <c r="F130" s="1"/>
      <c r="G130" s="1" t="s">
        <v>35</v>
      </c>
      <c r="H130" s="2"/>
      <c r="I130">
        <v>1</v>
      </c>
      <c r="J130" s="1" t="s">
        <v>234</v>
      </c>
      <c r="K130" s="1" t="s">
        <v>877</v>
      </c>
      <c r="L130">
        <v>1.3325354781122114</v>
      </c>
      <c r="M130" s="1" t="s">
        <v>234</v>
      </c>
      <c r="N130" s="1" t="s">
        <v>1780</v>
      </c>
      <c r="O130">
        <v>2021</v>
      </c>
    </row>
    <row r="131" spans="1:15" x14ac:dyDescent="0.25">
      <c r="A131" s="1" t="s">
        <v>1127</v>
      </c>
      <c r="B131" s="1" t="s">
        <v>35</v>
      </c>
      <c r="C131" s="1" t="s">
        <v>81</v>
      </c>
      <c r="D131" s="2">
        <v>44529</v>
      </c>
      <c r="E131" s="1" t="s">
        <v>1779</v>
      </c>
      <c r="F131" s="1"/>
      <c r="G131" s="1" t="s">
        <v>35</v>
      </c>
      <c r="H131" s="2"/>
      <c r="I131">
        <v>1</v>
      </c>
      <c r="J131" s="1" t="s">
        <v>234</v>
      </c>
      <c r="K131" s="1" t="s">
        <v>877</v>
      </c>
      <c r="L131">
        <v>1.3325310118527001</v>
      </c>
      <c r="M131" s="1" t="s">
        <v>234</v>
      </c>
      <c r="N131" s="1" t="s">
        <v>1780</v>
      </c>
      <c r="O131">
        <v>2021</v>
      </c>
    </row>
    <row r="132" spans="1:15" x14ac:dyDescent="0.25">
      <c r="A132" s="1" t="s">
        <v>1128</v>
      </c>
      <c r="B132" s="1" t="s">
        <v>35</v>
      </c>
      <c r="C132" s="1" t="s">
        <v>81</v>
      </c>
      <c r="D132" s="2">
        <v>44529</v>
      </c>
      <c r="E132" s="1" t="s">
        <v>1779</v>
      </c>
      <c r="F132" s="1"/>
      <c r="G132" s="1" t="s">
        <v>35</v>
      </c>
      <c r="H132" s="2"/>
      <c r="I132">
        <v>1</v>
      </c>
      <c r="J132" s="1" t="s">
        <v>234</v>
      </c>
      <c r="K132" s="1" t="s">
        <v>877</v>
      </c>
      <c r="L132">
        <v>2.1812779292937545</v>
      </c>
      <c r="M132" s="1" t="s">
        <v>234</v>
      </c>
      <c r="N132" s="1" t="s">
        <v>1780</v>
      </c>
      <c r="O132">
        <v>2021</v>
      </c>
    </row>
    <row r="133" spans="1:15" x14ac:dyDescent="0.25">
      <c r="A133" s="1" t="s">
        <v>1129</v>
      </c>
      <c r="B133" s="1" t="s">
        <v>35</v>
      </c>
      <c r="C133" s="1" t="s">
        <v>81</v>
      </c>
      <c r="D133" s="2">
        <v>44529</v>
      </c>
      <c r="E133" s="1" t="s">
        <v>1779</v>
      </c>
      <c r="F133" s="1"/>
      <c r="G133" s="1" t="s">
        <v>35</v>
      </c>
      <c r="H133" s="2"/>
      <c r="I133">
        <v>1</v>
      </c>
      <c r="J133" s="1" t="s">
        <v>234</v>
      </c>
      <c r="K133" s="1" t="s">
        <v>877</v>
      </c>
      <c r="L133">
        <v>2.1813724755449853</v>
      </c>
      <c r="M133" s="1" t="s">
        <v>234</v>
      </c>
      <c r="N133" s="1" t="s">
        <v>1780</v>
      </c>
      <c r="O133">
        <v>2021</v>
      </c>
    </row>
    <row r="134" spans="1:15" x14ac:dyDescent="0.25">
      <c r="A134" s="1" t="s">
        <v>1130</v>
      </c>
      <c r="B134" s="1" t="s">
        <v>35</v>
      </c>
      <c r="C134" s="1" t="s">
        <v>81</v>
      </c>
      <c r="D134" s="2">
        <v>44529</v>
      </c>
      <c r="E134" s="1" t="s">
        <v>1779</v>
      </c>
      <c r="F134" s="1"/>
      <c r="G134" s="1" t="s">
        <v>35</v>
      </c>
      <c r="H134" s="2"/>
      <c r="I134">
        <v>1</v>
      </c>
      <c r="J134" s="1" t="s">
        <v>234</v>
      </c>
      <c r="K134" s="1" t="s">
        <v>877</v>
      </c>
      <c r="L134">
        <v>2.0545102943016422</v>
      </c>
      <c r="M134" s="1" t="s">
        <v>234</v>
      </c>
      <c r="N134" s="1" t="s">
        <v>1780</v>
      </c>
      <c r="O134">
        <v>2021</v>
      </c>
    </row>
    <row r="135" spans="1:15" x14ac:dyDescent="0.25">
      <c r="A135" s="1" t="s">
        <v>1131</v>
      </c>
      <c r="B135" s="1" t="s">
        <v>35</v>
      </c>
      <c r="C135" s="1" t="s">
        <v>81</v>
      </c>
      <c r="D135" s="2">
        <v>44529</v>
      </c>
      <c r="E135" s="1" t="s">
        <v>1779</v>
      </c>
      <c r="F135" s="1"/>
      <c r="G135" s="1" t="s">
        <v>35</v>
      </c>
      <c r="H135" s="2"/>
      <c r="I135">
        <v>1</v>
      </c>
      <c r="J135" s="1" t="s">
        <v>234</v>
      </c>
      <c r="K135" s="1" t="s">
        <v>877</v>
      </c>
      <c r="L135">
        <v>2.1014389530447604</v>
      </c>
      <c r="M135" s="1" t="s">
        <v>234</v>
      </c>
      <c r="N135" s="1" t="s">
        <v>1780</v>
      </c>
      <c r="O135">
        <v>2021</v>
      </c>
    </row>
    <row r="136" spans="1:15" x14ac:dyDescent="0.25">
      <c r="A136" s="1" t="s">
        <v>1132</v>
      </c>
      <c r="B136" s="1" t="s">
        <v>35</v>
      </c>
      <c r="C136" s="1" t="s">
        <v>81</v>
      </c>
      <c r="D136" s="2">
        <v>44529</v>
      </c>
      <c r="E136" s="1" t="s">
        <v>1779</v>
      </c>
      <c r="F136" s="1"/>
      <c r="G136" s="1" t="s">
        <v>35</v>
      </c>
      <c r="H136" s="2"/>
      <c r="I136">
        <v>1</v>
      </c>
      <c r="J136" s="1" t="s">
        <v>234</v>
      </c>
      <c r="K136" s="1" t="s">
        <v>877</v>
      </c>
      <c r="L136">
        <v>1.014415863110705</v>
      </c>
      <c r="M136" s="1" t="s">
        <v>234</v>
      </c>
      <c r="N136" s="1" t="s">
        <v>1780</v>
      </c>
      <c r="O136">
        <v>2021</v>
      </c>
    </row>
    <row r="137" spans="1:15" x14ac:dyDescent="0.25">
      <c r="A137" s="1" t="s">
        <v>1133</v>
      </c>
      <c r="B137" s="1" t="s">
        <v>35</v>
      </c>
      <c r="C137" s="1" t="s">
        <v>81</v>
      </c>
      <c r="D137" s="2">
        <v>44529</v>
      </c>
      <c r="E137" s="1" t="s">
        <v>1779</v>
      </c>
      <c r="F137" s="1"/>
      <c r="G137" s="1" t="s">
        <v>35</v>
      </c>
      <c r="H137" s="2"/>
      <c r="I137">
        <v>1</v>
      </c>
      <c r="J137" s="1" t="s">
        <v>234</v>
      </c>
      <c r="K137" s="1" t="s">
        <v>877</v>
      </c>
      <c r="L137">
        <v>1.014415863110705</v>
      </c>
      <c r="M137" s="1" t="s">
        <v>234</v>
      </c>
      <c r="N137" s="1" t="s">
        <v>1780</v>
      </c>
      <c r="O137">
        <v>2021</v>
      </c>
    </row>
    <row r="138" spans="1:15" x14ac:dyDescent="0.25">
      <c r="A138" s="1" t="s">
        <v>1134</v>
      </c>
      <c r="B138" s="1" t="s">
        <v>35</v>
      </c>
      <c r="C138" s="1" t="s">
        <v>82</v>
      </c>
      <c r="D138" s="2">
        <v>44505</v>
      </c>
      <c r="E138" s="1" t="s">
        <v>1779</v>
      </c>
      <c r="F138" s="1"/>
      <c r="G138" s="1" t="s">
        <v>35</v>
      </c>
      <c r="H138" s="2"/>
      <c r="I138">
        <v>1</v>
      </c>
      <c r="J138" s="1" t="s">
        <v>234</v>
      </c>
      <c r="K138" s="1" t="s">
        <v>877</v>
      </c>
      <c r="L138">
        <v>2.6543365946926607</v>
      </c>
      <c r="M138" s="1" t="s">
        <v>234</v>
      </c>
      <c r="N138" s="1" t="s">
        <v>1780</v>
      </c>
      <c r="O138">
        <v>2021</v>
      </c>
    </row>
    <row r="139" spans="1:15" x14ac:dyDescent="0.25">
      <c r="A139" s="1" t="s">
        <v>1135</v>
      </c>
      <c r="B139" s="1" t="s">
        <v>35</v>
      </c>
      <c r="C139" s="1" t="s">
        <v>82</v>
      </c>
      <c r="D139" s="2">
        <v>44505</v>
      </c>
      <c r="E139" s="1" t="s">
        <v>1779</v>
      </c>
      <c r="F139" s="1"/>
      <c r="G139" s="1" t="s">
        <v>35</v>
      </c>
      <c r="H139" s="2"/>
      <c r="I139">
        <v>1</v>
      </c>
      <c r="J139" s="1" t="s">
        <v>234</v>
      </c>
      <c r="K139" s="1" t="s">
        <v>877</v>
      </c>
      <c r="L139">
        <v>2.6543365946926607</v>
      </c>
      <c r="M139" s="1" t="s">
        <v>234</v>
      </c>
      <c r="N139" s="1" t="s">
        <v>1780</v>
      </c>
      <c r="O139">
        <v>2021</v>
      </c>
    </row>
    <row r="140" spans="1:15" x14ac:dyDescent="0.25">
      <c r="A140" s="1" t="s">
        <v>1136</v>
      </c>
      <c r="B140" s="1" t="s">
        <v>35</v>
      </c>
      <c r="C140" s="1" t="s">
        <v>82</v>
      </c>
      <c r="D140" s="2">
        <v>44505</v>
      </c>
      <c r="E140" s="1" t="s">
        <v>1779</v>
      </c>
      <c r="F140" s="1"/>
      <c r="G140" s="1" t="s">
        <v>35</v>
      </c>
      <c r="H140" s="2"/>
      <c r="I140">
        <v>1</v>
      </c>
      <c r="J140" s="1" t="s">
        <v>234</v>
      </c>
      <c r="K140" s="1" t="s">
        <v>877</v>
      </c>
      <c r="L140">
        <v>2.6543365946926607</v>
      </c>
      <c r="M140" s="1" t="s">
        <v>234</v>
      </c>
      <c r="N140" s="1" t="s">
        <v>1780</v>
      </c>
      <c r="O140">
        <v>2021</v>
      </c>
    </row>
    <row r="141" spans="1:15" x14ac:dyDescent="0.25">
      <c r="A141" s="1" t="s">
        <v>1137</v>
      </c>
      <c r="B141" s="1" t="s">
        <v>35</v>
      </c>
      <c r="C141" s="1" t="s">
        <v>82</v>
      </c>
      <c r="D141" s="2">
        <v>44505</v>
      </c>
      <c r="E141" s="1" t="s">
        <v>1779</v>
      </c>
      <c r="F141" s="1"/>
      <c r="G141" s="1" t="s">
        <v>35</v>
      </c>
      <c r="H141" s="2"/>
      <c r="I141">
        <v>1</v>
      </c>
      <c r="J141" s="1" t="s">
        <v>234</v>
      </c>
      <c r="K141" s="1" t="s">
        <v>877</v>
      </c>
      <c r="L141">
        <v>2.6543365988364553</v>
      </c>
      <c r="M141" s="1" t="s">
        <v>234</v>
      </c>
      <c r="N141" s="1" t="s">
        <v>1780</v>
      </c>
      <c r="O141">
        <v>2021</v>
      </c>
    </row>
    <row r="142" spans="1:15" x14ac:dyDescent="0.25">
      <c r="A142" s="1" t="s">
        <v>1138</v>
      </c>
      <c r="B142" s="1" t="s">
        <v>35</v>
      </c>
      <c r="C142" s="1" t="s">
        <v>82</v>
      </c>
      <c r="D142" s="2">
        <v>44505</v>
      </c>
      <c r="E142" s="1" t="s">
        <v>1779</v>
      </c>
      <c r="F142" s="1"/>
      <c r="G142" s="1" t="s">
        <v>35</v>
      </c>
      <c r="H142" s="2"/>
      <c r="I142">
        <v>1</v>
      </c>
      <c r="J142" s="1" t="s">
        <v>234</v>
      </c>
      <c r="K142" s="1" t="s">
        <v>877</v>
      </c>
      <c r="L142">
        <v>2.4499186249810707</v>
      </c>
      <c r="M142" s="1" t="s">
        <v>234</v>
      </c>
      <c r="N142" s="1" t="s">
        <v>1780</v>
      </c>
      <c r="O142">
        <v>2021</v>
      </c>
    </row>
    <row r="143" spans="1:15" x14ac:dyDescent="0.25">
      <c r="A143" s="1" t="s">
        <v>1139</v>
      </c>
      <c r="B143" s="1" t="s">
        <v>35</v>
      </c>
      <c r="C143" s="1" t="s">
        <v>82</v>
      </c>
      <c r="D143" s="2">
        <v>44505</v>
      </c>
      <c r="E143" s="1" t="s">
        <v>1779</v>
      </c>
      <c r="F143" s="1"/>
      <c r="G143" s="1" t="s">
        <v>35</v>
      </c>
      <c r="H143" s="2"/>
      <c r="I143">
        <v>1</v>
      </c>
      <c r="J143" s="1" t="s">
        <v>234</v>
      </c>
      <c r="K143" s="1" t="s">
        <v>877</v>
      </c>
      <c r="L143">
        <v>1.9790725300886696</v>
      </c>
      <c r="M143" s="1" t="s">
        <v>234</v>
      </c>
      <c r="N143" s="1" t="s">
        <v>1780</v>
      </c>
      <c r="O143">
        <v>2021</v>
      </c>
    </row>
    <row r="144" spans="1:15" x14ac:dyDescent="0.25">
      <c r="A144" s="1" t="s">
        <v>1142</v>
      </c>
      <c r="B144" s="1" t="s">
        <v>35</v>
      </c>
      <c r="C144" s="1" t="s">
        <v>82</v>
      </c>
      <c r="D144" s="2">
        <v>44505</v>
      </c>
      <c r="E144" s="1" t="s">
        <v>1779</v>
      </c>
      <c r="F144" s="1"/>
      <c r="G144" s="1" t="s">
        <v>35</v>
      </c>
      <c r="H144" s="2"/>
      <c r="I144">
        <v>1</v>
      </c>
      <c r="J144" s="1" t="s">
        <v>234</v>
      </c>
      <c r="K144" s="1" t="s">
        <v>877</v>
      </c>
      <c r="L144">
        <v>1.7972394852170612</v>
      </c>
      <c r="M144" s="1" t="s">
        <v>234</v>
      </c>
      <c r="N144" s="1" t="s">
        <v>1780</v>
      </c>
      <c r="O144">
        <v>2021</v>
      </c>
    </row>
    <row r="145" spans="1:15" x14ac:dyDescent="0.25">
      <c r="A145" s="1" t="s">
        <v>1143</v>
      </c>
      <c r="B145" s="1" t="s">
        <v>35</v>
      </c>
      <c r="C145" s="1" t="s">
        <v>82</v>
      </c>
      <c r="D145" s="2">
        <v>44505</v>
      </c>
      <c r="E145" s="1" t="s">
        <v>1779</v>
      </c>
      <c r="F145" s="1"/>
      <c r="G145" s="1" t="s">
        <v>35</v>
      </c>
      <c r="H145" s="2"/>
      <c r="I145">
        <v>1</v>
      </c>
      <c r="J145" s="1" t="s">
        <v>234</v>
      </c>
      <c r="K145" s="1" t="s">
        <v>877</v>
      </c>
      <c r="L145">
        <v>2.2612514543399413</v>
      </c>
      <c r="M145" s="1" t="s">
        <v>234</v>
      </c>
      <c r="N145" s="1" t="s">
        <v>1780</v>
      </c>
      <c r="O145">
        <v>2021</v>
      </c>
    </row>
    <row r="146" spans="1:15" x14ac:dyDescent="0.25">
      <c r="A146" s="1" t="s">
        <v>1144</v>
      </c>
      <c r="B146" s="1" t="s">
        <v>35</v>
      </c>
      <c r="C146" s="1" t="s">
        <v>82</v>
      </c>
      <c r="D146" s="2">
        <v>44505</v>
      </c>
      <c r="E146" s="1" t="s">
        <v>1779</v>
      </c>
      <c r="F146" s="1"/>
      <c r="G146" s="1" t="s">
        <v>35</v>
      </c>
      <c r="H146" s="2"/>
      <c r="I146">
        <v>1</v>
      </c>
      <c r="J146" s="1" t="s">
        <v>234</v>
      </c>
      <c r="K146" s="1" t="s">
        <v>877</v>
      </c>
      <c r="L146">
        <v>1.528004461162535</v>
      </c>
      <c r="M146" s="1" t="s">
        <v>234</v>
      </c>
      <c r="N146" s="1" t="s">
        <v>1780</v>
      </c>
      <c r="O146">
        <v>2021</v>
      </c>
    </row>
    <row r="147" spans="1:15" x14ac:dyDescent="0.25">
      <c r="A147" s="1" t="s">
        <v>1145</v>
      </c>
      <c r="B147" s="1" t="s">
        <v>35</v>
      </c>
      <c r="C147" s="1" t="s">
        <v>82</v>
      </c>
      <c r="D147" s="2">
        <v>44505</v>
      </c>
      <c r="E147" s="1" t="s">
        <v>1779</v>
      </c>
      <c r="F147" s="1"/>
      <c r="G147" s="1" t="s">
        <v>35</v>
      </c>
      <c r="H147" s="2"/>
      <c r="I147">
        <v>1</v>
      </c>
      <c r="J147" s="1" t="s">
        <v>234</v>
      </c>
      <c r="K147" s="1" t="s">
        <v>877</v>
      </c>
      <c r="L147">
        <v>1.4529882809521748</v>
      </c>
      <c r="M147" s="1" t="s">
        <v>234</v>
      </c>
      <c r="N147" s="1" t="s">
        <v>1780</v>
      </c>
      <c r="O147">
        <v>2021</v>
      </c>
    </row>
    <row r="148" spans="1:15" x14ac:dyDescent="0.25">
      <c r="A148" s="1" t="s">
        <v>1146</v>
      </c>
      <c r="B148" s="1" t="s">
        <v>35</v>
      </c>
      <c r="C148" s="1" t="s">
        <v>82</v>
      </c>
      <c r="D148" s="2">
        <v>44505</v>
      </c>
      <c r="E148" s="1" t="s">
        <v>1779</v>
      </c>
      <c r="F148" s="1"/>
      <c r="G148" s="1" t="s">
        <v>35</v>
      </c>
      <c r="H148" s="2"/>
      <c r="I148">
        <v>1</v>
      </c>
      <c r="J148" s="1" t="s">
        <v>234</v>
      </c>
      <c r="K148" s="1" t="s">
        <v>877</v>
      </c>
      <c r="L148">
        <v>1.2846867288474542</v>
      </c>
      <c r="M148" s="1" t="s">
        <v>234</v>
      </c>
      <c r="N148" s="1" t="s">
        <v>1780</v>
      </c>
      <c r="O148">
        <v>2021</v>
      </c>
    </row>
    <row r="149" spans="1:15" x14ac:dyDescent="0.25">
      <c r="A149" s="1" t="s">
        <v>1149</v>
      </c>
      <c r="B149" s="1" t="s">
        <v>35</v>
      </c>
      <c r="C149" s="1" t="s">
        <v>82</v>
      </c>
      <c r="D149" s="2">
        <v>44505</v>
      </c>
      <c r="E149" s="1" t="s">
        <v>1779</v>
      </c>
      <c r="F149" s="1"/>
      <c r="G149" s="1" t="s">
        <v>35</v>
      </c>
      <c r="H149" s="2"/>
      <c r="I149">
        <v>1</v>
      </c>
      <c r="J149" s="1" t="s">
        <v>234</v>
      </c>
      <c r="K149" s="1" t="s">
        <v>877</v>
      </c>
      <c r="L149">
        <v>2.4367079467166093</v>
      </c>
      <c r="M149" s="1" t="s">
        <v>234</v>
      </c>
      <c r="N149" s="1" t="s">
        <v>1780</v>
      </c>
      <c r="O149">
        <v>2021</v>
      </c>
    </row>
    <row r="150" spans="1:15" x14ac:dyDescent="0.25">
      <c r="A150" s="1" t="s">
        <v>1150</v>
      </c>
      <c r="B150" s="1" t="s">
        <v>35</v>
      </c>
      <c r="C150" s="1" t="s">
        <v>82</v>
      </c>
      <c r="D150" s="2">
        <v>44505</v>
      </c>
      <c r="E150" s="1" t="s">
        <v>1779</v>
      </c>
      <c r="F150" s="1"/>
      <c r="G150" s="1" t="s">
        <v>35</v>
      </c>
      <c r="H150" s="2"/>
      <c r="I150">
        <v>1</v>
      </c>
      <c r="J150" s="1" t="s">
        <v>234</v>
      </c>
      <c r="K150" s="1" t="s">
        <v>877</v>
      </c>
      <c r="L150">
        <v>2.4367456217455667</v>
      </c>
      <c r="M150" s="1" t="s">
        <v>234</v>
      </c>
      <c r="N150" s="1" t="s">
        <v>1780</v>
      </c>
      <c r="O150">
        <v>2021</v>
      </c>
    </row>
    <row r="151" spans="1:15" x14ac:dyDescent="0.25">
      <c r="A151" s="1" t="s">
        <v>1151</v>
      </c>
      <c r="B151" s="1" t="s">
        <v>35</v>
      </c>
      <c r="C151" s="1" t="s">
        <v>82</v>
      </c>
      <c r="D151" s="2">
        <v>44505</v>
      </c>
      <c r="E151" s="1" t="s">
        <v>1779</v>
      </c>
      <c r="F151" s="1"/>
      <c r="G151" s="1" t="s">
        <v>35</v>
      </c>
      <c r="H151" s="2"/>
      <c r="I151">
        <v>1</v>
      </c>
      <c r="J151" s="1" t="s">
        <v>234</v>
      </c>
      <c r="K151" s="1" t="s">
        <v>877</v>
      </c>
      <c r="L151">
        <v>2.4367043151672192</v>
      </c>
      <c r="M151" s="1" t="s">
        <v>234</v>
      </c>
      <c r="N151" s="1" t="s">
        <v>1780</v>
      </c>
      <c r="O151">
        <v>2021</v>
      </c>
    </row>
    <row r="152" spans="1:15" x14ac:dyDescent="0.25">
      <c r="A152" s="1" t="s">
        <v>1152</v>
      </c>
      <c r="B152" s="1" t="s">
        <v>35</v>
      </c>
      <c r="C152" s="1" t="s">
        <v>82</v>
      </c>
      <c r="D152" s="2">
        <v>44505</v>
      </c>
      <c r="E152" s="1" t="s">
        <v>1779</v>
      </c>
      <c r="F152" s="1"/>
      <c r="G152" s="1" t="s">
        <v>35</v>
      </c>
      <c r="H152" s="2"/>
      <c r="I152">
        <v>1</v>
      </c>
      <c r="J152" s="1" t="s">
        <v>234</v>
      </c>
      <c r="K152" s="1" t="s">
        <v>877</v>
      </c>
      <c r="L152">
        <v>1.994509565054414</v>
      </c>
      <c r="M152" s="1" t="s">
        <v>234</v>
      </c>
      <c r="N152" s="1" t="s">
        <v>1780</v>
      </c>
      <c r="O152">
        <v>2021</v>
      </c>
    </row>
    <row r="153" spans="1:15" x14ac:dyDescent="0.25">
      <c r="A153" s="1" t="s">
        <v>1153</v>
      </c>
      <c r="B153" s="1" t="s">
        <v>35</v>
      </c>
      <c r="C153" s="1" t="s">
        <v>82</v>
      </c>
      <c r="D153" s="2">
        <v>44505</v>
      </c>
      <c r="E153" s="1" t="s">
        <v>1779</v>
      </c>
      <c r="F153" s="1"/>
      <c r="G153" s="1" t="s">
        <v>35</v>
      </c>
      <c r="H153" s="2"/>
      <c r="I153">
        <v>1</v>
      </c>
      <c r="J153" s="1" t="s">
        <v>234</v>
      </c>
      <c r="K153" s="1" t="s">
        <v>877</v>
      </c>
      <c r="L153">
        <v>2.0156009305219373</v>
      </c>
      <c r="M153" s="1" t="s">
        <v>234</v>
      </c>
      <c r="N153" s="1" t="s">
        <v>1780</v>
      </c>
      <c r="O153">
        <v>2021</v>
      </c>
    </row>
    <row r="154" spans="1:15" x14ac:dyDescent="0.25">
      <c r="A154" s="1" t="s">
        <v>1103</v>
      </c>
      <c r="B154" s="1" t="s">
        <v>35</v>
      </c>
      <c r="C154" s="1" t="s">
        <v>80</v>
      </c>
      <c r="D154" s="2">
        <v>44506</v>
      </c>
      <c r="E154" s="1" t="s">
        <v>1779</v>
      </c>
      <c r="F154" s="1" t="s">
        <v>1907</v>
      </c>
      <c r="G154" s="1" t="s">
        <v>35</v>
      </c>
      <c r="H154" s="2"/>
      <c r="I154">
        <v>1</v>
      </c>
      <c r="J154" s="1" t="s">
        <v>234</v>
      </c>
      <c r="K154" s="1" t="s">
        <v>877</v>
      </c>
      <c r="L154">
        <v>2.2248849574279994</v>
      </c>
      <c r="M154" s="1" t="s">
        <v>234</v>
      </c>
      <c r="N154" s="1" t="s">
        <v>1780</v>
      </c>
      <c r="O154">
        <v>2021</v>
      </c>
    </row>
    <row r="155" spans="1:15" x14ac:dyDescent="0.25">
      <c r="A155" s="1" t="s">
        <v>1115</v>
      </c>
      <c r="B155" s="1" t="s">
        <v>35</v>
      </c>
      <c r="C155" s="1" t="s">
        <v>80</v>
      </c>
      <c r="D155" s="2">
        <v>44506</v>
      </c>
      <c r="E155" s="1" t="s">
        <v>1779</v>
      </c>
      <c r="F155" s="1" t="s">
        <v>1907</v>
      </c>
      <c r="G155" s="1" t="s">
        <v>35</v>
      </c>
      <c r="H155" s="2"/>
      <c r="I155">
        <v>1</v>
      </c>
      <c r="J155" s="1" t="s">
        <v>234</v>
      </c>
      <c r="K155" s="1" t="s">
        <v>877</v>
      </c>
      <c r="L155">
        <v>0.92228698497267492</v>
      </c>
      <c r="M155" s="1" t="s">
        <v>234</v>
      </c>
      <c r="N155" s="1" t="s">
        <v>1780</v>
      </c>
      <c r="O155">
        <v>2021</v>
      </c>
    </row>
    <row r="156" spans="1:15" x14ac:dyDescent="0.25">
      <c r="A156" s="1" t="s">
        <v>1116</v>
      </c>
      <c r="B156" s="1" t="s">
        <v>35</v>
      </c>
      <c r="C156" s="1" t="s">
        <v>80</v>
      </c>
      <c r="D156" s="2">
        <v>44506</v>
      </c>
      <c r="E156" s="1" t="s">
        <v>1779</v>
      </c>
      <c r="F156" s="1" t="s">
        <v>1907</v>
      </c>
      <c r="G156" s="1" t="s">
        <v>35</v>
      </c>
      <c r="H156" s="2"/>
      <c r="I156">
        <v>1</v>
      </c>
      <c r="J156" s="1" t="s">
        <v>234</v>
      </c>
      <c r="K156" s="1" t="s">
        <v>877</v>
      </c>
      <c r="L156">
        <v>0.92228698520554409</v>
      </c>
      <c r="M156" s="1" t="s">
        <v>234</v>
      </c>
      <c r="N156" s="1" t="s">
        <v>1780</v>
      </c>
      <c r="O156">
        <v>2021</v>
      </c>
    </row>
    <row r="157" spans="1:15" x14ac:dyDescent="0.25">
      <c r="A157" s="1" t="s">
        <v>1118</v>
      </c>
      <c r="B157" s="1" t="s">
        <v>35</v>
      </c>
      <c r="C157" s="1" t="s">
        <v>80</v>
      </c>
      <c r="D157" s="2">
        <v>44506</v>
      </c>
      <c r="E157" s="1" t="s">
        <v>1779</v>
      </c>
      <c r="F157" s="1" t="s">
        <v>1907</v>
      </c>
      <c r="G157" s="1" t="s">
        <v>35</v>
      </c>
      <c r="H157" s="2"/>
      <c r="I157">
        <v>1</v>
      </c>
      <c r="J157" s="1" t="s">
        <v>234</v>
      </c>
      <c r="K157" s="1" t="s">
        <v>877</v>
      </c>
      <c r="L157">
        <v>1.8980451059024761</v>
      </c>
      <c r="M157" s="1" t="s">
        <v>234</v>
      </c>
      <c r="N157" s="1" t="s">
        <v>1780</v>
      </c>
      <c r="O157">
        <v>2021</v>
      </c>
    </row>
    <row r="158" spans="1:15" x14ac:dyDescent="0.25">
      <c r="A158" s="1" t="s">
        <v>1124</v>
      </c>
      <c r="B158" s="1" t="s">
        <v>35</v>
      </c>
      <c r="C158" s="1" t="s">
        <v>81</v>
      </c>
      <c r="D158" s="2">
        <v>44506</v>
      </c>
      <c r="E158" s="1" t="s">
        <v>1779</v>
      </c>
      <c r="F158" s="1" t="s">
        <v>1906</v>
      </c>
      <c r="G158" s="1" t="s">
        <v>35</v>
      </c>
      <c r="H158" s="2"/>
      <c r="I158">
        <v>1</v>
      </c>
      <c r="J158" s="1" t="s">
        <v>234</v>
      </c>
      <c r="K158" s="1" t="s">
        <v>877</v>
      </c>
      <c r="L158">
        <v>0.62238959433412966</v>
      </c>
      <c r="M158" s="1" t="s">
        <v>234</v>
      </c>
      <c r="N158" s="1" t="s">
        <v>1780</v>
      </c>
      <c r="O158">
        <v>2021</v>
      </c>
    </row>
    <row r="159" spans="1:15" x14ac:dyDescent="0.25">
      <c r="A159" s="1" t="s">
        <v>1126</v>
      </c>
      <c r="B159" s="1" t="s">
        <v>35</v>
      </c>
      <c r="C159" s="1" t="s">
        <v>81</v>
      </c>
      <c r="D159" s="2">
        <v>44506</v>
      </c>
      <c r="E159" s="1" t="s">
        <v>1779</v>
      </c>
      <c r="F159" s="1" t="s">
        <v>1906</v>
      </c>
      <c r="G159" s="1" t="s">
        <v>35</v>
      </c>
      <c r="H159" s="2"/>
      <c r="I159">
        <v>1</v>
      </c>
      <c r="J159" s="1" t="s">
        <v>234</v>
      </c>
      <c r="K159" s="1" t="s">
        <v>877</v>
      </c>
      <c r="L159">
        <v>0.47063183741781983</v>
      </c>
      <c r="M159" s="1" t="s">
        <v>234</v>
      </c>
      <c r="N159" s="1" t="s">
        <v>1780</v>
      </c>
      <c r="O159">
        <v>2021</v>
      </c>
    </row>
    <row r="160" spans="1:15" x14ac:dyDescent="0.25">
      <c r="A160" s="1" t="s">
        <v>1140</v>
      </c>
      <c r="B160" s="1" t="s">
        <v>35</v>
      </c>
      <c r="C160" s="1" t="s">
        <v>82</v>
      </c>
      <c r="D160" s="2">
        <v>44506</v>
      </c>
      <c r="E160" s="1" t="s">
        <v>1779</v>
      </c>
      <c r="F160" s="1" t="s">
        <v>1908</v>
      </c>
      <c r="G160" s="1" t="s">
        <v>35</v>
      </c>
      <c r="H160" s="2"/>
      <c r="I160">
        <v>1</v>
      </c>
      <c r="J160" s="1" t="s">
        <v>234</v>
      </c>
      <c r="K160" s="1" t="s">
        <v>877</v>
      </c>
      <c r="L160">
        <v>0.95699653099950011</v>
      </c>
      <c r="M160" s="1" t="s">
        <v>234</v>
      </c>
      <c r="N160" s="1" t="s">
        <v>1780</v>
      </c>
      <c r="O160">
        <v>2021</v>
      </c>
    </row>
    <row r="161" spans="1:15" x14ac:dyDescent="0.25">
      <c r="A161" s="1" t="s">
        <v>1141</v>
      </c>
      <c r="B161" s="1" t="s">
        <v>35</v>
      </c>
      <c r="C161" s="1" t="s">
        <v>82</v>
      </c>
      <c r="D161" s="2">
        <v>44506</v>
      </c>
      <c r="E161" s="1" t="s">
        <v>1779</v>
      </c>
      <c r="F161" s="1" t="s">
        <v>1908</v>
      </c>
      <c r="G161" s="1" t="s">
        <v>35</v>
      </c>
      <c r="H161" s="2"/>
      <c r="I161">
        <v>1</v>
      </c>
      <c r="J161" s="1" t="s">
        <v>234</v>
      </c>
      <c r="K161" s="1" t="s">
        <v>877</v>
      </c>
      <c r="L161">
        <v>0.95699653099950011</v>
      </c>
      <c r="M161" s="1" t="s">
        <v>234</v>
      </c>
      <c r="N161" s="1" t="s">
        <v>1780</v>
      </c>
      <c r="O161">
        <v>2021</v>
      </c>
    </row>
    <row r="162" spans="1:15" x14ac:dyDescent="0.25">
      <c r="A162" s="1" t="s">
        <v>1147</v>
      </c>
      <c r="B162" s="1" t="s">
        <v>35</v>
      </c>
      <c r="C162" s="1" t="s">
        <v>82</v>
      </c>
      <c r="D162" s="2">
        <v>44506</v>
      </c>
      <c r="E162" s="1" t="s">
        <v>1779</v>
      </c>
      <c r="F162" s="1" t="s">
        <v>1908</v>
      </c>
      <c r="G162" s="1" t="s">
        <v>35</v>
      </c>
      <c r="H162" s="2"/>
      <c r="I162">
        <v>1</v>
      </c>
      <c r="J162" s="1" t="s">
        <v>234</v>
      </c>
      <c r="K162" s="1" t="s">
        <v>877</v>
      </c>
      <c r="L162">
        <v>1.6011474993063177</v>
      </c>
      <c r="M162" s="1" t="s">
        <v>234</v>
      </c>
      <c r="N162" s="1" t="s">
        <v>1780</v>
      </c>
      <c r="O162">
        <v>2021</v>
      </c>
    </row>
    <row r="163" spans="1:15" x14ac:dyDescent="0.25">
      <c r="A163" s="1" t="s">
        <v>1148</v>
      </c>
      <c r="B163" s="1" t="s">
        <v>35</v>
      </c>
      <c r="C163" s="1" t="s">
        <v>82</v>
      </c>
      <c r="D163" s="2">
        <v>44506</v>
      </c>
      <c r="E163" s="1" t="s">
        <v>1779</v>
      </c>
      <c r="F163" s="1" t="s">
        <v>1908</v>
      </c>
      <c r="G163" s="1" t="s">
        <v>35</v>
      </c>
      <c r="H163" s="2"/>
      <c r="I163">
        <v>1</v>
      </c>
      <c r="J163" s="1" t="s">
        <v>234</v>
      </c>
      <c r="K163" s="1" t="s">
        <v>877</v>
      </c>
      <c r="L163">
        <v>1.604119483656427</v>
      </c>
      <c r="M163" s="1" t="s">
        <v>234</v>
      </c>
      <c r="N163" s="1" t="s">
        <v>1780</v>
      </c>
      <c r="O163">
        <v>2021</v>
      </c>
    </row>
    <row r="164" spans="1:15" x14ac:dyDescent="0.25">
      <c r="A164" s="1" t="s">
        <v>1154</v>
      </c>
      <c r="B164" s="1" t="s">
        <v>35</v>
      </c>
      <c r="C164" s="1" t="s">
        <v>82</v>
      </c>
      <c r="D164" s="2">
        <v>44506</v>
      </c>
      <c r="E164" s="1" t="s">
        <v>1779</v>
      </c>
      <c r="F164" s="1" t="s">
        <v>1908</v>
      </c>
      <c r="G164" s="1" t="s">
        <v>35</v>
      </c>
      <c r="H164" s="2"/>
      <c r="I164">
        <v>1</v>
      </c>
      <c r="J164" s="1" t="s">
        <v>234</v>
      </c>
      <c r="K164" s="1" t="s">
        <v>877</v>
      </c>
      <c r="L164">
        <v>0.32999865423249997</v>
      </c>
      <c r="M164" s="1" t="s">
        <v>234</v>
      </c>
      <c r="N164" s="1" t="s">
        <v>1780</v>
      </c>
      <c r="O164">
        <v>2021</v>
      </c>
    </row>
    <row r="165" spans="1:15" x14ac:dyDescent="0.25">
      <c r="A165" s="1" t="s">
        <v>1155</v>
      </c>
      <c r="B165" s="1" t="s">
        <v>35</v>
      </c>
      <c r="C165" s="1" t="s">
        <v>82</v>
      </c>
      <c r="D165" s="2">
        <v>44508</v>
      </c>
      <c r="E165" s="1" t="s">
        <v>1779</v>
      </c>
      <c r="F165" s="1" t="s">
        <v>1908</v>
      </c>
      <c r="G165" s="1" t="s">
        <v>35</v>
      </c>
      <c r="H165" s="2"/>
      <c r="I165">
        <v>1</v>
      </c>
      <c r="J165" s="1" t="s">
        <v>234</v>
      </c>
      <c r="K165" s="1" t="s">
        <v>877</v>
      </c>
      <c r="L165">
        <v>0.32999865423249997</v>
      </c>
      <c r="M165" s="1" t="s">
        <v>234</v>
      </c>
      <c r="N165" s="1" t="s">
        <v>1780</v>
      </c>
      <c r="O165">
        <v>2021</v>
      </c>
    </row>
    <row r="166" spans="1:15" x14ac:dyDescent="0.25">
      <c r="A166" s="1" t="s">
        <v>1156</v>
      </c>
      <c r="B166" s="1" t="s">
        <v>35</v>
      </c>
      <c r="C166" s="1" t="s">
        <v>82</v>
      </c>
      <c r="D166" s="2">
        <v>44508</v>
      </c>
      <c r="E166" s="1" t="s">
        <v>1779</v>
      </c>
      <c r="F166" s="1" t="s">
        <v>1908</v>
      </c>
      <c r="G166" s="1" t="s">
        <v>35</v>
      </c>
      <c r="H166" s="2"/>
      <c r="I166">
        <v>1</v>
      </c>
      <c r="J166" s="1" t="s">
        <v>234</v>
      </c>
      <c r="K166" s="1" t="s">
        <v>877</v>
      </c>
      <c r="L166">
        <v>0.32999865423249997</v>
      </c>
      <c r="M166" s="1" t="s">
        <v>234</v>
      </c>
      <c r="N166" s="1" t="s">
        <v>1780</v>
      </c>
      <c r="O166">
        <v>2021</v>
      </c>
    </row>
    <row r="167" spans="1:15" x14ac:dyDescent="0.25">
      <c r="A167" s="1" t="s">
        <v>1157</v>
      </c>
      <c r="B167" s="1" t="s">
        <v>35</v>
      </c>
      <c r="C167" s="1" t="s">
        <v>82</v>
      </c>
      <c r="D167" s="2">
        <v>44508</v>
      </c>
      <c r="E167" s="1" t="s">
        <v>1779</v>
      </c>
      <c r="F167" s="1" t="s">
        <v>1908</v>
      </c>
      <c r="G167" s="1" t="s">
        <v>35</v>
      </c>
      <c r="H167" s="2"/>
      <c r="I167">
        <v>1</v>
      </c>
      <c r="J167" s="1" t="s">
        <v>234</v>
      </c>
      <c r="K167" s="1" t="s">
        <v>877</v>
      </c>
      <c r="L167">
        <v>0.32999865423249997</v>
      </c>
      <c r="M167" s="1" t="s">
        <v>234</v>
      </c>
      <c r="N167" s="1" t="s">
        <v>1780</v>
      </c>
      <c r="O167">
        <v>2021</v>
      </c>
    </row>
    <row r="168" spans="1:15" x14ac:dyDescent="0.25">
      <c r="A168" s="1" t="s">
        <v>1158</v>
      </c>
      <c r="B168" s="1" t="s">
        <v>35</v>
      </c>
      <c r="C168" s="1" t="s">
        <v>82</v>
      </c>
      <c r="D168" s="2">
        <v>44508</v>
      </c>
      <c r="E168" s="1" t="s">
        <v>1779</v>
      </c>
      <c r="F168" s="1" t="s">
        <v>1908</v>
      </c>
      <c r="G168" s="1" t="s">
        <v>35</v>
      </c>
      <c r="H168" s="2"/>
      <c r="I168">
        <v>1</v>
      </c>
      <c r="J168" s="1" t="s">
        <v>234</v>
      </c>
      <c r="K168" s="1" t="s">
        <v>877</v>
      </c>
      <c r="L168">
        <v>0.59399757761850003</v>
      </c>
      <c r="M168" s="1" t="s">
        <v>234</v>
      </c>
      <c r="N168" s="1" t="s">
        <v>1780</v>
      </c>
      <c r="O168">
        <v>2021</v>
      </c>
    </row>
    <row r="169" spans="1:15" x14ac:dyDescent="0.25">
      <c r="A169" s="1" t="s">
        <v>1159</v>
      </c>
      <c r="B169" s="1" t="s">
        <v>35</v>
      </c>
      <c r="C169" s="1" t="s">
        <v>82</v>
      </c>
      <c r="D169" s="2">
        <v>44508</v>
      </c>
      <c r="E169" s="1" t="s">
        <v>1779</v>
      </c>
      <c r="F169" s="1" t="s">
        <v>1908</v>
      </c>
      <c r="G169" s="1" t="s">
        <v>35</v>
      </c>
      <c r="H169" s="2"/>
      <c r="I169">
        <v>1</v>
      </c>
      <c r="J169" s="1" t="s">
        <v>234</v>
      </c>
      <c r="K169" s="1" t="s">
        <v>877</v>
      </c>
      <c r="L169">
        <v>0.59399757761850003</v>
      </c>
      <c r="M169" s="1" t="s">
        <v>234</v>
      </c>
      <c r="N169" s="1" t="s">
        <v>1780</v>
      </c>
      <c r="O169">
        <v>2021</v>
      </c>
    </row>
    <row r="170" spans="1:15" x14ac:dyDescent="0.25">
      <c r="A170" s="1" t="s">
        <v>337</v>
      </c>
      <c r="B170" s="1" t="s">
        <v>973</v>
      </c>
      <c r="C170" s="1" t="s">
        <v>80</v>
      </c>
      <c r="D170" s="2"/>
      <c r="E170" s="1" t="s">
        <v>207</v>
      </c>
      <c r="F170" s="1"/>
      <c r="G170" s="1" t="s">
        <v>35</v>
      </c>
      <c r="H170" s="2"/>
      <c r="I170">
        <v>1</v>
      </c>
      <c r="J170" s="1" t="s">
        <v>234</v>
      </c>
      <c r="K170" s="1" t="s">
        <v>1165</v>
      </c>
      <c r="L170">
        <v>5.868274722673271</v>
      </c>
      <c r="M170" s="1" t="s">
        <v>234</v>
      </c>
      <c r="N170" s="1" t="s">
        <v>235</v>
      </c>
    </row>
    <row r="171" spans="1:15" x14ac:dyDescent="0.25">
      <c r="A171" s="1" t="s">
        <v>361</v>
      </c>
      <c r="B171" s="1" t="s">
        <v>973</v>
      </c>
      <c r="C171" s="1" t="s">
        <v>80</v>
      </c>
      <c r="D171" s="2"/>
      <c r="E171" s="1" t="s">
        <v>207</v>
      </c>
      <c r="F171" s="1"/>
      <c r="G171" s="1" t="s">
        <v>35</v>
      </c>
      <c r="H171" s="2"/>
      <c r="I171">
        <v>1</v>
      </c>
      <c r="J171" s="1" t="s">
        <v>234</v>
      </c>
      <c r="K171" s="1" t="s">
        <v>1165</v>
      </c>
      <c r="L171">
        <v>5.7409707681460773</v>
      </c>
      <c r="M171" s="1" t="s">
        <v>234</v>
      </c>
      <c r="N171" s="1" t="s">
        <v>235</v>
      </c>
    </row>
    <row r="172" spans="1:15" x14ac:dyDescent="0.25">
      <c r="A172" s="1" t="s">
        <v>336</v>
      </c>
      <c r="B172" s="1" t="s">
        <v>973</v>
      </c>
      <c r="C172" s="1" t="s">
        <v>80</v>
      </c>
      <c r="D172" s="2"/>
      <c r="E172" s="1" t="s">
        <v>207</v>
      </c>
      <c r="F172" s="1"/>
      <c r="G172" s="1" t="s">
        <v>35</v>
      </c>
      <c r="H172" s="2"/>
      <c r="I172">
        <v>1</v>
      </c>
      <c r="J172" s="1" t="s">
        <v>234</v>
      </c>
      <c r="K172" s="1" t="s">
        <v>1165</v>
      </c>
      <c r="L172">
        <v>3.889994609831843</v>
      </c>
      <c r="M172" s="1" t="s">
        <v>234</v>
      </c>
      <c r="N172" s="1" t="s">
        <v>235</v>
      </c>
    </row>
    <row r="173" spans="1:15" x14ac:dyDescent="0.25">
      <c r="A173" s="1" t="s">
        <v>355</v>
      </c>
      <c r="B173" s="1" t="s">
        <v>973</v>
      </c>
      <c r="C173" s="1" t="s">
        <v>80</v>
      </c>
      <c r="D173" s="2">
        <v>44508</v>
      </c>
      <c r="E173" s="1" t="s">
        <v>1779</v>
      </c>
      <c r="F173" s="1"/>
      <c r="G173" s="1" t="s">
        <v>35</v>
      </c>
      <c r="H173" s="2"/>
      <c r="I173">
        <v>1</v>
      </c>
      <c r="J173" s="1" t="s">
        <v>234</v>
      </c>
      <c r="K173" s="1" t="s">
        <v>1165</v>
      </c>
      <c r="L173">
        <v>5.1821483026081836</v>
      </c>
      <c r="M173" s="1" t="s">
        <v>234</v>
      </c>
      <c r="N173" s="1" t="s">
        <v>1780</v>
      </c>
      <c r="O173">
        <v>2021</v>
      </c>
    </row>
    <row r="174" spans="1:15" x14ac:dyDescent="0.25">
      <c r="A174" s="1" t="s">
        <v>342</v>
      </c>
      <c r="B174" s="1" t="s">
        <v>973</v>
      </c>
      <c r="C174" s="1" t="s">
        <v>80</v>
      </c>
      <c r="D174" s="2">
        <v>44508</v>
      </c>
      <c r="E174" s="1" t="s">
        <v>1779</v>
      </c>
      <c r="F174" s="1"/>
      <c r="G174" s="1" t="s">
        <v>35</v>
      </c>
      <c r="H174" s="2"/>
      <c r="I174">
        <v>1</v>
      </c>
      <c r="J174" s="1" t="s">
        <v>234</v>
      </c>
      <c r="K174" s="1" t="s">
        <v>1165</v>
      </c>
      <c r="L174">
        <v>5.7373639604012006</v>
      </c>
      <c r="M174" s="1" t="s">
        <v>234</v>
      </c>
      <c r="N174" s="1" t="s">
        <v>1780</v>
      </c>
      <c r="O174">
        <v>2021</v>
      </c>
    </row>
    <row r="175" spans="1:15" x14ac:dyDescent="0.25">
      <c r="A175" s="1" t="s">
        <v>365</v>
      </c>
      <c r="B175" s="1" t="s">
        <v>973</v>
      </c>
      <c r="C175" s="1" t="s">
        <v>80</v>
      </c>
      <c r="D175" s="2">
        <v>44508</v>
      </c>
      <c r="E175" s="1" t="s">
        <v>1779</v>
      </c>
      <c r="F175" s="1"/>
      <c r="G175" s="1" t="s">
        <v>35</v>
      </c>
      <c r="H175" s="2"/>
      <c r="I175">
        <v>1</v>
      </c>
      <c r="J175" s="1" t="s">
        <v>234</v>
      </c>
      <c r="K175" s="1" t="s">
        <v>1165</v>
      </c>
      <c r="L175">
        <v>4.1000866958935678</v>
      </c>
      <c r="M175" s="1" t="s">
        <v>234</v>
      </c>
      <c r="N175" s="1" t="s">
        <v>1780</v>
      </c>
      <c r="O175">
        <v>2021</v>
      </c>
    </row>
    <row r="176" spans="1:15" x14ac:dyDescent="0.25">
      <c r="A176" s="1" t="s">
        <v>347</v>
      </c>
      <c r="B176" s="1" t="s">
        <v>973</v>
      </c>
      <c r="C176" s="1" t="s">
        <v>80</v>
      </c>
      <c r="D176" s="2"/>
      <c r="E176" s="1" t="s">
        <v>207</v>
      </c>
      <c r="F176" s="1"/>
      <c r="G176" s="1" t="s">
        <v>35</v>
      </c>
      <c r="H176" s="2"/>
      <c r="I176">
        <v>1</v>
      </c>
      <c r="J176" s="1" t="s">
        <v>234</v>
      </c>
      <c r="K176" s="1" t="s">
        <v>1165</v>
      </c>
      <c r="L176">
        <v>5.017872141649474</v>
      </c>
      <c r="M176" s="1" t="s">
        <v>234</v>
      </c>
      <c r="N176" s="1" t="s">
        <v>235</v>
      </c>
    </row>
    <row r="177" spans="1:14" x14ac:dyDescent="0.25">
      <c r="A177" s="1" t="s">
        <v>366</v>
      </c>
      <c r="B177" s="1" t="s">
        <v>973</v>
      </c>
      <c r="C177" s="1" t="s">
        <v>80</v>
      </c>
      <c r="D177" s="2"/>
      <c r="E177" s="1" t="s">
        <v>207</v>
      </c>
      <c r="F177" s="1"/>
      <c r="G177" s="1" t="s">
        <v>35</v>
      </c>
      <c r="H177" s="2"/>
      <c r="I177">
        <v>1</v>
      </c>
      <c r="J177" s="1" t="s">
        <v>234</v>
      </c>
      <c r="K177" s="1" t="s">
        <v>1165</v>
      </c>
      <c r="L177">
        <v>5.868274722673271</v>
      </c>
      <c r="M177" s="1" t="s">
        <v>234</v>
      </c>
      <c r="N177" s="1" t="s">
        <v>235</v>
      </c>
    </row>
    <row r="178" spans="1:14" x14ac:dyDescent="0.25">
      <c r="A178" s="1" t="s">
        <v>362</v>
      </c>
      <c r="B178" s="1" t="s">
        <v>973</v>
      </c>
      <c r="C178" s="1" t="s">
        <v>80</v>
      </c>
      <c r="D178" s="2"/>
      <c r="E178" s="1" t="s">
        <v>207</v>
      </c>
      <c r="F178" s="1"/>
      <c r="G178" s="1" t="s">
        <v>35</v>
      </c>
      <c r="H178" s="2"/>
      <c r="I178">
        <v>1</v>
      </c>
      <c r="J178" s="1" t="s">
        <v>234</v>
      </c>
      <c r="K178" s="1" t="s">
        <v>1165</v>
      </c>
      <c r="L178">
        <v>5.7409707681457585</v>
      </c>
      <c r="M178" s="1" t="s">
        <v>234</v>
      </c>
      <c r="N178" s="1" t="s">
        <v>235</v>
      </c>
    </row>
    <row r="179" spans="1:14" x14ac:dyDescent="0.25">
      <c r="A179" s="1" t="s">
        <v>374</v>
      </c>
      <c r="B179" s="1" t="s">
        <v>973</v>
      </c>
      <c r="C179" s="1" t="s">
        <v>80</v>
      </c>
      <c r="D179" s="2"/>
      <c r="E179" s="1" t="s">
        <v>207</v>
      </c>
      <c r="F179" s="1"/>
      <c r="G179" s="1" t="s">
        <v>35</v>
      </c>
      <c r="H179" s="2"/>
      <c r="I179">
        <v>1</v>
      </c>
      <c r="J179" s="1" t="s">
        <v>234</v>
      </c>
      <c r="K179" s="1" t="s">
        <v>1165</v>
      </c>
      <c r="L179">
        <v>3.889994609831843</v>
      </c>
      <c r="M179" s="1" t="s">
        <v>234</v>
      </c>
      <c r="N179" s="1" t="s">
        <v>235</v>
      </c>
    </row>
    <row r="180" spans="1:14" x14ac:dyDescent="0.25">
      <c r="A180" s="1" t="s">
        <v>363</v>
      </c>
      <c r="B180" s="1" t="s">
        <v>973</v>
      </c>
      <c r="C180" s="1" t="s">
        <v>80</v>
      </c>
      <c r="D180" s="2"/>
      <c r="E180" s="1" t="s">
        <v>207</v>
      </c>
      <c r="F180" s="1"/>
      <c r="G180" s="1" t="s">
        <v>35</v>
      </c>
      <c r="H180" s="2"/>
      <c r="I180">
        <v>1</v>
      </c>
      <c r="J180" s="1" t="s">
        <v>234</v>
      </c>
      <c r="K180" s="1" t="s">
        <v>1165</v>
      </c>
      <c r="L180">
        <v>5.1821482715398037</v>
      </c>
      <c r="M180" s="1" t="s">
        <v>234</v>
      </c>
      <c r="N180" s="1" t="s">
        <v>235</v>
      </c>
    </row>
    <row r="181" spans="1:14" x14ac:dyDescent="0.25">
      <c r="A181" s="1" t="s">
        <v>338</v>
      </c>
      <c r="B181" s="1" t="s">
        <v>973</v>
      </c>
      <c r="C181" s="1" t="s">
        <v>80</v>
      </c>
      <c r="D181" s="2"/>
      <c r="E181" s="1" t="s">
        <v>207</v>
      </c>
      <c r="F181" s="1"/>
      <c r="G181" s="1" t="s">
        <v>35</v>
      </c>
      <c r="H181" s="2"/>
      <c r="I181">
        <v>1</v>
      </c>
      <c r="J181" s="1" t="s">
        <v>234</v>
      </c>
      <c r="K181" s="1" t="s">
        <v>1165</v>
      </c>
      <c r="L181">
        <v>5.7373639607080351</v>
      </c>
      <c r="M181" s="1" t="s">
        <v>234</v>
      </c>
      <c r="N181" s="1" t="s">
        <v>235</v>
      </c>
    </row>
    <row r="182" spans="1:14" x14ac:dyDescent="0.25">
      <c r="A182" s="1" t="s">
        <v>356</v>
      </c>
      <c r="B182" s="1" t="s">
        <v>973</v>
      </c>
      <c r="C182" s="1" t="s">
        <v>80</v>
      </c>
      <c r="D182" s="2"/>
      <c r="E182" s="1" t="s">
        <v>207</v>
      </c>
      <c r="F182" s="1"/>
      <c r="G182" s="1" t="s">
        <v>35</v>
      </c>
      <c r="H182" s="2"/>
      <c r="I182">
        <v>1</v>
      </c>
      <c r="J182" s="1" t="s">
        <v>234</v>
      </c>
      <c r="K182" s="1" t="s">
        <v>1165</v>
      </c>
      <c r="L182">
        <v>4.1000866958935678</v>
      </c>
      <c r="M182" s="1" t="s">
        <v>234</v>
      </c>
      <c r="N182" s="1" t="s">
        <v>235</v>
      </c>
    </row>
    <row r="183" spans="1:14" x14ac:dyDescent="0.25">
      <c r="A183" s="1" t="s">
        <v>352</v>
      </c>
      <c r="B183" s="1" t="s">
        <v>973</v>
      </c>
      <c r="C183" s="1" t="s">
        <v>80</v>
      </c>
      <c r="D183" s="2"/>
      <c r="E183" s="1" t="s">
        <v>207</v>
      </c>
      <c r="F183" s="1"/>
      <c r="G183" s="1" t="s">
        <v>35</v>
      </c>
      <c r="H183" s="2"/>
      <c r="I183">
        <v>1</v>
      </c>
      <c r="J183" s="1" t="s">
        <v>234</v>
      </c>
      <c r="K183" s="1" t="s">
        <v>1165</v>
      </c>
      <c r="L183">
        <v>5.0178624906990601</v>
      </c>
      <c r="M183" s="1" t="s">
        <v>234</v>
      </c>
      <c r="N183" s="1" t="s">
        <v>235</v>
      </c>
    </row>
    <row r="184" spans="1:14" x14ac:dyDescent="0.25">
      <c r="A184" s="1" t="s">
        <v>353</v>
      </c>
      <c r="B184" s="1" t="s">
        <v>973</v>
      </c>
      <c r="C184" s="1" t="s">
        <v>80</v>
      </c>
      <c r="D184" s="2"/>
      <c r="E184" s="1" t="s">
        <v>207</v>
      </c>
      <c r="F184" s="1"/>
      <c r="G184" s="1" t="s">
        <v>35</v>
      </c>
      <c r="H184" s="2"/>
      <c r="I184">
        <v>1</v>
      </c>
      <c r="J184" s="1" t="s">
        <v>234</v>
      </c>
      <c r="K184" s="1" t="s">
        <v>1165</v>
      </c>
      <c r="L184">
        <v>11.493980925309828</v>
      </c>
      <c r="M184" s="1" t="s">
        <v>234</v>
      </c>
      <c r="N184" s="1" t="s">
        <v>235</v>
      </c>
    </row>
    <row r="185" spans="1:14" x14ac:dyDescent="0.25">
      <c r="A185" s="1" t="s">
        <v>328</v>
      </c>
      <c r="B185" s="1" t="s">
        <v>973</v>
      </c>
      <c r="C185" s="1" t="s">
        <v>80</v>
      </c>
      <c r="D185" s="2"/>
      <c r="E185" s="1" t="s">
        <v>207</v>
      </c>
      <c r="F185" s="1"/>
      <c r="G185" s="1" t="s">
        <v>35</v>
      </c>
      <c r="H185" s="2"/>
      <c r="I185">
        <v>1</v>
      </c>
      <c r="J185" s="1" t="s">
        <v>234</v>
      </c>
      <c r="K185" s="1" t="s">
        <v>1165</v>
      </c>
      <c r="L185">
        <v>6.2537001746663607</v>
      </c>
      <c r="M185" s="1" t="s">
        <v>234</v>
      </c>
      <c r="N185" s="1" t="s">
        <v>235</v>
      </c>
    </row>
    <row r="186" spans="1:14" x14ac:dyDescent="0.25">
      <c r="A186" s="1" t="s">
        <v>375</v>
      </c>
      <c r="B186" s="1" t="s">
        <v>973</v>
      </c>
      <c r="C186" s="1" t="s">
        <v>80</v>
      </c>
      <c r="D186" s="2"/>
      <c r="E186" s="1" t="s">
        <v>207</v>
      </c>
      <c r="F186" s="1"/>
      <c r="G186" s="1" t="s">
        <v>35</v>
      </c>
      <c r="H186" s="2"/>
      <c r="I186">
        <v>1</v>
      </c>
      <c r="J186" s="1" t="s">
        <v>234</v>
      </c>
      <c r="K186" s="1" t="s">
        <v>1165</v>
      </c>
      <c r="L186">
        <v>12.519012397726836</v>
      </c>
      <c r="M186" s="1" t="s">
        <v>234</v>
      </c>
      <c r="N186" s="1" t="s">
        <v>235</v>
      </c>
    </row>
    <row r="187" spans="1:14" x14ac:dyDescent="0.25">
      <c r="A187" s="1" t="s">
        <v>367</v>
      </c>
      <c r="B187" s="1" t="s">
        <v>973</v>
      </c>
      <c r="C187" s="1" t="s">
        <v>80</v>
      </c>
      <c r="D187" s="2"/>
      <c r="E187" s="1" t="s">
        <v>207</v>
      </c>
      <c r="F187" s="1"/>
      <c r="G187" s="1" t="s">
        <v>35</v>
      </c>
      <c r="H187" s="2"/>
      <c r="I187">
        <v>1</v>
      </c>
      <c r="J187" s="1" t="s">
        <v>234</v>
      </c>
      <c r="K187" s="1" t="s">
        <v>1165</v>
      </c>
      <c r="L187">
        <v>6.6204482257006259</v>
      </c>
      <c r="M187" s="1" t="s">
        <v>234</v>
      </c>
      <c r="N187" s="1" t="s">
        <v>235</v>
      </c>
    </row>
    <row r="188" spans="1:14" x14ac:dyDescent="0.25">
      <c r="A188" s="1" t="s">
        <v>345</v>
      </c>
      <c r="B188" s="1" t="s">
        <v>973</v>
      </c>
      <c r="C188" s="1" t="s">
        <v>80</v>
      </c>
      <c r="D188" s="2"/>
      <c r="E188" s="1" t="s">
        <v>207</v>
      </c>
      <c r="F188" s="1"/>
      <c r="G188" s="1" t="s">
        <v>35</v>
      </c>
      <c r="H188" s="2"/>
      <c r="I188">
        <v>1</v>
      </c>
      <c r="J188" s="1" t="s">
        <v>234</v>
      </c>
      <c r="K188" s="1" t="s">
        <v>1165</v>
      </c>
      <c r="L188">
        <v>5.2891245957845898</v>
      </c>
      <c r="M188" s="1" t="s">
        <v>234</v>
      </c>
      <c r="N188" s="1" t="s">
        <v>235</v>
      </c>
    </row>
    <row r="189" spans="1:14" x14ac:dyDescent="0.25">
      <c r="A189" s="1" t="s">
        <v>348</v>
      </c>
      <c r="B189" s="1" t="s">
        <v>973</v>
      </c>
      <c r="C189" s="1" t="s">
        <v>80</v>
      </c>
      <c r="D189" s="2"/>
      <c r="E189" s="1" t="s">
        <v>207</v>
      </c>
      <c r="F189" s="1"/>
      <c r="G189" s="1" t="s">
        <v>35</v>
      </c>
      <c r="H189" s="2"/>
      <c r="I189">
        <v>1</v>
      </c>
      <c r="J189" s="1" t="s">
        <v>234</v>
      </c>
      <c r="K189" s="1" t="s">
        <v>1165</v>
      </c>
      <c r="L189">
        <v>5.9000884614032776</v>
      </c>
      <c r="M189" s="1" t="s">
        <v>234</v>
      </c>
      <c r="N189" s="1" t="s">
        <v>235</v>
      </c>
    </row>
    <row r="190" spans="1:14" x14ac:dyDescent="0.25">
      <c r="A190" s="1" t="s">
        <v>349</v>
      </c>
      <c r="B190" s="1" t="s">
        <v>973</v>
      </c>
      <c r="C190" s="1" t="s">
        <v>80</v>
      </c>
      <c r="D190" s="2"/>
      <c r="E190" s="1" t="s">
        <v>207</v>
      </c>
      <c r="F190" s="1"/>
      <c r="G190" s="1" t="s">
        <v>35</v>
      </c>
      <c r="H190" s="2"/>
      <c r="I190">
        <v>1</v>
      </c>
      <c r="J190" s="1" t="s">
        <v>234</v>
      </c>
      <c r="K190" s="1" t="s">
        <v>1165</v>
      </c>
      <c r="L190">
        <v>10.154489420185607</v>
      </c>
      <c r="M190" s="1" t="s">
        <v>234</v>
      </c>
      <c r="N190" s="1" t="s">
        <v>235</v>
      </c>
    </row>
    <row r="191" spans="1:14" x14ac:dyDescent="0.25">
      <c r="A191" s="1" t="s">
        <v>334</v>
      </c>
      <c r="B191" s="1" t="s">
        <v>973</v>
      </c>
      <c r="C191" s="1" t="s">
        <v>80</v>
      </c>
      <c r="D191" s="2"/>
      <c r="E191" s="1" t="s">
        <v>207</v>
      </c>
      <c r="F191" s="1"/>
      <c r="G191" s="1" t="s">
        <v>35</v>
      </c>
      <c r="H191" s="2"/>
      <c r="I191">
        <v>1</v>
      </c>
      <c r="J191" s="1" t="s">
        <v>234</v>
      </c>
      <c r="K191" s="1" t="s">
        <v>1165</v>
      </c>
      <c r="L191">
        <v>5.0297605810850552</v>
      </c>
      <c r="M191" s="1" t="s">
        <v>234</v>
      </c>
      <c r="N191" s="1" t="s">
        <v>235</v>
      </c>
    </row>
    <row r="192" spans="1:14" x14ac:dyDescent="0.25">
      <c r="A192" s="1" t="s">
        <v>339</v>
      </c>
      <c r="B192" s="1" t="s">
        <v>973</v>
      </c>
      <c r="C192" s="1" t="s">
        <v>80</v>
      </c>
      <c r="D192" s="2"/>
      <c r="E192" s="1" t="s">
        <v>207</v>
      </c>
      <c r="F192" s="1"/>
      <c r="G192" s="1" t="s">
        <v>35</v>
      </c>
      <c r="H192" s="2"/>
      <c r="I192">
        <v>1</v>
      </c>
      <c r="J192" s="1" t="s">
        <v>234</v>
      </c>
      <c r="K192" s="1" t="s">
        <v>1165</v>
      </c>
      <c r="L192">
        <v>5.1996767572218117</v>
      </c>
      <c r="M192" s="1" t="s">
        <v>234</v>
      </c>
      <c r="N192" s="1" t="s">
        <v>235</v>
      </c>
    </row>
    <row r="193" spans="1:14" x14ac:dyDescent="0.25">
      <c r="A193" s="1" t="s">
        <v>382</v>
      </c>
      <c r="B193" s="1" t="s">
        <v>152</v>
      </c>
      <c r="C193" s="1" t="s">
        <v>80</v>
      </c>
      <c r="D193" s="2"/>
      <c r="E193" s="1" t="s">
        <v>207</v>
      </c>
      <c r="F193" s="1"/>
      <c r="G193" s="1" t="s">
        <v>35</v>
      </c>
      <c r="H193" s="2"/>
      <c r="I193">
        <v>1</v>
      </c>
      <c r="J193" s="1" t="s">
        <v>234</v>
      </c>
      <c r="K193" s="1" t="s">
        <v>1165</v>
      </c>
      <c r="L193">
        <v>4.9678571554090993</v>
      </c>
      <c r="M193" s="1" t="s">
        <v>234</v>
      </c>
      <c r="N193" s="1" t="s">
        <v>235</v>
      </c>
    </row>
    <row r="194" spans="1:14" x14ac:dyDescent="0.25">
      <c r="A194" s="1" t="s">
        <v>372</v>
      </c>
      <c r="B194" s="1" t="s">
        <v>152</v>
      </c>
      <c r="C194" s="1" t="s">
        <v>80</v>
      </c>
      <c r="D194" s="2"/>
      <c r="E194" s="1" t="s">
        <v>207</v>
      </c>
      <c r="F194" s="1"/>
      <c r="G194" s="1" t="s">
        <v>35</v>
      </c>
      <c r="H194" s="2"/>
      <c r="I194">
        <v>1</v>
      </c>
      <c r="J194" s="1" t="s">
        <v>234</v>
      </c>
      <c r="K194" s="1" t="s">
        <v>1165</v>
      </c>
      <c r="L194">
        <v>4.2467532013434672</v>
      </c>
      <c r="M194" s="1" t="s">
        <v>234</v>
      </c>
      <c r="N194" s="1" t="s">
        <v>235</v>
      </c>
    </row>
    <row r="195" spans="1:14" x14ac:dyDescent="0.25">
      <c r="A195" s="1" t="s">
        <v>373</v>
      </c>
      <c r="B195" s="1" t="s">
        <v>152</v>
      </c>
      <c r="C195" s="1" t="s">
        <v>80</v>
      </c>
      <c r="D195" s="2"/>
      <c r="E195" s="1" t="s">
        <v>207</v>
      </c>
      <c r="F195" s="1"/>
      <c r="G195" s="1" t="s">
        <v>35</v>
      </c>
      <c r="H195" s="2"/>
      <c r="I195">
        <v>1</v>
      </c>
      <c r="J195" s="1" t="s">
        <v>234</v>
      </c>
      <c r="K195" s="1" t="s">
        <v>1165</v>
      </c>
      <c r="L195">
        <v>4.9678576733834259</v>
      </c>
      <c r="M195" s="1" t="s">
        <v>234</v>
      </c>
      <c r="N195" s="1" t="s">
        <v>235</v>
      </c>
    </row>
    <row r="196" spans="1:14" x14ac:dyDescent="0.25">
      <c r="A196" s="1" t="s">
        <v>329</v>
      </c>
      <c r="B196" s="1" t="s">
        <v>152</v>
      </c>
      <c r="C196" s="1" t="s">
        <v>80</v>
      </c>
      <c r="D196" s="2"/>
      <c r="E196" s="1" t="s">
        <v>207</v>
      </c>
      <c r="F196" s="1"/>
      <c r="G196" s="1" t="s">
        <v>35</v>
      </c>
      <c r="H196" s="2"/>
      <c r="I196">
        <v>1</v>
      </c>
      <c r="J196" s="1" t="s">
        <v>234</v>
      </c>
      <c r="K196" s="1" t="s">
        <v>1165</v>
      </c>
      <c r="L196">
        <v>4.2467532013434672</v>
      </c>
      <c r="M196" s="1" t="s">
        <v>234</v>
      </c>
      <c r="N196" s="1" t="s">
        <v>235</v>
      </c>
    </row>
    <row r="197" spans="1:14" x14ac:dyDescent="0.25">
      <c r="A197" s="1" t="s">
        <v>371</v>
      </c>
      <c r="B197" s="1" t="s">
        <v>152</v>
      </c>
      <c r="C197" s="1" t="s">
        <v>80</v>
      </c>
      <c r="D197" s="2"/>
      <c r="E197" s="1" t="s">
        <v>207</v>
      </c>
      <c r="F197" s="1"/>
      <c r="G197" s="1" t="s">
        <v>35</v>
      </c>
      <c r="H197" s="2"/>
      <c r="I197">
        <v>1</v>
      </c>
      <c r="J197" s="1" t="s">
        <v>234</v>
      </c>
      <c r="K197" s="1" t="s">
        <v>1165</v>
      </c>
      <c r="L197">
        <v>4.9678576733834259</v>
      </c>
      <c r="M197" s="1" t="s">
        <v>234</v>
      </c>
      <c r="N197" s="1" t="s">
        <v>235</v>
      </c>
    </row>
    <row r="198" spans="1:14" x14ac:dyDescent="0.25">
      <c r="A198" s="1" t="s">
        <v>380</v>
      </c>
      <c r="B198" s="1" t="s">
        <v>152</v>
      </c>
      <c r="C198" s="1" t="s">
        <v>80</v>
      </c>
      <c r="D198" s="2"/>
      <c r="E198" s="1" t="s">
        <v>207</v>
      </c>
      <c r="F198" s="1"/>
      <c r="G198" s="1" t="s">
        <v>35</v>
      </c>
      <c r="H198" s="2"/>
      <c r="I198">
        <v>1</v>
      </c>
      <c r="J198" s="1" t="s">
        <v>234</v>
      </c>
      <c r="K198" s="1" t="s">
        <v>1165</v>
      </c>
      <c r="L198">
        <v>4.2467532013434672</v>
      </c>
      <c r="M198" s="1" t="s">
        <v>234</v>
      </c>
      <c r="N198" s="1" t="s">
        <v>235</v>
      </c>
    </row>
    <row r="199" spans="1:14" x14ac:dyDescent="0.25">
      <c r="A199" s="1" t="s">
        <v>343</v>
      </c>
      <c r="B199" s="1" t="s">
        <v>152</v>
      </c>
      <c r="C199" s="1" t="s">
        <v>81</v>
      </c>
      <c r="D199" s="2"/>
      <c r="E199" s="1" t="s">
        <v>207</v>
      </c>
      <c r="F199" s="1"/>
      <c r="G199" s="1" t="s">
        <v>35</v>
      </c>
      <c r="H199" s="2"/>
      <c r="I199">
        <v>1</v>
      </c>
      <c r="J199" s="1" t="s">
        <v>234</v>
      </c>
      <c r="K199" s="1" t="s">
        <v>1165</v>
      </c>
      <c r="L199">
        <v>5.146293622246592</v>
      </c>
      <c r="M199" s="1" t="s">
        <v>234</v>
      </c>
      <c r="N199" s="1" t="s">
        <v>235</v>
      </c>
    </row>
    <row r="200" spans="1:14" x14ac:dyDescent="0.25">
      <c r="A200" s="1" t="s">
        <v>344</v>
      </c>
      <c r="B200" s="1" t="s">
        <v>152</v>
      </c>
      <c r="C200" s="1" t="s">
        <v>81</v>
      </c>
      <c r="D200" s="2"/>
      <c r="E200" s="1" t="s">
        <v>207</v>
      </c>
      <c r="F200" s="1"/>
      <c r="G200" s="1" t="s">
        <v>35</v>
      </c>
      <c r="H200" s="2"/>
      <c r="I200">
        <v>1</v>
      </c>
      <c r="J200" s="1" t="s">
        <v>234</v>
      </c>
      <c r="K200" s="1" t="s">
        <v>1165</v>
      </c>
      <c r="L200">
        <v>3.0995310315939752</v>
      </c>
      <c r="M200" s="1" t="s">
        <v>234</v>
      </c>
      <c r="N200" s="1" t="s">
        <v>235</v>
      </c>
    </row>
    <row r="201" spans="1:14" x14ac:dyDescent="0.25">
      <c r="A201" s="1" t="s">
        <v>438</v>
      </c>
      <c r="B201" s="1" t="s">
        <v>152</v>
      </c>
      <c r="C201" s="1" t="s">
        <v>81</v>
      </c>
      <c r="D201" s="2"/>
      <c r="E201" s="1" t="s">
        <v>207</v>
      </c>
      <c r="F201" s="1"/>
      <c r="G201" s="1" t="s">
        <v>35</v>
      </c>
      <c r="H201" s="2"/>
      <c r="I201">
        <v>1</v>
      </c>
      <c r="J201" s="1" t="s">
        <v>234</v>
      </c>
      <c r="K201" s="1" t="s">
        <v>1165</v>
      </c>
      <c r="L201">
        <v>5.0975003575400608</v>
      </c>
      <c r="M201" s="1" t="s">
        <v>234</v>
      </c>
      <c r="N201" s="1" t="s">
        <v>235</v>
      </c>
    </row>
    <row r="202" spans="1:14" x14ac:dyDescent="0.25">
      <c r="A202" s="1" t="s">
        <v>437</v>
      </c>
      <c r="B202" s="1" t="s">
        <v>152</v>
      </c>
      <c r="C202" s="1" t="s">
        <v>81</v>
      </c>
      <c r="D202" s="2"/>
      <c r="E202" s="1" t="s">
        <v>207</v>
      </c>
      <c r="F202" s="1"/>
      <c r="G202" s="1" t="s">
        <v>35</v>
      </c>
      <c r="H202" s="2"/>
      <c r="I202">
        <v>1</v>
      </c>
      <c r="J202" s="1" t="s">
        <v>234</v>
      </c>
      <c r="K202" s="1" t="s">
        <v>1165</v>
      </c>
      <c r="L202">
        <v>3.0993559185266428</v>
      </c>
      <c r="M202" s="1" t="s">
        <v>234</v>
      </c>
      <c r="N202" s="1" t="s">
        <v>235</v>
      </c>
    </row>
    <row r="203" spans="1:14" x14ac:dyDescent="0.25">
      <c r="A203" s="1" t="s">
        <v>340</v>
      </c>
      <c r="B203" s="1" t="s">
        <v>152</v>
      </c>
      <c r="C203" s="1" t="s">
        <v>81</v>
      </c>
      <c r="D203" s="2"/>
      <c r="E203" s="1" t="s">
        <v>207</v>
      </c>
      <c r="F203" s="1"/>
      <c r="G203" s="1" t="s">
        <v>35</v>
      </c>
      <c r="H203" s="2"/>
      <c r="I203">
        <v>1</v>
      </c>
      <c r="J203" s="1" t="s">
        <v>234</v>
      </c>
      <c r="K203" s="1" t="s">
        <v>1165</v>
      </c>
      <c r="L203">
        <v>2.7135464424239384</v>
      </c>
      <c r="M203" s="1" t="s">
        <v>234</v>
      </c>
      <c r="N203" s="1" t="s">
        <v>235</v>
      </c>
    </row>
    <row r="204" spans="1:14" x14ac:dyDescent="0.25">
      <c r="A204" s="1" t="s">
        <v>383</v>
      </c>
      <c r="B204" s="1" t="s">
        <v>152</v>
      </c>
      <c r="C204" s="1" t="s">
        <v>81</v>
      </c>
      <c r="D204" s="2"/>
      <c r="E204" s="1" t="s">
        <v>207</v>
      </c>
      <c r="F204" s="1"/>
      <c r="G204" s="1" t="s">
        <v>35</v>
      </c>
      <c r="H204" s="2"/>
      <c r="I204">
        <v>1</v>
      </c>
      <c r="J204" s="1" t="s">
        <v>234</v>
      </c>
      <c r="K204" s="1" t="s">
        <v>1165</v>
      </c>
      <c r="L204">
        <v>4.0211415209276593</v>
      </c>
      <c r="M204" s="1" t="s">
        <v>234</v>
      </c>
      <c r="N204" s="1" t="s">
        <v>235</v>
      </c>
    </row>
    <row r="205" spans="1:14" x14ac:dyDescent="0.25">
      <c r="A205" s="1" t="s">
        <v>427</v>
      </c>
      <c r="B205" s="1" t="s">
        <v>152</v>
      </c>
      <c r="C205" s="1" t="s">
        <v>81</v>
      </c>
      <c r="D205" s="2"/>
      <c r="E205" s="1" t="s">
        <v>207</v>
      </c>
      <c r="F205" s="1"/>
      <c r="G205" s="1" t="s">
        <v>35</v>
      </c>
      <c r="H205" s="2"/>
      <c r="I205">
        <v>1</v>
      </c>
      <c r="J205" s="1" t="s">
        <v>234</v>
      </c>
      <c r="K205" s="1" t="s">
        <v>1165</v>
      </c>
      <c r="L205">
        <v>2.5501551566322025</v>
      </c>
      <c r="M205" s="1" t="s">
        <v>234</v>
      </c>
      <c r="N205" s="1" t="s">
        <v>235</v>
      </c>
    </row>
    <row r="206" spans="1:14" x14ac:dyDescent="0.25">
      <c r="A206" s="1" t="s">
        <v>398</v>
      </c>
      <c r="B206" s="1" t="s">
        <v>152</v>
      </c>
      <c r="C206" s="1" t="s">
        <v>81</v>
      </c>
      <c r="D206" s="2"/>
      <c r="E206" s="1" t="s">
        <v>207</v>
      </c>
      <c r="F206" s="1"/>
      <c r="G206" s="1" t="s">
        <v>35</v>
      </c>
      <c r="H206" s="2"/>
      <c r="I206">
        <v>1</v>
      </c>
      <c r="J206" s="1" t="s">
        <v>234</v>
      </c>
      <c r="K206" s="1" t="s">
        <v>1165</v>
      </c>
      <c r="L206">
        <v>3.6399489679151444</v>
      </c>
      <c r="M206" s="1" t="s">
        <v>234</v>
      </c>
      <c r="N206" s="1" t="s">
        <v>235</v>
      </c>
    </row>
    <row r="207" spans="1:14" x14ac:dyDescent="0.25">
      <c r="A207" s="1" t="s">
        <v>397</v>
      </c>
      <c r="B207" s="1" t="s">
        <v>152</v>
      </c>
      <c r="C207" s="1" t="s">
        <v>81</v>
      </c>
      <c r="D207" s="2"/>
      <c r="E207" s="1" t="s">
        <v>207</v>
      </c>
      <c r="F207" s="1"/>
      <c r="G207" s="1" t="s">
        <v>35</v>
      </c>
      <c r="H207" s="2"/>
      <c r="I207">
        <v>1</v>
      </c>
      <c r="J207" s="1" t="s">
        <v>234</v>
      </c>
      <c r="K207" s="1" t="s">
        <v>1165</v>
      </c>
      <c r="L207">
        <v>4.8523154463603895</v>
      </c>
      <c r="M207" s="1" t="s">
        <v>234</v>
      </c>
      <c r="N207" s="1" t="s">
        <v>235</v>
      </c>
    </row>
    <row r="208" spans="1:14" x14ac:dyDescent="0.25">
      <c r="A208" s="1" t="s">
        <v>381</v>
      </c>
      <c r="B208" s="1" t="s">
        <v>152</v>
      </c>
      <c r="C208" s="1" t="s">
        <v>81</v>
      </c>
      <c r="D208" s="2"/>
      <c r="E208" s="1" t="s">
        <v>207</v>
      </c>
      <c r="F208" s="1"/>
      <c r="G208" s="1" t="s">
        <v>35</v>
      </c>
      <c r="H208" s="2"/>
      <c r="I208">
        <v>1</v>
      </c>
      <c r="J208" s="1" t="s">
        <v>234</v>
      </c>
      <c r="K208" s="1" t="s">
        <v>1165</v>
      </c>
      <c r="L208">
        <v>3.4567101871538437</v>
      </c>
      <c r="M208" s="1" t="s">
        <v>234</v>
      </c>
      <c r="N208" s="1" t="s">
        <v>235</v>
      </c>
    </row>
    <row r="209" spans="1:14" x14ac:dyDescent="0.25">
      <c r="A209" s="1" t="s">
        <v>330</v>
      </c>
      <c r="B209" s="1" t="s">
        <v>152</v>
      </c>
      <c r="C209" s="1" t="s">
        <v>81</v>
      </c>
      <c r="D209" s="2"/>
      <c r="E209" s="1" t="s">
        <v>207</v>
      </c>
      <c r="F209" s="1"/>
      <c r="G209" s="1" t="s">
        <v>35</v>
      </c>
      <c r="H209" s="2"/>
      <c r="I209">
        <v>1</v>
      </c>
      <c r="J209" s="1" t="s">
        <v>234</v>
      </c>
      <c r="K209" s="1" t="s">
        <v>1165</v>
      </c>
      <c r="L209">
        <v>4.8526926298572599</v>
      </c>
      <c r="M209" s="1" t="s">
        <v>234</v>
      </c>
      <c r="N209" s="1" t="s">
        <v>235</v>
      </c>
    </row>
    <row r="210" spans="1:14" x14ac:dyDescent="0.25">
      <c r="A210" s="1" t="s">
        <v>384</v>
      </c>
      <c r="B210" s="1" t="s">
        <v>152</v>
      </c>
      <c r="C210" s="1" t="s">
        <v>81</v>
      </c>
      <c r="D210" s="2"/>
      <c r="E210" s="1" t="s">
        <v>207</v>
      </c>
      <c r="F210" s="1"/>
      <c r="G210" s="1" t="s">
        <v>35</v>
      </c>
      <c r="H210" s="2"/>
      <c r="I210">
        <v>1</v>
      </c>
      <c r="J210" s="1" t="s">
        <v>234</v>
      </c>
      <c r="K210" s="1" t="s">
        <v>1165</v>
      </c>
      <c r="L210">
        <v>3.4567101844176031</v>
      </c>
      <c r="M210" s="1" t="s">
        <v>234</v>
      </c>
      <c r="N210" s="1" t="s">
        <v>235</v>
      </c>
    </row>
    <row r="211" spans="1:14" x14ac:dyDescent="0.25">
      <c r="A211" s="1" t="s">
        <v>319</v>
      </c>
      <c r="B211" s="1" t="s">
        <v>152</v>
      </c>
      <c r="C211" s="1" t="s">
        <v>81</v>
      </c>
      <c r="D211" s="2"/>
      <c r="E211" s="1" t="s">
        <v>207</v>
      </c>
      <c r="F211" s="1"/>
      <c r="G211" s="1" t="s">
        <v>35</v>
      </c>
      <c r="H211" s="2"/>
      <c r="I211">
        <v>1</v>
      </c>
      <c r="J211" s="1" t="s">
        <v>234</v>
      </c>
      <c r="K211" s="1" t="s">
        <v>1165</v>
      </c>
      <c r="L211">
        <v>2.5240440635645194</v>
      </c>
      <c r="M211" s="1" t="s">
        <v>234</v>
      </c>
      <c r="N211" s="1" t="s">
        <v>235</v>
      </c>
    </row>
    <row r="212" spans="1:14" x14ac:dyDescent="0.25">
      <c r="A212" s="1" t="s">
        <v>943</v>
      </c>
      <c r="B212" s="1" t="s">
        <v>152</v>
      </c>
      <c r="C212" s="1" t="s">
        <v>81</v>
      </c>
      <c r="D212" s="2"/>
      <c r="E212" s="1" t="s">
        <v>207</v>
      </c>
      <c r="F212" s="1"/>
      <c r="G212" s="1" t="s">
        <v>35</v>
      </c>
      <c r="H212" s="2"/>
      <c r="I212">
        <v>1</v>
      </c>
      <c r="J212" s="1" t="s">
        <v>234</v>
      </c>
      <c r="K212" s="1" t="s">
        <v>1165</v>
      </c>
      <c r="L212">
        <v>4.1777424095496425</v>
      </c>
      <c r="M212" s="1" t="s">
        <v>234</v>
      </c>
      <c r="N212" s="1" t="s">
        <v>235</v>
      </c>
    </row>
    <row r="213" spans="1:14" x14ac:dyDescent="0.25">
      <c r="A213" s="1" t="s">
        <v>387</v>
      </c>
      <c r="B213" s="1" t="s">
        <v>152</v>
      </c>
      <c r="C213" s="1" t="s">
        <v>81</v>
      </c>
      <c r="D213" s="2"/>
      <c r="E213" s="1" t="s">
        <v>207</v>
      </c>
      <c r="F213" s="1"/>
      <c r="G213" s="1" t="s">
        <v>35</v>
      </c>
      <c r="H213" s="2"/>
      <c r="I213">
        <v>1</v>
      </c>
      <c r="J213" s="1" t="s">
        <v>234</v>
      </c>
      <c r="K213" s="1" t="s">
        <v>1165</v>
      </c>
      <c r="L213">
        <v>2.8809967158280503</v>
      </c>
      <c r="M213" s="1" t="s">
        <v>234</v>
      </c>
      <c r="N213" s="1" t="s">
        <v>235</v>
      </c>
    </row>
    <row r="214" spans="1:14" x14ac:dyDescent="0.25">
      <c r="A214" s="1" t="s">
        <v>320</v>
      </c>
      <c r="B214" s="1" t="s">
        <v>152</v>
      </c>
      <c r="C214" s="1" t="s">
        <v>81</v>
      </c>
      <c r="D214" s="2"/>
      <c r="E214" s="1" t="s">
        <v>207</v>
      </c>
      <c r="F214" s="1"/>
      <c r="G214" s="1" t="s">
        <v>35</v>
      </c>
      <c r="H214" s="2"/>
      <c r="I214">
        <v>1</v>
      </c>
      <c r="J214" s="1" t="s">
        <v>234</v>
      </c>
      <c r="K214" s="1" t="s">
        <v>1165</v>
      </c>
      <c r="L214">
        <v>3.5065465324203395</v>
      </c>
      <c r="M214" s="1" t="s">
        <v>234</v>
      </c>
      <c r="N214" s="1" t="s">
        <v>235</v>
      </c>
    </row>
    <row r="215" spans="1:14" x14ac:dyDescent="0.25">
      <c r="A215" s="1" t="s">
        <v>335</v>
      </c>
      <c r="B215" s="1" t="s">
        <v>152</v>
      </c>
      <c r="C215" s="1" t="s">
        <v>81</v>
      </c>
      <c r="D215" s="2"/>
      <c r="E215" s="1" t="s">
        <v>207</v>
      </c>
      <c r="F215" s="1"/>
      <c r="G215" s="1" t="s">
        <v>35</v>
      </c>
      <c r="H215" s="2"/>
      <c r="I215">
        <v>1</v>
      </c>
      <c r="J215" s="1" t="s">
        <v>234</v>
      </c>
      <c r="K215" s="1" t="s">
        <v>1165</v>
      </c>
      <c r="L215">
        <v>5.4402730482869872</v>
      </c>
      <c r="M215" s="1" t="s">
        <v>234</v>
      </c>
      <c r="N215" s="1" t="s">
        <v>235</v>
      </c>
    </row>
    <row r="216" spans="1:14" x14ac:dyDescent="0.25">
      <c r="A216" s="1" t="s">
        <v>364</v>
      </c>
      <c r="B216" s="1" t="s">
        <v>152</v>
      </c>
      <c r="C216" s="1" t="s">
        <v>81</v>
      </c>
      <c r="D216" s="2"/>
      <c r="E216" s="1" t="s">
        <v>207</v>
      </c>
      <c r="F216" s="1"/>
      <c r="G216" s="1" t="s">
        <v>35</v>
      </c>
      <c r="H216" s="2"/>
      <c r="I216">
        <v>1</v>
      </c>
      <c r="J216" s="1" t="s">
        <v>234</v>
      </c>
      <c r="K216" s="1" t="s">
        <v>1165</v>
      </c>
      <c r="L216">
        <v>3.0995310315937248</v>
      </c>
      <c r="M216" s="1" t="s">
        <v>234</v>
      </c>
      <c r="N216" s="1" t="s">
        <v>235</v>
      </c>
    </row>
    <row r="217" spans="1:14" x14ac:dyDescent="0.25">
      <c r="A217" s="1" t="s">
        <v>393</v>
      </c>
      <c r="B217" s="1" t="s">
        <v>152</v>
      </c>
      <c r="C217" s="1" t="s">
        <v>81</v>
      </c>
      <c r="D217" s="2"/>
      <c r="E217" s="1" t="s">
        <v>207</v>
      </c>
      <c r="F217" s="1"/>
      <c r="G217" s="1" t="s">
        <v>35</v>
      </c>
      <c r="H217" s="2"/>
      <c r="I217">
        <v>1</v>
      </c>
      <c r="J217" s="1" t="s">
        <v>234</v>
      </c>
      <c r="K217" s="1" t="s">
        <v>1165</v>
      </c>
      <c r="L217">
        <v>5.4571895667849706</v>
      </c>
      <c r="M217" s="1" t="s">
        <v>234</v>
      </c>
      <c r="N217" s="1" t="s">
        <v>235</v>
      </c>
    </row>
    <row r="218" spans="1:14" x14ac:dyDescent="0.25">
      <c r="A218" s="1" t="s">
        <v>392</v>
      </c>
      <c r="B218" s="1" t="s">
        <v>152</v>
      </c>
      <c r="C218" s="1" t="s">
        <v>81</v>
      </c>
      <c r="D218" s="2"/>
      <c r="E218" s="1" t="s">
        <v>207</v>
      </c>
      <c r="F218" s="1"/>
      <c r="G218" s="1" t="s">
        <v>35</v>
      </c>
      <c r="H218" s="2"/>
      <c r="I218">
        <v>1</v>
      </c>
      <c r="J218" s="1" t="s">
        <v>234</v>
      </c>
      <c r="K218" s="1" t="s">
        <v>1165</v>
      </c>
      <c r="L218">
        <v>2.7585557999612114</v>
      </c>
      <c r="M218" s="1" t="s">
        <v>234</v>
      </c>
      <c r="N218" s="1" t="s">
        <v>235</v>
      </c>
    </row>
    <row r="219" spans="1:14" x14ac:dyDescent="0.25">
      <c r="A219" s="1" t="s">
        <v>386</v>
      </c>
      <c r="B219" s="1" t="s">
        <v>152</v>
      </c>
      <c r="C219" s="1" t="s">
        <v>81</v>
      </c>
      <c r="D219" s="2"/>
      <c r="E219" s="1" t="s">
        <v>207</v>
      </c>
      <c r="F219" s="1"/>
      <c r="G219" s="1" t="s">
        <v>35</v>
      </c>
      <c r="H219" s="2"/>
      <c r="I219">
        <v>1</v>
      </c>
      <c r="J219" s="1" t="s">
        <v>234</v>
      </c>
      <c r="K219" s="1" t="s">
        <v>1165</v>
      </c>
      <c r="L219">
        <v>2.8089858437794852</v>
      </c>
      <c r="M219" s="1" t="s">
        <v>234</v>
      </c>
      <c r="N219" s="1" t="s">
        <v>235</v>
      </c>
    </row>
    <row r="220" spans="1:14" x14ac:dyDescent="0.25">
      <c r="A220" s="1" t="s">
        <v>944</v>
      </c>
      <c r="B220" s="1" t="s">
        <v>152</v>
      </c>
      <c r="C220" s="1" t="s">
        <v>81</v>
      </c>
      <c r="D220" s="2"/>
      <c r="E220" s="1" t="s">
        <v>207</v>
      </c>
      <c r="F220" s="1"/>
      <c r="G220" s="1" t="s">
        <v>35</v>
      </c>
      <c r="H220" s="2"/>
      <c r="I220">
        <v>1</v>
      </c>
      <c r="J220" s="1" t="s">
        <v>234</v>
      </c>
      <c r="K220" s="1" t="s">
        <v>1165</v>
      </c>
      <c r="L220">
        <v>4.0093897403317884</v>
      </c>
      <c r="M220" s="1" t="s">
        <v>234</v>
      </c>
      <c r="N220" s="1" t="s">
        <v>235</v>
      </c>
    </row>
    <row r="221" spans="1:14" x14ac:dyDescent="0.25">
      <c r="A221" s="1" t="s">
        <v>956</v>
      </c>
      <c r="B221" s="1" t="s">
        <v>152</v>
      </c>
      <c r="C221" s="1" t="s">
        <v>81</v>
      </c>
      <c r="D221" s="2"/>
      <c r="E221" s="1" t="s">
        <v>207</v>
      </c>
      <c r="F221" s="1"/>
      <c r="G221" s="1" t="s">
        <v>35</v>
      </c>
      <c r="H221" s="2"/>
      <c r="I221">
        <v>1</v>
      </c>
      <c r="J221" s="1" t="s">
        <v>234</v>
      </c>
      <c r="K221" s="1" t="s">
        <v>1165</v>
      </c>
      <c r="L221">
        <v>2.8030694017425866</v>
      </c>
      <c r="M221" s="1" t="s">
        <v>234</v>
      </c>
      <c r="N221" s="1" t="s">
        <v>235</v>
      </c>
    </row>
    <row r="222" spans="1:14" x14ac:dyDescent="0.25">
      <c r="A222" s="1" t="s">
        <v>1166</v>
      </c>
      <c r="B222" s="1" t="s">
        <v>152</v>
      </c>
      <c r="C222" s="1" t="s">
        <v>81</v>
      </c>
      <c r="D222" s="2"/>
      <c r="E222" s="1" t="s">
        <v>207</v>
      </c>
      <c r="F222" s="1"/>
      <c r="G222" s="1" t="s">
        <v>35</v>
      </c>
      <c r="H222" s="2"/>
      <c r="I222">
        <v>1</v>
      </c>
      <c r="J222" s="1" t="s">
        <v>234</v>
      </c>
      <c r="K222" s="1" t="s">
        <v>1165</v>
      </c>
      <c r="L222">
        <v>3.976393293025092</v>
      </c>
      <c r="M222" s="1" t="s">
        <v>234</v>
      </c>
      <c r="N222" s="1" t="s">
        <v>235</v>
      </c>
    </row>
    <row r="223" spans="1:14" x14ac:dyDescent="0.25">
      <c r="A223" s="1" t="s">
        <v>925</v>
      </c>
      <c r="B223" s="1" t="s">
        <v>973</v>
      </c>
      <c r="C223" s="1" t="s">
        <v>82</v>
      </c>
      <c r="D223" s="2"/>
      <c r="E223" s="1" t="s">
        <v>207</v>
      </c>
      <c r="F223" s="1"/>
      <c r="G223" s="1" t="s">
        <v>35</v>
      </c>
      <c r="H223" s="2"/>
      <c r="I223">
        <v>1</v>
      </c>
      <c r="J223" s="1" t="s">
        <v>234</v>
      </c>
      <c r="K223" s="1" t="s">
        <v>1165</v>
      </c>
      <c r="L223">
        <v>4.4390412083610808</v>
      </c>
      <c r="M223" s="1" t="s">
        <v>234</v>
      </c>
      <c r="N223" s="1" t="s">
        <v>235</v>
      </c>
    </row>
    <row r="224" spans="1:14" x14ac:dyDescent="0.25">
      <c r="A224" s="1" t="s">
        <v>321</v>
      </c>
      <c r="B224" s="1" t="s">
        <v>973</v>
      </c>
      <c r="C224" s="1" t="s">
        <v>82</v>
      </c>
      <c r="D224" s="2"/>
      <c r="E224" s="1" t="s">
        <v>207</v>
      </c>
      <c r="F224" s="1"/>
      <c r="G224" s="1" t="s">
        <v>35</v>
      </c>
      <c r="H224" s="2"/>
      <c r="I224">
        <v>1</v>
      </c>
      <c r="J224" s="1" t="s">
        <v>234</v>
      </c>
      <c r="K224" s="1" t="s">
        <v>1165</v>
      </c>
      <c r="L224">
        <v>3.6558491197690208</v>
      </c>
      <c r="M224" s="1" t="s">
        <v>234</v>
      </c>
      <c r="N224" s="1" t="s">
        <v>235</v>
      </c>
    </row>
    <row r="225" spans="1:14" x14ac:dyDescent="0.25">
      <c r="A225" s="1" t="s">
        <v>357</v>
      </c>
      <c r="B225" s="1" t="s">
        <v>973</v>
      </c>
      <c r="C225" s="1" t="s">
        <v>82</v>
      </c>
      <c r="D225" s="2"/>
      <c r="E225" s="1" t="s">
        <v>207</v>
      </c>
      <c r="F225" s="1"/>
      <c r="G225" s="1" t="s">
        <v>35</v>
      </c>
      <c r="H225" s="2"/>
      <c r="I225">
        <v>1</v>
      </c>
      <c r="J225" s="1" t="s">
        <v>234</v>
      </c>
      <c r="K225" s="1" t="s">
        <v>1165</v>
      </c>
      <c r="L225">
        <v>4.7369922802855067</v>
      </c>
      <c r="M225" s="1" t="s">
        <v>234</v>
      </c>
      <c r="N225" s="1" t="s">
        <v>235</v>
      </c>
    </row>
    <row r="226" spans="1:14" x14ac:dyDescent="0.25">
      <c r="A226" s="1" t="s">
        <v>354</v>
      </c>
      <c r="B226" s="1" t="s">
        <v>973</v>
      </c>
      <c r="C226" s="1" t="s">
        <v>82</v>
      </c>
      <c r="D226" s="2"/>
      <c r="E226" s="1" t="s">
        <v>207</v>
      </c>
      <c r="F226" s="1"/>
      <c r="G226" s="1" t="s">
        <v>35</v>
      </c>
      <c r="H226" s="2"/>
      <c r="I226">
        <v>1</v>
      </c>
      <c r="J226" s="1" t="s">
        <v>234</v>
      </c>
      <c r="K226" s="1" t="s">
        <v>1165</v>
      </c>
      <c r="L226">
        <v>3.9022094189030589</v>
      </c>
      <c r="M226" s="1" t="s">
        <v>234</v>
      </c>
      <c r="N226" s="1" t="s">
        <v>235</v>
      </c>
    </row>
    <row r="227" spans="1:14" x14ac:dyDescent="0.25">
      <c r="A227" s="1" t="s">
        <v>945</v>
      </c>
      <c r="B227" s="1" t="s">
        <v>973</v>
      </c>
      <c r="C227" s="1" t="s">
        <v>82</v>
      </c>
      <c r="D227" s="2"/>
      <c r="E227" s="1" t="s">
        <v>207</v>
      </c>
      <c r="F227" s="1"/>
      <c r="G227" s="1" t="s">
        <v>35</v>
      </c>
      <c r="H227" s="2"/>
      <c r="I227">
        <v>1</v>
      </c>
      <c r="J227" s="1" t="s">
        <v>234</v>
      </c>
      <c r="K227" s="1" t="s">
        <v>1165</v>
      </c>
      <c r="L227">
        <v>4.7381737795061003</v>
      </c>
      <c r="M227" s="1" t="s">
        <v>234</v>
      </c>
      <c r="N227" s="1" t="s">
        <v>235</v>
      </c>
    </row>
    <row r="228" spans="1:14" x14ac:dyDescent="0.25">
      <c r="A228" s="1" t="s">
        <v>496</v>
      </c>
      <c r="B228" s="1" t="s">
        <v>973</v>
      </c>
      <c r="C228" s="1" t="s">
        <v>82</v>
      </c>
      <c r="D228" s="2"/>
      <c r="E228" s="1" t="s">
        <v>207</v>
      </c>
      <c r="F228" s="1"/>
      <c r="G228" s="1" t="s">
        <v>35</v>
      </c>
      <c r="H228" s="2"/>
      <c r="I228">
        <v>1</v>
      </c>
      <c r="J228" s="1" t="s">
        <v>234</v>
      </c>
      <c r="K228" s="1" t="s">
        <v>1165</v>
      </c>
      <c r="L228">
        <v>3.9022043019355688</v>
      </c>
      <c r="M228" s="1" t="s">
        <v>234</v>
      </c>
      <c r="N228" s="1" t="s">
        <v>235</v>
      </c>
    </row>
    <row r="229" spans="1:14" x14ac:dyDescent="0.25">
      <c r="A229" s="1" t="s">
        <v>497</v>
      </c>
      <c r="B229" s="1" t="s">
        <v>973</v>
      </c>
      <c r="C229" s="1" t="s">
        <v>82</v>
      </c>
      <c r="D229" s="2"/>
      <c r="E229" s="1" t="s">
        <v>207</v>
      </c>
      <c r="F229" s="1"/>
      <c r="G229" s="1" t="s">
        <v>35</v>
      </c>
      <c r="H229" s="2"/>
      <c r="I229">
        <v>1</v>
      </c>
      <c r="J229" s="1" t="s">
        <v>234</v>
      </c>
      <c r="K229" s="1" t="s">
        <v>1165</v>
      </c>
      <c r="L229">
        <v>4.7369860194343323</v>
      </c>
      <c r="M229" s="1" t="s">
        <v>234</v>
      </c>
      <c r="N229" s="1" t="s">
        <v>235</v>
      </c>
    </row>
    <row r="230" spans="1:14" x14ac:dyDescent="0.25">
      <c r="A230" s="1" t="s">
        <v>498</v>
      </c>
      <c r="B230" s="1" t="s">
        <v>973</v>
      </c>
      <c r="C230" s="1" t="s">
        <v>82</v>
      </c>
      <c r="D230" s="2"/>
      <c r="E230" s="1" t="s">
        <v>207</v>
      </c>
      <c r="F230" s="1"/>
      <c r="G230" s="1" t="s">
        <v>35</v>
      </c>
      <c r="H230" s="2"/>
      <c r="I230">
        <v>1</v>
      </c>
      <c r="J230" s="1" t="s">
        <v>234</v>
      </c>
      <c r="K230" s="1" t="s">
        <v>1165</v>
      </c>
      <c r="L230">
        <v>3.9021998955018544</v>
      </c>
      <c r="M230" s="1" t="s">
        <v>234</v>
      </c>
      <c r="N230" s="1" t="s">
        <v>235</v>
      </c>
    </row>
    <row r="231" spans="1:14" x14ac:dyDescent="0.25">
      <c r="A231" s="1" t="s">
        <v>504</v>
      </c>
      <c r="B231" s="1" t="s">
        <v>973</v>
      </c>
      <c r="C231" s="1" t="s">
        <v>82</v>
      </c>
      <c r="D231" s="2"/>
      <c r="E231" s="1" t="s">
        <v>207</v>
      </c>
      <c r="F231" s="1"/>
      <c r="G231" s="1" t="s">
        <v>35</v>
      </c>
      <c r="H231" s="2"/>
      <c r="I231">
        <v>1</v>
      </c>
      <c r="J231" s="1" t="s">
        <v>234</v>
      </c>
      <c r="K231" s="1" t="s">
        <v>1165</v>
      </c>
      <c r="L231">
        <v>4.6552696167838548</v>
      </c>
      <c r="M231" s="1" t="s">
        <v>234</v>
      </c>
      <c r="N231" s="1" t="s">
        <v>235</v>
      </c>
    </row>
    <row r="232" spans="1:14" x14ac:dyDescent="0.25">
      <c r="A232" s="1" t="s">
        <v>505</v>
      </c>
      <c r="B232" s="1" t="s">
        <v>973</v>
      </c>
      <c r="C232" s="1" t="s">
        <v>82</v>
      </c>
      <c r="D232" s="2"/>
      <c r="E232" s="1" t="s">
        <v>207</v>
      </c>
      <c r="F232" s="1"/>
      <c r="G232" s="1" t="s">
        <v>35</v>
      </c>
      <c r="H232" s="2"/>
      <c r="I232">
        <v>1</v>
      </c>
      <c r="J232" s="1" t="s">
        <v>234</v>
      </c>
      <c r="K232" s="1" t="s">
        <v>1165</v>
      </c>
      <c r="L232">
        <v>3.835043762321781</v>
      </c>
      <c r="M232" s="1" t="s">
        <v>234</v>
      </c>
      <c r="N232" s="1" t="s">
        <v>235</v>
      </c>
    </row>
    <row r="233" spans="1:14" x14ac:dyDescent="0.25">
      <c r="A233" s="1" t="s">
        <v>503</v>
      </c>
      <c r="B233" s="1" t="s">
        <v>973</v>
      </c>
      <c r="C233" s="1" t="s">
        <v>82</v>
      </c>
      <c r="D233" s="2"/>
      <c r="E233" s="1" t="s">
        <v>207</v>
      </c>
      <c r="F233" s="1"/>
      <c r="G233" s="1" t="s">
        <v>35</v>
      </c>
      <c r="H233" s="2"/>
      <c r="I233">
        <v>1</v>
      </c>
      <c r="J233" s="1" t="s">
        <v>234</v>
      </c>
      <c r="K233" s="1" t="s">
        <v>1165</v>
      </c>
      <c r="L233">
        <v>4.5116501882633164</v>
      </c>
      <c r="M233" s="1" t="s">
        <v>234</v>
      </c>
      <c r="N233" s="1" t="s">
        <v>235</v>
      </c>
    </row>
    <row r="234" spans="1:14" x14ac:dyDescent="0.25">
      <c r="A234" s="1" t="s">
        <v>502</v>
      </c>
      <c r="B234" s="1" t="s">
        <v>973</v>
      </c>
      <c r="C234" s="1" t="s">
        <v>82</v>
      </c>
      <c r="D234" s="2"/>
      <c r="E234" s="1" t="s">
        <v>207</v>
      </c>
      <c r="F234" s="1"/>
      <c r="G234" s="1" t="s">
        <v>35</v>
      </c>
      <c r="H234" s="2"/>
      <c r="I234">
        <v>1</v>
      </c>
      <c r="J234" s="1" t="s">
        <v>234</v>
      </c>
      <c r="K234" s="1" t="s">
        <v>1165</v>
      </c>
      <c r="L234">
        <v>7.7495235019832522</v>
      </c>
      <c r="M234" s="1" t="s">
        <v>234</v>
      </c>
      <c r="N234" s="1" t="s">
        <v>235</v>
      </c>
    </row>
    <row r="235" spans="1:14" x14ac:dyDescent="0.25">
      <c r="A235" s="1" t="s">
        <v>376</v>
      </c>
      <c r="B235" s="1" t="s">
        <v>973</v>
      </c>
      <c r="C235" s="1" t="s">
        <v>82</v>
      </c>
      <c r="D235" s="2"/>
      <c r="E235" s="1" t="s">
        <v>207</v>
      </c>
      <c r="F235" s="1"/>
      <c r="G235" s="1" t="s">
        <v>35</v>
      </c>
      <c r="H235" s="2"/>
      <c r="I235">
        <v>1</v>
      </c>
      <c r="J235" s="1" t="s">
        <v>234</v>
      </c>
      <c r="K235" s="1" t="s">
        <v>1165</v>
      </c>
      <c r="L235">
        <v>4.8124474921891256</v>
      </c>
      <c r="M235" s="1" t="s">
        <v>234</v>
      </c>
      <c r="N235" s="1" t="s">
        <v>235</v>
      </c>
    </row>
    <row r="236" spans="1:14" x14ac:dyDescent="0.25">
      <c r="A236" s="1" t="s">
        <v>377</v>
      </c>
      <c r="B236" s="1" t="s">
        <v>973</v>
      </c>
      <c r="C236" s="1" t="s">
        <v>82</v>
      </c>
      <c r="D236" s="2"/>
      <c r="E236" s="1" t="s">
        <v>207</v>
      </c>
      <c r="F236" s="1"/>
      <c r="G236" s="1" t="s">
        <v>35</v>
      </c>
      <c r="H236" s="2"/>
      <c r="I236">
        <v>1</v>
      </c>
      <c r="J236" s="1" t="s">
        <v>234</v>
      </c>
      <c r="K236" s="1" t="s">
        <v>1165</v>
      </c>
      <c r="L236">
        <v>8.2672532415202369</v>
      </c>
      <c r="M236" s="1" t="s">
        <v>234</v>
      </c>
      <c r="N236" s="1" t="s">
        <v>235</v>
      </c>
    </row>
    <row r="237" spans="1:14" x14ac:dyDescent="0.25">
      <c r="A237" s="1" t="s">
        <v>501</v>
      </c>
      <c r="B237" s="1" t="s">
        <v>973</v>
      </c>
      <c r="C237" s="1" t="s">
        <v>82</v>
      </c>
      <c r="D237" s="2"/>
      <c r="E237" s="1" t="s">
        <v>207</v>
      </c>
      <c r="F237" s="1"/>
      <c r="G237" s="1" t="s">
        <v>35</v>
      </c>
      <c r="H237" s="2"/>
      <c r="I237">
        <v>1</v>
      </c>
      <c r="J237" s="1" t="s">
        <v>234</v>
      </c>
      <c r="K237" s="1" t="s">
        <v>1165</v>
      </c>
      <c r="L237">
        <v>4.7381733326017885</v>
      </c>
      <c r="M237" s="1" t="s">
        <v>234</v>
      </c>
      <c r="N237" s="1" t="s">
        <v>235</v>
      </c>
    </row>
    <row r="238" spans="1:14" x14ac:dyDescent="0.25">
      <c r="A238" s="1" t="s">
        <v>360</v>
      </c>
      <c r="B238" s="1" t="s">
        <v>973</v>
      </c>
      <c r="C238" s="1" t="s">
        <v>82</v>
      </c>
      <c r="D238" s="2"/>
      <c r="E238" s="1" t="s">
        <v>207</v>
      </c>
      <c r="F238" s="1"/>
      <c r="G238" s="1" t="s">
        <v>35</v>
      </c>
      <c r="H238" s="2"/>
      <c r="I238">
        <v>1</v>
      </c>
      <c r="J238" s="1" t="s">
        <v>234</v>
      </c>
      <c r="K238" s="1" t="s">
        <v>1165</v>
      </c>
      <c r="L238">
        <v>3.9022025876507884</v>
      </c>
      <c r="M238" s="1" t="s">
        <v>234</v>
      </c>
      <c r="N238" s="1" t="s">
        <v>235</v>
      </c>
    </row>
    <row r="239" spans="1:14" x14ac:dyDescent="0.25">
      <c r="A239" s="1" t="s">
        <v>359</v>
      </c>
      <c r="B239" s="1" t="s">
        <v>973</v>
      </c>
      <c r="C239" s="1" t="s">
        <v>82</v>
      </c>
      <c r="D239" s="2"/>
      <c r="E239" s="1" t="s">
        <v>207</v>
      </c>
      <c r="F239" s="1"/>
      <c r="G239" s="1" t="s">
        <v>35</v>
      </c>
      <c r="H239" s="2"/>
      <c r="I239">
        <v>1</v>
      </c>
      <c r="J239" s="1" t="s">
        <v>234</v>
      </c>
      <c r="K239" s="1" t="s">
        <v>1165</v>
      </c>
      <c r="L239">
        <v>4.7369839497827364</v>
      </c>
      <c r="M239" s="1" t="s">
        <v>234</v>
      </c>
      <c r="N239" s="1" t="s">
        <v>235</v>
      </c>
    </row>
    <row r="240" spans="1:14" x14ac:dyDescent="0.25">
      <c r="A240" s="1" t="s">
        <v>500</v>
      </c>
      <c r="B240" s="1" t="s">
        <v>973</v>
      </c>
      <c r="C240" s="1" t="s">
        <v>82</v>
      </c>
      <c r="D240" s="2"/>
      <c r="E240" s="1" t="s">
        <v>207</v>
      </c>
      <c r="F240" s="1"/>
      <c r="G240" s="1" t="s">
        <v>35</v>
      </c>
      <c r="H240" s="2"/>
      <c r="I240">
        <v>1</v>
      </c>
      <c r="J240" s="1" t="s">
        <v>234</v>
      </c>
      <c r="K240" s="1" t="s">
        <v>1165</v>
      </c>
      <c r="L240">
        <v>3.9021993298307684</v>
      </c>
      <c r="M240" s="1" t="s">
        <v>234</v>
      </c>
      <c r="N240" s="1" t="s">
        <v>235</v>
      </c>
    </row>
    <row r="241" spans="1:14" x14ac:dyDescent="0.25">
      <c r="A241" s="1" t="s">
        <v>358</v>
      </c>
      <c r="B241" s="1" t="s">
        <v>973</v>
      </c>
      <c r="C241" s="1" t="s">
        <v>82</v>
      </c>
      <c r="D241" s="2"/>
      <c r="E241" s="1" t="s">
        <v>207</v>
      </c>
      <c r="F241" s="1"/>
      <c r="G241" s="1" t="s">
        <v>35</v>
      </c>
      <c r="H241" s="2"/>
      <c r="I241">
        <v>1</v>
      </c>
      <c r="J241" s="1" t="s">
        <v>234</v>
      </c>
      <c r="K241" s="1" t="s">
        <v>1165</v>
      </c>
      <c r="L241">
        <v>4.6552665910458497</v>
      </c>
      <c r="M241" s="1" t="s">
        <v>234</v>
      </c>
      <c r="N241" s="1" t="s">
        <v>235</v>
      </c>
    </row>
    <row r="242" spans="1:14" x14ac:dyDescent="0.25">
      <c r="A242" s="1" t="s">
        <v>499</v>
      </c>
      <c r="B242" s="1" t="s">
        <v>973</v>
      </c>
      <c r="C242" s="1" t="s">
        <v>82</v>
      </c>
      <c r="D242" s="2"/>
      <c r="E242" s="1" t="s">
        <v>207</v>
      </c>
      <c r="F242" s="1"/>
      <c r="G242" s="1" t="s">
        <v>35</v>
      </c>
      <c r="H242" s="2"/>
      <c r="I242">
        <v>1</v>
      </c>
      <c r="J242" s="1" t="s">
        <v>234</v>
      </c>
      <c r="K242" s="1" t="s">
        <v>1165</v>
      </c>
      <c r="L242">
        <v>3.8350412396646267</v>
      </c>
      <c r="M242" s="1" t="s">
        <v>234</v>
      </c>
      <c r="N242" s="1" t="s">
        <v>235</v>
      </c>
    </row>
    <row r="243" spans="1:14" x14ac:dyDescent="0.25">
      <c r="A243" s="1" t="s">
        <v>495</v>
      </c>
      <c r="B243" s="1" t="s">
        <v>973</v>
      </c>
      <c r="C243" s="1" t="s">
        <v>82</v>
      </c>
      <c r="D243" s="2"/>
      <c r="E243" s="1" t="s">
        <v>207</v>
      </c>
      <c r="F243" s="1"/>
      <c r="G243" s="1" t="s">
        <v>35</v>
      </c>
      <c r="H243" s="2"/>
      <c r="I243">
        <v>1</v>
      </c>
      <c r="J243" s="1" t="s">
        <v>234</v>
      </c>
      <c r="K243" s="1" t="s">
        <v>1165</v>
      </c>
      <c r="L243">
        <v>4.5116501856109847</v>
      </c>
      <c r="M243" s="1" t="s">
        <v>234</v>
      </c>
      <c r="N243" s="1" t="s">
        <v>235</v>
      </c>
    </row>
    <row r="244" spans="1:14" x14ac:dyDescent="0.25">
      <c r="A244" s="1" t="s">
        <v>493</v>
      </c>
      <c r="B244" s="1" t="s">
        <v>973</v>
      </c>
      <c r="C244" s="1" t="s">
        <v>82</v>
      </c>
      <c r="D244" s="2"/>
      <c r="E244" s="1" t="s">
        <v>207</v>
      </c>
      <c r="F244" s="1"/>
      <c r="G244" s="1" t="s">
        <v>35</v>
      </c>
      <c r="H244" s="2"/>
      <c r="I244">
        <v>1</v>
      </c>
      <c r="J244" s="1" t="s">
        <v>234</v>
      </c>
      <c r="K244" s="1" t="s">
        <v>1165</v>
      </c>
      <c r="L244">
        <v>7.7495234422298918</v>
      </c>
      <c r="M244" s="1" t="s">
        <v>234</v>
      </c>
      <c r="N244" s="1" t="s">
        <v>235</v>
      </c>
    </row>
    <row r="245" spans="1:14" x14ac:dyDescent="0.25">
      <c r="A245" s="1" t="s">
        <v>494</v>
      </c>
      <c r="B245" s="1" t="s">
        <v>973</v>
      </c>
      <c r="C245" s="1" t="s">
        <v>82</v>
      </c>
      <c r="D245" s="2"/>
      <c r="E245" s="1" t="s">
        <v>207</v>
      </c>
      <c r="F245" s="1"/>
      <c r="G245" s="1" t="s">
        <v>35</v>
      </c>
      <c r="H245" s="2"/>
      <c r="I245">
        <v>1</v>
      </c>
      <c r="J245" s="1" t="s">
        <v>234</v>
      </c>
      <c r="K245" s="1" t="s">
        <v>1165</v>
      </c>
      <c r="L245">
        <v>4.8836184967574345</v>
      </c>
      <c r="M245" s="1" t="s">
        <v>234</v>
      </c>
      <c r="N245" s="1" t="s">
        <v>235</v>
      </c>
    </row>
    <row r="246" spans="1:14" x14ac:dyDescent="0.25">
      <c r="A246" s="1" t="s">
        <v>492</v>
      </c>
      <c r="B246" s="1" t="s">
        <v>973</v>
      </c>
      <c r="C246" s="1" t="s">
        <v>82</v>
      </c>
      <c r="D246" s="2"/>
      <c r="E246" s="1" t="s">
        <v>207</v>
      </c>
      <c r="F246" s="1"/>
      <c r="G246" s="1" t="s">
        <v>35</v>
      </c>
      <c r="H246" s="2"/>
      <c r="I246">
        <v>1</v>
      </c>
      <c r="J246" s="1" t="s">
        <v>234</v>
      </c>
      <c r="K246" s="1" t="s">
        <v>1165</v>
      </c>
      <c r="L246">
        <v>8.39196781462263</v>
      </c>
      <c r="M246" s="1" t="s">
        <v>234</v>
      </c>
      <c r="N246" s="1" t="s">
        <v>235</v>
      </c>
    </row>
    <row r="247" spans="1:14" x14ac:dyDescent="0.25">
      <c r="A247" s="1" t="s">
        <v>326</v>
      </c>
      <c r="B247" s="1" t="s">
        <v>973</v>
      </c>
      <c r="C247" s="1" t="s">
        <v>82</v>
      </c>
      <c r="D247" s="2"/>
      <c r="E247" s="1" t="s">
        <v>207</v>
      </c>
      <c r="F247" s="1"/>
      <c r="G247" s="1" t="s">
        <v>35</v>
      </c>
      <c r="H247" s="2"/>
      <c r="I247">
        <v>1</v>
      </c>
      <c r="J247" s="1" t="s">
        <v>234</v>
      </c>
      <c r="K247" s="1" t="s">
        <v>1165</v>
      </c>
      <c r="L247">
        <v>4.8124029461298736</v>
      </c>
      <c r="M247" s="1" t="s">
        <v>234</v>
      </c>
      <c r="N247" s="1" t="s">
        <v>235</v>
      </c>
    </row>
    <row r="248" spans="1:14" x14ac:dyDescent="0.25">
      <c r="A248" s="1" t="s">
        <v>325</v>
      </c>
      <c r="B248" s="1" t="s">
        <v>973</v>
      </c>
      <c r="C248" s="1" t="s">
        <v>82</v>
      </c>
      <c r="D248" s="2"/>
      <c r="E248" s="1" t="s">
        <v>207</v>
      </c>
      <c r="F248" s="1"/>
      <c r="G248" s="1" t="s">
        <v>35</v>
      </c>
      <c r="H248" s="2"/>
      <c r="I248">
        <v>1</v>
      </c>
      <c r="J248" s="1" t="s">
        <v>234</v>
      </c>
      <c r="K248" s="1" t="s">
        <v>1165</v>
      </c>
      <c r="L248">
        <v>8.2671774619412695</v>
      </c>
      <c r="M248" s="1" t="s">
        <v>234</v>
      </c>
      <c r="N248" s="1" t="s">
        <v>235</v>
      </c>
    </row>
    <row r="249" spans="1:14" x14ac:dyDescent="0.25">
      <c r="A249" s="1" t="s">
        <v>487</v>
      </c>
      <c r="B249" s="1" t="s">
        <v>973</v>
      </c>
      <c r="C249" s="1" t="s">
        <v>82</v>
      </c>
      <c r="D249" s="2"/>
      <c r="E249" s="1" t="s">
        <v>207</v>
      </c>
      <c r="F249" s="1"/>
      <c r="G249" s="1" t="s">
        <v>35</v>
      </c>
      <c r="H249" s="2"/>
      <c r="I249">
        <v>1</v>
      </c>
      <c r="J249" s="1" t="s">
        <v>234</v>
      </c>
      <c r="K249" s="1" t="s">
        <v>1165</v>
      </c>
      <c r="L249">
        <v>4.8094610226826893</v>
      </c>
      <c r="M249" s="1" t="s">
        <v>234</v>
      </c>
      <c r="N249" s="1" t="s">
        <v>235</v>
      </c>
    </row>
    <row r="250" spans="1:14" x14ac:dyDescent="0.25">
      <c r="A250" s="1" t="s">
        <v>491</v>
      </c>
      <c r="B250" s="1" t="s">
        <v>973</v>
      </c>
      <c r="C250" s="1" t="s">
        <v>82</v>
      </c>
      <c r="D250" s="2"/>
      <c r="E250" s="1" t="s">
        <v>207</v>
      </c>
      <c r="F250" s="1"/>
      <c r="G250" s="1" t="s">
        <v>35</v>
      </c>
      <c r="H250" s="2"/>
      <c r="I250">
        <v>1</v>
      </c>
      <c r="J250" s="1" t="s">
        <v>234</v>
      </c>
      <c r="K250" s="1" t="s">
        <v>1165</v>
      </c>
      <c r="L250">
        <v>8.5332504641951825</v>
      </c>
      <c r="M250" s="1" t="s">
        <v>234</v>
      </c>
      <c r="N250" s="1" t="s">
        <v>235</v>
      </c>
    </row>
    <row r="251" spans="1:14" x14ac:dyDescent="0.25">
      <c r="A251" s="1" t="s">
        <v>324</v>
      </c>
      <c r="B251" s="1" t="s">
        <v>973</v>
      </c>
      <c r="C251" s="1" t="s">
        <v>82</v>
      </c>
      <c r="D251" s="2"/>
      <c r="E251" s="1" t="s">
        <v>207</v>
      </c>
      <c r="F251" s="1"/>
      <c r="G251" s="1" t="s">
        <v>35</v>
      </c>
      <c r="H251" s="2"/>
      <c r="I251">
        <v>1</v>
      </c>
      <c r="J251" s="1" t="s">
        <v>234</v>
      </c>
      <c r="K251" s="1" t="s">
        <v>1165</v>
      </c>
      <c r="L251">
        <v>4.7288161494549872</v>
      </c>
      <c r="M251" s="1" t="s">
        <v>234</v>
      </c>
      <c r="N251" s="1" t="s">
        <v>235</v>
      </c>
    </row>
    <row r="252" spans="1:14" x14ac:dyDescent="0.25">
      <c r="A252" s="1" t="s">
        <v>327</v>
      </c>
      <c r="B252" s="1" t="s">
        <v>973</v>
      </c>
      <c r="C252" s="1" t="s">
        <v>82</v>
      </c>
      <c r="D252" s="2"/>
      <c r="E252" s="1" t="s">
        <v>207</v>
      </c>
      <c r="F252" s="1"/>
      <c r="G252" s="1" t="s">
        <v>35</v>
      </c>
      <c r="H252" s="2"/>
      <c r="I252">
        <v>1</v>
      </c>
      <c r="J252" s="1" t="s">
        <v>234</v>
      </c>
      <c r="K252" s="1" t="s">
        <v>1165</v>
      </c>
      <c r="L252">
        <v>8.1257112305927439</v>
      </c>
      <c r="M252" s="1" t="s">
        <v>234</v>
      </c>
      <c r="N252" s="1" t="s">
        <v>235</v>
      </c>
    </row>
    <row r="253" spans="1:14" x14ac:dyDescent="0.25">
      <c r="A253" s="1" t="s">
        <v>331</v>
      </c>
      <c r="B253" s="1" t="s">
        <v>154</v>
      </c>
      <c r="C253" s="1" t="s">
        <v>82</v>
      </c>
      <c r="D253" s="2"/>
      <c r="E253" s="1" t="s">
        <v>207</v>
      </c>
      <c r="F253" s="1"/>
      <c r="G253" s="1" t="s">
        <v>35</v>
      </c>
      <c r="H253" s="2"/>
      <c r="I253">
        <v>1</v>
      </c>
      <c r="J253" s="1" t="s">
        <v>234</v>
      </c>
      <c r="K253" s="1" t="s">
        <v>1165</v>
      </c>
      <c r="L253">
        <v>5.0981645626443131</v>
      </c>
      <c r="M253" s="1" t="s">
        <v>234</v>
      </c>
      <c r="N253" s="1" t="s">
        <v>235</v>
      </c>
    </row>
    <row r="254" spans="1:14" x14ac:dyDescent="0.25">
      <c r="A254" s="1" t="s">
        <v>922</v>
      </c>
      <c r="B254" s="1" t="s">
        <v>154</v>
      </c>
      <c r="C254" s="1" t="s">
        <v>82</v>
      </c>
      <c r="D254" s="2"/>
      <c r="E254" s="1" t="s">
        <v>207</v>
      </c>
      <c r="F254" s="1"/>
      <c r="G254" s="1" t="s">
        <v>35</v>
      </c>
      <c r="H254" s="2"/>
      <c r="I254">
        <v>1</v>
      </c>
      <c r="J254" s="1" t="s">
        <v>234</v>
      </c>
      <c r="K254" s="1" t="s">
        <v>1165</v>
      </c>
      <c r="L254">
        <v>7.6273327055244735</v>
      </c>
      <c r="M254" s="1" t="s">
        <v>234</v>
      </c>
      <c r="N254" s="1" t="s">
        <v>235</v>
      </c>
    </row>
    <row r="255" spans="1:14" x14ac:dyDescent="0.25">
      <c r="A255" s="1" t="s">
        <v>332</v>
      </c>
      <c r="B255" s="1" t="s">
        <v>154</v>
      </c>
      <c r="C255" s="1" t="s">
        <v>82</v>
      </c>
      <c r="D255" s="2"/>
      <c r="E255" s="1" t="s">
        <v>207</v>
      </c>
      <c r="F255" s="1"/>
      <c r="G255" s="1" t="s">
        <v>35</v>
      </c>
      <c r="H255" s="2"/>
      <c r="I255">
        <v>1</v>
      </c>
      <c r="J255" s="1" t="s">
        <v>234</v>
      </c>
      <c r="K255" s="1" t="s">
        <v>1165</v>
      </c>
      <c r="L255">
        <v>5.0981645624571623</v>
      </c>
      <c r="M255" s="1" t="s">
        <v>234</v>
      </c>
      <c r="N255" s="1" t="s">
        <v>235</v>
      </c>
    </row>
    <row r="256" spans="1:14" x14ac:dyDescent="0.25">
      <c r="A256" s="1" t="s">
        <v>333</v>
      </c>
      <c r="B256" s="1" t="s">
        <v>154</v>
      </c>
      <c r="C256" s="1" t="s">
        <v>82</v>
      </c>
      <c r="D256" s="2"/>
      <c r="E256" s="1" t="s">
        <v>207</v>
      </c>
      <c r="F256" s="1"/>
      <c r="G256" s="1" t="s">
        <v>35</v>
      </c>
      <c r="H256" s="2"/>
      <c r="I256">
        <v>1</v>
      </c>
      <c r="J256" s="1" t="s">
        <v>234</v>
      </c>
      <c r="K256" s="1" t="s">
        <v>1165</v>
      </c>
      <c r="L256">
        <v>5.9384680575307822</v>
      </c>
      <c r="M256" s="1" t="s">
        <v>234</v>
      </c>
      <c r="N256" s="1" t="s">
        <v>235</v>
      </c>
    </row>
    <row r="257" spans="1:14" x14ac:dyDescent="0.25">
      <c r="A257" s="1" t="s">
        <v>1290</v>
      </c>
      <c r="B257" s="1" t="s">
        <v>154</v>
      </c>
      <c r="C257" s="1" t="s">
        <v>82</v>
      </c>
      <c r="D257" s="2"/>
      <c r="E257" s="1" t="s">
        <v>207</v>
      </c>
      <c r="F257" s="1"/>
      <c r="G257" s="1" t="s">
        <v>35</v>
      </c>
      <c r="H257" s="2"/>
      <c r="I257">
        <v>1</v>
      </c>
      <c r="J257" s="1" t="s">
        <v>234</v>
      </c>
      <c r="K257" s="1" t="s">
        <v>1165</v>
      </c>
      <c r="L257">
        <v>5.098164562644028</v>
      </c>
      <c r="M257" s="1" t="s">
        <v>234</v>
      </c>
      <c r="N257" s="1" t="s">
        <v>235</v>
      </c>
    </row>
    <row r="258" spans="1:14" x14ac:dyDescent="0.25">
      <c r="A258" s="1" t="s">
        <v>315</v>
      </c>
      <c r="B258" s="1" t="s">
        <v>154</v>
      </c>
      <c r="C258" s="1" t="s">
        <v>82</v>
      </c>
      <c r="D258" s="2"/>
      <c r="E258" s="1" t="s">
        <v>207</v>
      </c>
      <c r="F258" s="1"/>
      <c r="G258" s="1" t="s">
        <v>35</v>
      </c>
      <c r="H258" s="2"/>
      <c r="I258">
        <v>1</v>
      </c>
      <c r="J258" s="1" t="s">
        <v>234</v>
      </c>
      <c r="K258" s="1" t="s">
        <v>1165</v>
      </c>
      <c r="L258">
        <v>7.597110812508256</v>
      </c>
      <c r="M258" s="1" t="s">
        <v>234</v>
      </c>
      <c r="N258" s="1" t="s">
        <v>235</v>
      </c>
    </row>
    <row r="259" spans="1:14" x14ac:dyDescent="0.25">
      <c r="A259" s="1" t="s">
        <v>316</v>
      </c>
      <c r="B259" s="1" t="s">
        <v>154</v>
      </c>
      <c r="C259" s="1" t="s">
        <v>82</v>
      </c>
      <c r="D259" s="2"/>
      <c r="E259" s="1" t="s">
        <v>207</v>
      </c>
      <c r="F259" s="1"/>
      <c r="G259" s="1" t="s">
        <v>35</v>
      </c>
      <c r="H259" s="2"/>
      <c r="I259">
        <v>1</v>
      </c>
      <c r="J259" s="1" t="s">
        <v>234</v>
      </c>
      <c r="K259" s="1" t="s">
        <v>1165</v>
      </c>
      <c r="L259">
        <v>5.098165984079464</v>
      </c>
      <c r="M259" s="1" t="s">
        <v>234</v>
      </c>
      <c r="N259" s="1" t="s">
        <v>235</v>
      </c>
    </row>
    <row r="260" spans="1:14" x14ac:dyDescent="0.25">
      <c r="A260" s="1" t="s">
        <v>368</v>
      </c>
      <c r="B260" s="1" t="s">
        <v>154</v>
      </c>
      <c r="C260" s="1" t="s">
        <v>82</v>
      </c>
      <c r="D260" s="2"/>
      <c r="E260" s="1" t="s">
        <v>207</v>
      </c>
      <c r="F260" s="1"/>
      <c r="G260" s="1" t="s">
        <v>35</v>
      </c>
      <c r="H260" s="2"/>
      <c r="I260">
        <v>1</v>
      </c>
      <c r="J260" s="1" t="s">
        <v>234</v>
      </c>
      <c r="K260" s="1" t="s">
        <v>1165</v>
      </c>
      <c r="L260">
        <v>5.9375455763289198</v>
      </c>
      <c r="M260" s="1" t="s">
        <v>234</v>
      </c>
      <c r="N260" s="1" t="s">
        <v>235</v>
      </c>
    </row>
    <row r="261" spans="1:14" x14ac:dyDescent="0.25">
      <c r="A261" s="1" t="s">
        <v>317</v>
      </c>
      <c r="B261" s="1" t="s">
        <v>154</v>
      </c>
      <c r="C261" s="1" t="s">
        <v>82</v>
      </c>
      <c r="D261" s="2"/>
      <c r="E261" s="1" t="s">
        <v>207</v>
      </c>
      <c r="F261" s="1"/>
      <c r="G261" s="1" t="s">
        <v>35</v>
      </c>
      <c r="H261" s="2"/>
      <c r="I261">
        <v>1</v>
      </c>
      <c r="J261" s="1" t="s">
        <v>234</v>
      </c>
      <c r="K261" s="1" t="s">
        <v>1165</v>
      </c>
      <c r="L261">
        <v>3.8406289565285672</v>
      </c>
      <c r="M261" s="1" t="s">
        <v>234</v>
      </c>
      <c r="N261" s="1" t="s">
        <v>235</v>
      </c>
    </row>
    <row r="262" spans="1:14" x14ac:dyDescent="0.25">
      <c r="A262" s="1" t="s">
        <v>350</v>
      </c>
      <c r="B262" s="1" t="s">
        <v>154</v>
      </c>
      <c r="C262" s="1" t="s">
        <v>82</v>
      </c>
      <c r="D262" s="2"/>
      <c r="E262" s="1" t="s">
        <v>207</v>
      </c>
      <c r="F262" s="1"/>
      <c r="G262" s="1" t="s">
        <v>35</v>
      </c>
      <c r="H262" s="2"/>
      <c r="I262">
        <v>1</v>
      </c>
      <c r="J262" s="1" t="s">
        <v>234</v>
      </c>
      <c r="K262" s="1" t="s">
        <v>1165</v>
      </c>
      <c r="L262">
        <v>4.1189270460209091</v>
      </c>
      <c r="M262" s="1" t="s">
        <v>234</v>
      </c>
      <c r="N262" s="1" t="s">
        <v>235</v>
      </c>
    </row>
    <row r="263" spans="1:14" x14ac:dyDescent="0.25">
      <c r="A263" s="1" t="s">
        <v>351</v>
      </c>
      <c r="B263" s="1" t="s">
        <v>154</v>
      </c>
      <c r="C263" s="1" t="s">
        <v>82</v>
      </c>
      <c r="D263" s="2"/>
      <c r="E263" s="1" t="s">
        <v>207</v>
      </c>
      <c r="F263" s="1"/>
      <c r="G263" s="1" t="s">
        <v>35</v>
      </c>
      <c r="H263" s="2"/>
      <c r="I263">
        <v>1</v>
      </c>
      <c r="J263" s="1" t="s">
        <v>234</v>
      </c>
      <c r="K263" s="1" t="s">
        <v>1165</v>
      </c>
      <c r="L263">
        <v>5.0981645626443131</v>
      </c>
      <c r="M263" s="1" t="s">
        <v>234</v>
      </c>
      <c r="N263" s="1" t="s">
        <v>235</v>
      </c>
    </row>
    <row r="264" spans="1:14" x14ac:dyDescent="0.25">
      <c r="A264" s="1" t="s">
        <v>449</v>
      </c>
      <c r="B264" s="1" t="s">
        <v>154</v>
      </c>
      <c r="C264" s="1" t="s">
        <v>82</v>
      </c>
      <c r="D264" s="2"/>
      <c r="E264" s="1" t="s">
        <v>207</v>
      </c>
      <c r="F264" s="1"/>
      <c r="G264" s="1" t="s">
        <v>35</v>
      </c>
      <c r="H264" s="2"/>
      <c r="I264">
        <v>1</v>
      </c>
      <c r="J264" s="1" t="s">
        <v>234</v>
      </c>
      <c r="K264" s="1" t="s">
        <v>1165</v>
      </c>
      <c r="L264">
        <v>7.6273327055244735</v>
      </c>
      <c r="M264" s="1" t="s">
        <v>234</v>
      </c>
      <c r="N264" s="1" t="s">
        <v>235</v>
      </c>
    </row>
    <row r="265" spans="1:14" x14ac:dyDescent="0.25">
      <c r="A265" s="1" t="s">
        <v>450</v>
      </c>
      <c r="B265" s="1" t="s">
        <v>154</v>
      </c>
      <c r="C265" s="1" t="s">
        <v>82</v>
      </c>
      <c r="D265" s="2"/>
      <c r="E265" s="1" t="s">
        <v>207</v>
      </c>
      <c r="F265" s="1"/>
      <c r="G265" s="1" t="s">
        <v>35</v>
      </c>
      <c r="H265" s="2"/>
      <c r="I265">
        <v>1</v>
      </c>
      <c r="J265" s="1" t="s">
        <v>234</v>
      </c>
      <c r="K265" s="1" t="s">
        <v>1165</v>
      </c>
      <c r="L265">
        <v>5.0981645624571623</v>
      </c>
      <c r="M265" s="1" t="s">
        <v>234</v>
      </c>
      <c r="N265" s="1" t="s">
        <v>235</v>
      </c>
    </row>
    <row r="266" spans="1:14" x14ac:dyDescent="0.25">
      <c r="A266" s="1" t="s">
        <v>425</v>
      </c>
      <c r="B266" s="1" t="s">
        <v>154</v>
      </c>
      <c r="C266" s="1" t="s">
        <v>82</v>
      </c>
      <c r="D266" s="2"/>
      <c r="E266" s="1" t="s">
        <v>207</v>
      </c>
      <c r="F266" s="1"/>
      <c r="G266" s="1" t="s">
        <v>35</v>
      </c>
      <c r="H266" s="2"/>
      <c r="I266">
        <v>1</v>
      </c>
      <c r="J266" s="1" t="s">
        <v>234</v>
      </c>
      <c r="K266" s="1" t="s">
        <v>1165</v>
      </c>
      <c r="L266">
        <v>5.9384680575307822</v>
      </c>
      <c r="M266" s="1" t="s">
        <v>234</v>
      </c>
      <c r="N266" s="1" t="s">
        <v>235</v>
      </c>
    </row>
    <row r="267" spans="1:14" x14ac:dyDescent="0.25">
      <c r="A267" s="1" t="s">
        <v>435</v>
      </c>
      <c r="B267" s="1" t="s">
        <v>154</v>
      </c>
      <c r="C267" s="1" t="s">
        <v>82</v>
      </c>
      <c r="D267" s="2"/>
      <c r="E267" s="1" t="s">
        <v>207</v>
      </c>
      <c r="F267" s="1"/>
      <c r="G267" s="1" t="s">
        <v>35</v>
      </c>
      <c r="H267" s="2"/>
      <c r="I267">
        <v>1</v>
      </c>
      <c r="J267" s="1" t="s">
        <v>234</v>
      </c>
      <c r="K267" s="1" t="s">
        <v>1165</v>
      </c>
      <c r="L267">
        <v>5.098164562644028</v>
      </c>
      <c r="M267" s="1" t="s">
        <v>234</v>
      </c>
      <c r="N267" s="1" t="s">
        <v>235</v>
      </c>
    </row>
    <row r="268" spans="1:14" x14ac:dyDescent="0.25">
      <c r="A268" s="1" t="s">
        <v>436</v>
      </c>
      <c r="B268" s="1" t="s">
        <v>154</v>
      </c>
      <c r="C268" s="1" t="s">
        <v>82</v>
      </c>
      <c r="D268" s="2"/>
      <c r="E268" s="1" t="s">
        <v>207</v>
      </c>
      <c r="F268" s="1"/>
      <c r="G268" s="1" t="s">
        <v>35</v>
      </c>
      <c r="H268" s="2"/>
      <c r="I268">
        <v>1</v>
      </c>
      <c r="J268" s="1" t="s">
        <v>234</v>
      </c>
      <c r="K268" s="1" t="s">
        <v>1165</v>
      </c>
      <c r="L268">
        <v>7.597110812508256</v>
      </c>
      <c r="M268" s="1" t="s">
        <v>234</v>
      </c>
      <c r="N268" s="1" t="s">
        <v>235</v>
      </c>
    </row>
    <row r="269" spans="1:14" x14ac:dyDescent="0.25">
      <c r="A269" s="1" t="s">
        <v>966</v>
      </c>
      <c r="B269" s="1" t="s">
        <v>154</v>
      </c>
      <c r="C269" s="1" t="s">
        <v>82</v>
      </c>
      <c r="D269" s="2"/>
      <c r="E269" s="1" t="s">
        <v>207</v>
      </c>
      <c r="F269" s="1"/>
      <c r="G269" s="1" t="s">
        <v>35</v>
      </c>
      <c r="H269" s="2"/>
      <c r="I269">
        <v>1</v>
      </c>
      <c r="J269" s="1" t="s">
        <v>234</v>
      </c>
      <c r="K269" s="1" t="s">
        <v>1165</v>
      </c>
      <c r="L269">
        <v>5.098165984079464</v>
      </c>
      <c r="M269" s="1" t="s">
        <v>234</v>
      </c>
      <c r="N269" s="1" t="s">
        <v>235</v>
      </c>
    </row>
    <row r="270" spans="1:14" x14ac:dyDescent="0.25">
      <c r="A270" s="1" t="s">
        <v>946</v>
      </c>
      <c r="B270" s="1" t="s">
        <v>154</v>
      </c>
      <c r="C270" s="1" t="s">
        <v>82</v>
      </c>
      <c r="D270" s="2"/>
      <c r="E270" s="1" t="s">
        <v>207</v>
      </c>
      <c r="F270" s="1"/>
      <c r="G270" s="1" t="s">
        <v>35</v>
      </c>
      <c r="H270" s="2"/>
      <c r="I270">
        <v>1</v>
      </c>
      <c r="J270" s="1" t="s">
        <v>234</v>
      </c>
      <c r="K270" s="1" t="s">
        <v>1165</v>
      </c>
      <c r="L270">
        <v>5.9375455763289198</v>
      </c>
      <c r="M270" s="1" t="s">
        <v>234</v>
      </c>
      <c r="N270" s="1" t="s">
        <v>235</v>
      </c>
    </row>
    <row r="271" spans="1:14" x14ac:dyDescent="0.25">
      <c r="A271" s="1" t="s">
        <v>965</v>
      </c>
      <c r="B271" s="1" t="s">
        <v>154</v>
      </c>
      <c r="C271" s="1" t="s">
        <v>82</v>
      </c>
      <c r="D271" s="2"/>
      <c r="E271" s="1" t="s">
        <v>207</v>
      </c>
      <c r="F271" s="1"/>
      <c r="G271" s="1" t="s">
        <v>35</v>
      </c>
      <c r="H271" s="2"/>
      <c r="I271">
        <v>1</v>
      </c>
      <c r="J271" s="1" t="s">
        <v>234</v>
      </c>
      <c r="K271" s="1" t="s">
        <v>1165</v>
      </c>
      <c r="L271">
        <v>3.8406289565285672</v>
      </c>
      <c r="M271" s="1" t="s">
        <v>234</v>
      </c>
      <c r="N271" s="1" t="s">
        <v>235</v>
      </c>
    </row>
    <row r="272" spans="1:14" x14ac:dyDescent="0.25">
      <c r="A272" s="1" t="s">
        <v>964</v>
      </c>
      <c r="B272" s="1" t="s">
        <v>154</v>
      </c>
      <c r="C272" s="1" t="s">
        <v>82</v>
      </c>
      <c r="D272" s="2"/>
      <c r="E272" s="1" t="s">
        <v>207</v>
      </c>
      <c r="F272" s="1"/>
      <c r="G272" s="1" t="s">
        <v>35</v>
      </c>
      <c r="H272" s="2"/>
      <c r="I272">
        <v>1</v>
      </c>
      <c r="J272" s="1" t="s">
        <v>234</v>
      </c>
      <c r="K272" s="1" t="s">
        <v>1165</v>
      </c>
      <c r="L272">
        <v>4.1189270460209091</v>
      </c>
      <c r="M272" s="1" t="s">
        <v>234</v>
      </c>
      <c r="N272" s="1" t="s">
        <v>235</v>
      </c>
    </row>
    <row r="273" spans="1:14" x14ac:dyDescent="0.25">
      <c r="A273" s="1" t="s">
        <v>970</v>
      </c>
      <c r="B273" s="1" t="s">
        <v>154</v>
      </c>
      <c r="C273" s="1" t="s">
        <v>82</v>
      </c>
      <c r="D273" s="2"/>
      <c r="E273" s="1" t="s">
        <v>207</v>
      </c>
      <c r="F273" s="1"/>
      <c r="G273" s="1" t="s">
        <v>35</v>
      </c>
      <c r="H273" s="2"/>
      <c r="I273">
        <v>1</v>
      </c>
      <c r="J273" s="1" t="s">
        <v>234</v>
      </c>
      <c r="K273" s="1" t="s">
        <v>1165</v>
      </c>
      <c r="L273">
        <v>4.9368831072654382</v>
      </c>
      <c r="M273" s="1" t="s">
        <v>234</v>
      </c>
      <c r="N273" s="1" t="s">
        <v>235</v>
      </c>
    </row>
    <row r="274" spans="1:14" x14ac:dyDescent="0.25">
      <c r="A274" s="1" t="s">
        <v>951</v>
      </c>
      <c r="B274" s="1" t="s">
        <v>154</v>
      </c>
      <c r="C274" s="1" t="s">
        <v>82</v>
      </c>
      <c r="D274" s="2"/>
      <c r="E274" s="1" t="s">
        <v>207</v>
      </c>
      <c r="F274" s="1"/>
      <c r="G274" s="1" t="s">
        <v>35</v>
      </c>
      <c r="H274" s="2"/>
      <c r="I274">
        <v>1</v>
      </c>
      <c r="J274" s="1" t="s">
        <v>234</v>
      </c>
      <c r="K274" s="1" t="s">
        <v>1165</v>
      </c>
      <c r="L274">
        <v>5.7587072731289011</v>
      </c>
      <c r="M274" s="1" t="s">
        <v>234</v>
      </c>
      <c r="N274" s="1" t="s">
        <v>235</v>
      </c>
    </row>
    <row r="275" spans="1:14" x14ac:dyDescent="0.25">
      <c r="A275" s="1" t="s">
        <v>488</v>
      </c>
      <c r="B275" s="1" t="s">
        <v>154</v>
      </c>
      <c r="C275" s="1" t="s">
        <v>82</v>
      </c>
      <c r="D275" s="2"/>
      <c r="E275" s="1" t="s">
        <v>207</v>
      </c>
      <c r="F275" s="1"/>
      <c r="G275" s="1" t="s">
        <v>35</v>
      </c>
      <c r="H275" s="2"/>
      <c r="I275">
        <v>1</v>
      </c>
      <c r="J275" s="1" t="s">
        <v>234</v>
      </c>
      <c r="K275" s="1" t="s">
        <v>1165</v>
      </c>
      <c r="L275">
        <v>5.0981645626443131</v>
      </c>
      <c r="M275" s="1" t="s">
        <v>234</v>
      </c>
      <c r="N275" s="1" t="s">
        <v>235</v>
      </c>
    </row>
    <row r="276" spans="1:14" x14ac:dyDescent="0.25">
      <c r="A276" s="1" t="s">
        <v>969</v>
      </c>
      <c r="B276" s="1" t="s">
        <v>154</v>
      </c>
      <c r="C276" s="1" t="s">
        <v>82</v>
      </c>
      <c r="D276" s="2"/>
      <c r="E276" s="1" t="s">
        <v>207</v>
      </c>
      <c r="F276" s="1"/>
      <c r="G276" s="1" t="s">
        <v>35</v>
      </c>
      <c r="H276" s="2"/>
      <c r="I276">
        <v>1</v>
      </c>
      <c r="J276" s="1" t="s">
        <v>234</v>
      </c>
      <c r="K276" s="1" t="s">
        <v>1165</v>
      </c>
      <c r="L276">
        <v>7.6273327055244735</v>
      </c>
      <c r="M276" s="1" t="s">
        <v>234</v>
      </c>
      <c r="N276" s="1" t="s">
        <v>235</v>
      </c>
    </row>
    <row r="277" spans="1:14" x14ac:dyDescent="0.25">
      <c r="A277" s="1" t="s">
        <v>490</v>
      </c>
      <c r="B277" s="1" t="s">
        <v>154</v>
      </c>
      <c r="C277" s="1" t="s">
        <v>82</v>
      </c>
      <c r="D277" s="2"/>
      <c r="E277" s="1" t="s">
        <v>207</v>
      </c>
      <c r="F277" s="1"/>
      <c r="G277" s="1" t="s">
        <v>35</v>
      </c>
      <c r="H277" s="2"/>
      <c r="I277">
        <v>1</v>
      </c>
      <c r="J277" s="1" t="s">
        <v>234</v>
      </c>
      <c r="K277" s="1" t="s">
        <v>1165</v>
      </c>
      <c r="L277">
        <v>5.0981645624571623</v>
      </c>
      <c r="M277" s="1" t="s">
        <v>234</v>
      </c>
      <c r="N277" s="1" t="s">
        <v>235</v>
      </c>
    </row>
    <row r="278" spans="1:14" x14ac:dyDescent="0.25">
      <c r="A278" s="1" t="s">
        <v>489</v>
      </c>
      <c r="B278" s="1" t="s">
        <v>154</v>
      </c>
      <c r="C278" s="1" t="s">
        <v>82</v>
      </c>
      <c r="D278" s="2"/>
      <c r="E278" s="1" t="s">
        <v>207</v>
      </c>
      <c r="F278" s="1"/>
      <c r="G278" s="1" t="s">
        <v>35</v>
      </c>
      <c r="H278" s="2"/>
      <c r="I278">
        <v>1</v>
      </c>
      <c r="J278" s="1" t="s">
        <v>234</v>
      </c>
      <c r="K278" s="1" t="s">
        <v>1165</v>
      </c>
      <c r="L278">
        <v>5.9384680575307822</v>
      </c>
      <c r="M278" s="1" t="s">
        <v>234</v>
      </c>
      <c r="N278" s="1" t="s">
        <v>235</v>
      </c>
    </row>
    <row r="279" spans="1:14" x14ac:dyDescent="0.25">
      <c r="A279" s="1" t="s">
        <v>947</v>
      </c>
      <c r="B279" s="1" t="s">
        <v>154</v>
      </c>
      <c r="C279" s="1" t="s">
        <v>82</v>
      </c>
      <c r="D279" s="2"/>
      <c r="E279" s="1" t="s">
        <v>207</v>
      </c>
      <c r="F279" s="1"/>
      <c r="G279" s="1" t="s">
        <v>35</v>
      </c>
      <c r="H279" s="2"/>
      <c r="I279">
        <v>1</v>
      </c>
      <c r="J279" s="1" t="s">
        <v>234</v>
      </c>
      <c r="K279" s="1" t="s">
        <v>1165</v>
      </c>
      <c r="L279">
        <v>5.098164562644028</v>
      </c>
      <c r="M279" s="1" t="s">
        <v>234</v>
      </c>
      <c r="N279" s="1" t="s">
        <v>235</v>
      </c>
    </row>
    <row r="280" spans="1:14" x14ac:dyDescent="0.25">
      <c r="A280" s="1" t="s">
        <v>957</v>
      </c>
      <c r="B280" s="1" t="s">
        <v>154</v>
      </c>
      <c r="C280" s="1" t="s">
        <v>82</v>
      </c>
      <c r="D280" s="2"/>
      <c r="E280" s="1" t="s">
        <v>207</v>
      </c>
      <c r="F280" s="1"/>
      <c r="G280" s="1" t="s">
        <v>35</v>
      </c>
      <c r="H280" s="2"/>
      <c r="I280">
        <v>1</v>
      </c>
      <c r="J280" s="1" t="s">
        <v>234</v>
      </c>
      <c r="K280" s="1" t="s">
        <v>1165</v>
      </c>
      <c r="L280">
        <v>7.597110812508256</v>
      </c>
      <c r="M280" s="1" t="s">
        <v>234</v>
      </c>
      <c r="N280" s="1" t="s">
        <v>235</v>
      </c>
    </row>
    <row r="281" spans="1:14" x14ac:dyDescent="0.25">
      <c r="A281" s="1" t="s">
        <v>948</v>
      </c>
      <c r="B281" s="1" t="s">
        <v>154</v>
      </c>
      <c r="C281" s="1" t="s">
        <v>82</v>
      </c>
      <c r="D281" s="2"/>
      <c r="E281" s="1" t="s">
        <v>207</v>
      </c>
      <c r="F281" s="1"/>
      <c r="G281" s="1" t="s">
        <v>35</v>
      </c>
      <c r="H281" s="2"/>
      <c r="I281">
        <v>1</v>
      </c>
      <c r="J281" s="1" t="s">
        <v>234</v>
      </c>
      <c r="K281" s="1" t="s">
        <v>1165</v>
      </c>
      <c r="L281">
        <v>5.098165984079464</v>
      </c>
      <c r="M281" s="1" t="s">
        <v>234</v>
      </c>
      <c r="N281" s="1" t="s">
        <v>235</v>
      </c>
    </row>
    <row r="282" spans="1:14" x14ac:dyDescent="0.25">
      <c r="A282" s="1" t="s">
        <v>958</v>
      </c>
      <c r="B282" s="1" t="s">
        <v>154</v>
      </c>
      <c r="C282" s="1" t="s">
        <v>82</v>
      </c>
      <c r="D282" s="2"/>
      <c r="E282" s="1" t="s">
        <v>207</v>
      </c>
      <c r="F282" s="1"/>
      <c r="G282" s="1" t="s">
        <v>35</v>
      </c>
      <c r="H282" s="2"/>
      <c r="I282">
        <v>1</v>
      </c>
      <c r="J282" s="1" t="s">
        <v>234</v>
      </c>
      <c r="K282" s="1" t="s">
        <v>1165</v>
      </c>
      <c r="L282">
        <v>5.9375455763289198</v>
      </c>
      <c r="M282" s="1" t="s">
        <v>234</v>
      </c>
      <c r="N282" s="1" t="s">
        <v>235</v>
      </c>
    </row>
    <row r="283" spans="1:14" x14ac:dyDescent="0.25">
      <c r="A283" s="1" t="s">
        <v>448</v>
      </c>
      <c r="B283" s="1" t="s">
        <v>154</v>
      </c>
      <c r="C283" s="1" t="s">
        <v>82</v>
      </c>
      <c r="D283" s="2"/>
      <c r="E283" s="1" t="s">
        <v>207</v>
      </c>
      <c r="F283" s="1"/>
      <c r="G283" s="1" t="s">
        <v>35</v>
      </c>
      <c r="H283" s="2"/>
      <c r="I283">
        <v>1</v>
      </c>
      <c r="J283" s="1" t="s">
        <v>234</v>
      </c>
      <c r="K283" s="1" t="s">
        <v>1165</v>
      </c>
      <c r="L283">
        <v>3.8406289565285672</v>
      </c>
      <c r="M283" s="1" t="s">
        <v>234</v>
      </c>
      <c r="N283" s="1" t="s">
        <v>235</v>
      </c>
    </row>
    <row r="284" spans="1:14" x14ac:dyDescent="0.25">
      <c r="A284" s="1" t="s">
        <v>424</v>
      </c>
      <c r="B284" s="1" t="s">
        <v>154</v>
      </c>
      <c r="C284" s="1" t="s">
        <v>82</v>
      </c>
      <c r="D284" s="2"/>
      <c r="E284" s="1" t="s">
        <v>207</v>
      </c>
      <c r="F284" s="1"/>
      <c r="G284" s="1" t="s">
        <v>35</v>
      </c>
      <c r="H284" s="2"/>
      <c r="I284">
        <v>1</v>
      </c>
      <c r="J284" s="1" t="s">
        <v>234</v>
      </c>
      <c r="K284" s="1" t="s">
        <v>1165</v>
      </c>
      <c r="L284">
        <v>4.1189270460209091</v>
      </c>
      <c r="M284" s="1" t="s">
        <v>234</v>
      </c>
      <c r="N284" s="1" t="s">
        <v>235</v>
      </c>
    </row>
    <row r="285" spans="1:14" x14ac:dyDescent="0.25">
      <c r="A285" s="1" t="s">
        <v>935</v>
      </c>
      <c r="B285" s="1" t="s">
        <v>154</v>
      </c>
      <c r="C285" s="1" t="s">
        <v>80</v>
      </c>
      <c r="D285" s="2"/>
      <c r="E285" s="1" t="s">
        <v>207</v>
      </c>
      <c r="F285" s="1"/>
      <c r="G285" s="1" t="s">
        <v>35</v>
      </c>
      <c r="H285" s="2"/>
      <c r="I285">
        <v>1</v>
      </c>
      <c r="J285" s="1" t="s">
        <v>234</v>
      </c>
      <c r="K285" s="1" t="s">
        <v>1165</v>
      </c>
      <c r="L285">
        <v>5.4001635046641185</v>
      </c>
      <c r="M285" s="1" t="s">
        <v>234</v>
      </c>
      <c r="N285" s="1" t="s">
        <v>235</v>
      </c>
    </row>
    <row r="286" spans="1:14" x14ac:dyDescent="0.25">
      <c r="A286" s="1" t="s">
        <v>486</v>
      </c>
      <c r="B286" s="1" t="s">
        <v>154</v>
      </c>
      <c r="C286" s="1" t="s">
        <v>80</v>
      </c>
      <c r="D286" s="2"/>
      <c r="E286" s="1" t="s">
        <v>207</v>
      </c>
      <c r="F286" s="1"/>
      <c r="G286" s="1" t="s">
        <v>35</v>
      </c>
      <c r="H286" s="2"/>
      <c r="I286">
        <v>1</v>
      </c>
      <c r="J286" s="1" t="s">
        <v>234</v>
      </c>
      <c r="K286" s="1" t="s">
        <v>1165</v>
      </c>
      <c r="L286">
        <v>5.9343071339227036</v>
      </c>
      <c r="M286" s="1" t="s">
        <v>234</v>
      </c>
      <c r="N286" s="1" t="s">
        <v>235</v>
      </c>
    </row>
    <row r="287" spans="1:14" x14ac:dyDescent="0.25">
      <c r="A287" s="1" t="s">
        <v>485</v>
      </c>
      <c r="B287" s="1" t="s">
        <v>154</v>
      </c>
      <c r="C287" s="1" t="s">
        <v>80</v>
      </c>
      <c r="D287" s="2"/>
      <c r="E287" s="1" t="s">
        <v>207</v>
      </c>
      <c r="F287" s="1"/>
      <c r="G287" s="1" t="s">
        <v>35</v>
      </c>
      <c r="H287" s="2"/>
      <c r="I287">
        <v>1</v>
      </c>
      <c r="J287" s="1" t="s">
        <v>234</v>
      </c>
      <c r="K287" s="1" t="s">
        <v>1165</v>
      </c>
      <c r="L287">
        <v>5.391081536294597</v>
      </c>
      <c r="M287" s="1" t="s">
        <v>234</v>
      </c>
      <c r="N287" s="1" t="s">
        <v>235</v>
      </c>
    </row>
    <row r="288" spans="1:14" x14ac:dyDescent="0.25">
      <c r="A288" s="1" t="s">
        <v>484</v>
      </c>
      <c r="B288" s="1" t="s">
        <v>154</v>
      </c>
      <c r="C288" s="1" t="s">
        <v>80</v>
      </c>
      <c r="D288" s="2"/>
      <c r="E288" s="1" t="s">
        <v>207</v>
      </c>
      <c r="F288" s="1"/>
      <c r="G288" s="1" t="s">
        <v>35</v>
      </c>
      <c r="H288" s="2"/>
      <c r="I288">
        <v>1</v>
      </c>
      <c r="J288" s="1" t="s">
        <v>234</v>
      </c>
      <c r="K288" s="1" t="s">
        <v>1165</v>
      </c>
      <c r="L288">
        <v>7.1685079749788407</v>
      </c>
      <c r="M288" s="1" t="s">
        <v>234</v>
      </c>
      <c r="N288" s="1" t="s">
        <v>235</v>
      </c>
    </row>
    <row r="289" spans="1:14" x14ac:dyDescent="0.25">
      <c r="A289" s="1" t="s">
        <v>483</v>
      </c>
      <c r="B289" s="1" t="s">
        <v>154</v>
      </c>
      <c r="C289" s="1" t="s">
        <v>80</v>
      </c>
      <c r="D289" s="2"/>
      <c r="E289" s="1" t="s">
        <v>207</v>
      </c>
      <c r="F289" s="1"/>
      <c r="G289" s="1" t="s">
        <v>35</v>
      </c>
      <c r="H289" s="2"/>
      <c r="I289">
        <v>1</v>
      </c>
      <c r="J289" s="1" t="s">
        <v>234</v>
      </c>
      <c r="K289" s="1" t="s">
        <v>1165</v>
      </c>
      <c r="L289">
        <v>5.556005810648954</v>
      </c>
      <c r="M289" s="1" t="s">
        <v>234</v>
      </c>
      <c r="N289" s="1" t="s">
        <v>235</v>
      </c>
    </row>
    <row r="290" spans="1:14" x14ac:dyDescent="0.25">
      <c r="A290" s="1" t="s">
        <v>949</v>
      </c>
      <c r="B290" s="1" t="s">
        <v>154</v>
      </c>
      <c r="C290" s="1" t="s">
        <v>80</v>
      </c>
      <c r="D290" s="2"/>
      <c r="E290" s="1" t="s">
        <v>207</v>
      </c>
      <c r="F290" s="1"/>
      <c r="G290" s="1" t="s">
        <v>35</v>
      </c>
      <c r="H290" s="2"/>
      <c r="I290">
        <v>1</v>
      </c>
      <c r="J290" s="1" t="s">
        <v>234</v>
      </c>
      <c r="K290" s="1" t="s">
        <v>1165</v>
      </c>
      <c r="L290">
        <v>5.5443521028888076</v>
      </c>
      <c r="M290" s="1" t="s">
        <v>234</v>
      </c>
      <c r="N290" s="1" t="s">
        <v>235</v>
      </c>
    </row>
    <row r="291" spans="1:14" x14ac:dyDescent="0.25">
      <c r="A291" s="1" t="s">
        <v>933</v>
      </c>
      <c r="B291" s="1" t="s">
        <v>154</v>
      </c>
      <c r="C291" s="1" t="s">
        <v>80</v>
      </c>
      <c r="D291" s="2"/>
      <c r="E291" s="1" t="s">
        <v>207</v>
      </c>
      <c r="F291" s="1"/>
      <c r="G291" s="1" t="s">
        <v>35</v>
      </c>
      <c r="H291" s="2"/>
      <c r="I291">
        <v>1</v>
      </c>
      <c r="J291" s="1" t="s">
        <v>234</v>
      </c>
      <c r="K291" s="1" t="s">
        <v>1165</v>
      </c>
      <c r="L291">
        <v>7.0346290443482342</v>
      </c>
      <c r="M291" s="1" t="s">
        <v>234</v>
      </c>
      <c r="N291" s="1" t="s">
        <v>235</v>
      </c>
    </row>
    <row r="292" spans="1:14" x14ac:dyDescent="0.25">
      <c r="A292" s="1" t="s">
        <v>950</v>
      </c>
      <c r="B292" s="1" t="s">
        <v>154</v>
      </c>
      <c r="C292" s="1" t="s">
        <v>80</v>
      </c>
      <c r="D292" s="2"/>
      <c r="E292" s="1" t="s">
        <v>207</v>
      </c>
      <c r="F292" s="1"/>
      <c r="G292" s="1" t="s">
        <v>35</v>
      </c>
      <c r="H292" s="2"/>
      <c r="I292">
        <v>1</v>
      </c>
      <c r="J292" s="1" t="s">
        <v>234</v>
      </c>
      <c r="K292" s="1" t="s">
        <v>1165</v>
      </c>
      <c r="L292">
        <v>5.5491574798746246</v>
      </c>
      <c r="M292" s="1" t="s">
        <v>234</v>
      </c>
      <c r="N292" s="1" t="s">
        <v>235</v>
      </c>
    </row>
    <row r="293" spans="1:14" x14ac:dyDescent="0.25">
      <c r="A293" s="1" t="s">
        <v>967</v>
      </c>
      <c r="B293" s="1" t="s">
        <v>154</v>
      </c>
      <c r="C293" s="1" t="s">
        <v>80</v>
      </c>
      <c r="D293" s="2"/>
      <c r="E293" s="1" t="s">
        <v>207</v>
      </c>
      <c r="F293" s="1"/>
      <c r="G293" s="1" t="s">
        <v>35</v>
      </c>
      <c r="H293" s="2"/>
      <c r="I293">
        <v>1</v>
      </c>
      <c r="J293" s="1" t="s">
        <v>234</v>
      </c>
      <c r="K293" s="1" t="s">
        <v>1165</v>
      </c>
      <c r="L293">
        <v>5.9599925323719392</v>
      </c>
      <c r="M293" s="1" t="s">
        <v>234</v>
      </c>
      <c r="N293" s="1" t="s">
        <v>235</v>
      </c>
    </row>
    <row r="294" spans="1:14" x14ac:dyDescent="0.25">
      <c r="A294" s="1" t="s">
        <v>419</v>
      </c>
      <c r="B294" s="1" t="s">
        <v>154</v>
      </c>
      <c r="C294" s="1" t="s">
        <v>80</v>
      </c>
      <c r="D294" s="2"/>
      <c r="E294" s="1" t="s">
        <v>207</v>
      </c>
      <c r="F294" s="1"/>
      <c r="G294" s="1" t="s">
        <v>35</v>
      </c>
      <c r="H294" s="2"/>
      <c r="I294">
        <v>1</v>
      </c>
      <c r="J294" s="1" t="s">
        <v>234</v>
      </c>
      <c r="K294" s="1" t="s">
        <v>1165</v>
      </c>
      <c r="L294">
        <v>7.7638775451279667</v>
      </c>
      <c r="M294" s="1" t="s">
        <v>234</v>
      </c>
      <c r="N294" s="1" t="s">
        <v>235</v>
      </c>
    </row>
    <row r="295" spans="1:14" x14ac:dyDescent="0.25">
      <c r="A295" s="1" t="s">
        <v>971</v>
      </c>
      <c r="B295" s="1" t="s">
        <v>154</v>
      </c>
      <c r="C295" s="1" t="s">
        <v>80</v>
      </c>
      <c r="D295" s="2"/>
      <c r="E295" s="1" t="s">
        <v>207</v>
      </c>
      <c r="F295" s="1"/>
      <c r="G295" s="1" t="s">
        <v>35</v>
      </c>
      <c r="H295" s="2"/>
      <c r="I295">
        <v>1</v>
      </c>
      <c r="J295" s="1" t="s">
        <v>234</v>
      </c>
      <c r="K295" s="1" t="s">
        <v>1165</v>
      </c>
      <c r="L295">
        <v>5.4001635046699219</v>
      </c>
      <c r="M295" s="1" t="s">
        <v>234</v>
      </c>
      <c r="N295" s="1" t="s">
        <v>235</v>
      </c>
    </row>
    <row r="296" spans="1:14" x14ac:dyDescent="0.25">
      <c r="A296" s="1" t="s">
        <v>939</v>
      </c>
      <c r="B296" s="1" t="s">
        <v>154</v>
      </c>
      <c r="C296" s="1" t="s">
        <v>80</v>
      </c>
      <c r="D296" s="2"/>
      <c r="E296" s="1" t="s">
        <v>207</v>
      </c>
      <c r="F296" s="1"/>
      <c r="G296" s="1" t="s">
        <v>35</v>
      </c>
      <c r="H296" s="2"/>
      <c r="I296">
        <v>1</v>
      </c>
      <c r="J296" s="1" t="s">
        <v>234</v>
      </c>
      <c r="K296" s="1" t="s">
        <v>1165</v>
      </c>
      <c r="L296">
        <v>5.9343071339227036</v>
      </c>
      <c r="M296" s="1" t="s">
        <v>234</v>
      </c>
      <c r="N296" s="1" t="s">
        <v>235</v>
      </c>
    </row>
    <row r="297" spans="1:14" x14ac:dyDescent="0.25">
      <c r="A297" s="1" t="s">
        <v>972</v>
      </c>
      <c r="B297" s="1" t="s">
        <v>154</v>
      </c>
      <c r="C297" s="1" t="s">
        <v>80</v>
      </c>
      <c r="D297" s="2"/>
      <c r="E297" s="1" t="s">
        <v>207</v>
      </c>
      <c r="F297" s="1"/>
      <c r="G297" s="1" t="s">
        <v>35</v>
      </c>
      <c r="H297" s="2"/>
      <c r="I297">
        <v>1</v>
      </c>
      <c r="J297" s="1" t="s">
        <v>234</v>
      </c>
      <c r="K297" s="1" t="s">
        <v>1165</v>
      </c>
      <c r="L297">
        <v>5.3910815363509377</v>
      </c>
      <c r="M297" s="1" t="s">
        <v>234</v>
      </c>
      <c r="N297" s="1" t="s">
        <v>235</v>
      </c>
    </row>
    <row r="298" spans="1:14" x14ac:dyDescent="0.25">
      <c r="A298" s="1" t="s">
        <v>1287</v>
      </c>
      <c r="B298" s="1" t="s">
        <v>154</v>
      </c>
      <c r="C298" s="1" t="s">
        <v>80</v>
      </c>
      <c r="D298" s="2"/>
      <c r="E298" s="1" t="s">
        <v>207</v>
      </c>
      <c r="F298" s="1"/>
      <c r="G298" s="1" t="s">
        <v>35</v>
      </c>
      <c r="H298" s="2"/>
      <c r="I298">
        <v>1</v>
      </c>
      <c r="J298" s="1" t="s">
        <v>234</v>
      </c>
      <c r="K298" s="1" t="s">
        <v>1165</v>
      </c>
      <c r="L298">
        <v>7.1685079749788407</v>
      </c>
      <c r="M298" s="1" t="s">
        <v>234</v>
      </c>
      <c r="N298" s="1" t="s">
        <v>235</v>
      </c>
    </row>
    <row r="299" spans="1:14" x14ac:dyDescent="0.25">
      <c r="A299" s="1" t="s">
        <v>1284</v>
      </c>
      <c r="B299" s="1" t="s">
        <v>154</v>
      </c>
      <c r="C299" s="1" t="s">
        <v>80</v>
      </c>
      <c r="D299" s="2"/>
      <c r="E299" s="1" t="s">
        <v>207</v>
      </c>
      <c r="F299" s="1"/>
      <c r="G299" s="1" t="s">
        <v>35</v>
      </c>
      <c r="H299" s="2"/>
      <c r="I299">
        <v>1</v>
      </c>
      <c r="J299" s="1" t="s">
        <v>234</v>
      </c>
      <c r="K299" s="1" t="s">
        <v>1165</v>
      </c>
      <c r="L299">
        <v>5.556005810648954</v>
      </c>
      <c r="M299" s="1" t="s">
        <v>234</v>
      </c>
      <c r="N299" s="1" t="s">
        <v>235</v>
      </c>
    </row>
    <row r="300" spans="1:14" x14ac:dyDescent="0.25">
      <c r="A300" s="1" t="s">
        <v>917</v>
      </c>
      <c r="B300" s="1" t="s">
        <v>154</v>
      </c>
      <c r="C300" s="1" t="s">
        <v>80</v>
      </c>
      <c r="D300" s="2"/>
      <c r="E300" s="1" t="s">
        <v>207</v>
      </c>
      <c r="F300" s="1"/>
      <c r="G300" s="1" t="s">
        <v>35</v>
      </c>
      <c r="H300" s="2"/>
      <c r="I300">
        <v>1</v>
      </c>
      <c r="J300" s="1" t="s">
        <v>234</v>
      </c>
      <c r="K300" s="1" t="s">
        <v>1165</v>
      </c>
      <c r="L300">
        <v>5.544352102836223</v>
      </c>
      <c r="M300" s="1" t="s">
        <v>234</v>
      </c>
      <c r="N300" s="1" t="s">
        <v>235</v>
      </c>
    </row>
    <row r="301" spans="1:14" x14ac:dyDescent="0.25">
      <c r="A301" s="1" t="s">
        <v>941</v>
      </c>
      <c r="B301" s="1" t="s">
        <v>154</v>
      </c>
      <c r="C301" s="1" t="s">
        <v>80</v>
      </c>
      <c r="D301" s="2"/>
      <c r="E301" s="1" t="s">
        <v>207</v>
      </c>
      <c r="F301" s="1"/>
      <c r="G301" s="1" t="s">
        <v>35</v>
      </c>
      <c r="H301" s="2"/>
      <c r="I301">
        <v>1</v>
      </c>
      <c r="J301" s="1" t="s">
        <v>234</v>
      </c>
      <c r="K301" s="1" t="s">
        <v>1165</v>
      </c>
      <c r="L301">
        <v>7.0346290443482342</v>
      </c>
      <c r="M301" s="1" t="s">
        <v>234</v>
      </c>
      <c r="N301" s="1" t="s">
        <v>235</v>
      </c>
    </row>
    <row r="302" spans="1:14" x14ac:dyDescent="0.25">
      <c r="A302" s="1" t="s">
        <v>962</v>
      </c>
      <c r="B302" s="1" t="s">
        <v>154</v>
      </c>
      <c r="C302" s="1" t="s">
        <v>80</v>
      </c>
      <c r="D302" s="2"/>
      <c r="E302" s="1" t="s">
        <v>207</v>
      </c>
      <c r="F302" s="1"/>
      <c r="G302" s="1" t="s">
        <v>35</v>
      </c>
      <c r="H302" s="2"/>
      <c r="I302">
        <v>1</v>
      </c>
      <c r="J302" s="1" t="s">
        <v>234</v>
      </c>
      <c r="K302" s="1" t="s">
        <v>1165</v>
      </c>
      <c r="L302">
        <v>5.5491574798783336</v>
      </c>
      <c r="M302" s="1" t="s">
        <v>234</v>
      </c>
      <c r="N302" s="1" t="s">
        <v>235</v>
      </c>
    </row>
    <row r="303" spans="1:14" x14ac:dyDescent="0.25">
      <c r="A303" s="1" t="s">
        <v>942</v>
      </c>
      <c r="B303" s="1" t="s">
        <v>154</v>
      </c>
      <c r="C303" s="1" t="s">
        <v>80</v>
      </c>
      <c r="D303" s="2"/>
      <c r="E303" s="1" t="s">
        <v>207</v>
      </c>
      <c r="F303" s="1"/>
      <c r="G303" s="1" t="s">
        <v>35</v>
      </c>
      <c r="H303" s="2"/>
      <c r="I303">
        <v>1</v>
      </c>
      <c r="J303" s="1" t="s">
        <v>234</v>
      </c>
      <c r="K303" s="1" t="s">
        <v>1165</v>
      </c>
      <c r="L303">
        <v>5.9599925323719392</v>
      </c>
      <c r="M303" s="1" t="s">
        <v>234</v>
      </c>
      <c r="N303" s="1" t="s">
        <v>235</v>
      </c>
    </row>
    <row r="304" spans="1:14" x14ac:dyDescent="0.25">
      <c r="A304" s="1" t="s">
        <v>961</v>
      </c>
      <c r="B304" s="1" t="s">
        <v>154</v>
      </c>
      <c r="C304" s="1" t="s">
        <v>80</v>
      </c>
      <c r="D304" s="2"/>
      <c r="E304" s="1" t="s">
        <v>207</v>
      </c>
      <c r="F304" s="1"/>
      <c r="G304" s="1" t="s">
        <v>35</v>
      </c>
      <c r="H304" s="2"/>
      <c r="I304">
        <v>1</v>
      </c>
      <c r="J304" s="1" t="s">
        <v>234</v>
      </c>
      <c r="K304" s="1" t="s">
        <v>1165</v>
      </c>
      <c r="L304">
        <v>7.7638775451279667</v>
      </c>
      <c r="M304" s="1" t="s">
        <v>234</v>
      </c>
      <c r="N304" s="1" t="s">
        <v>235</v>
      </c>
    </row>
    <row r="305" spans="1:14" x14ac:dyDescent="0.25">
      <c r="A305" s="1" t="s">
        <v>439</v>
      </c>
      <c r="B305" s="1" t="s">
        <v>154</v>
      </c>
      <c r="C305" s="1" t="s">
        <v>80</v>
      </c>
      <c r="D305" s="2"/>
      <c r="E305" s="1" t="s">
        <v>207</v>
      </c>
      <c r="F305" s="1"/>
      <c r="G305" s="1" t="s">
        <v>35</v>
      </c>
      <c r="H305" s="2"/>
      <c r="I305">
        <v>1</v>
      </c>
      <c r="J305" s="1" t="s">
        <v>234</v>
      </c>
      <c r="K305" s="1" t="s">
        <v>1165</v>
      </c>
      <c r="L305">
        <v>5.4001634984373537</v>
      </c>
      <c r="M305" s="1" t="s">
        <v>234</v>
      </c>
      <c r="N305" s="1" t="s">
        <v>235</v>
      </c>
    </row>
    <row r="306" spans="1:14" x14ac:dyDescent="0.25">
      <c r="A306" s="1" t="s">
        <v>1281</v>
      </c>
      <c r="B306" s="1" t="s">
        <v>154</v>
      </c>
      <c r="C306" s="1" t="s">
        <v>80</v>
      </c>
      <c r="D306" s="2"/>
      <c r="E306" s="1" t="s">
        <v>207</v>
      </c>
      <c r="F306" s="1"/>
      <c r="G306" s="1" t="s">
        <v>35</v>
      </c>
      <c r="H306" s="2"/>
      <c r="I306">
        <v>1</v>
      </c>
      <c r="J306" s="1" t="s">
        <v>234</v>
      </c>
      <c r="K306" s="1" t="s">
        <v>1165</v>
      </c>
      <c r="L306">
        <v>5.7178670519682493</v>
      </c>
      <c r="M306" s="1" t="s">
        <v>234</v>
      </c>
      <c r="N306" s="1" t="s">
        <v>235</v>
      </c>
    </row>
    <row r="307" spans="1:14" x14ac:dyDescent="0.25">
      <c r="A307" s="1" t="s">
        <v>1303</v>
      </c>
      <c r="B307" s="1" t="s">
        <v>154</v>
      </c>
      <c r="C307" s="1" t="s">
        <v>80</v>
      </c>
      <c r="D307" s="2"/>
      <c r="E307" s="1" t="s">
        <v>207</v>
      </c>
      <c r="F307" s="1"/>
      <c r="G307" s="1" t="s">
        <v>35</v>
      </c>
      <c r="H307" s="2"/>
      <c r="I307">
        <v>1</v>
      </c>
      <c r="J307" s="1" t="s">
        <v>234</v>
      </c>
      <c r="K307" s="1" t="s">
        <v>1165</v>
      </c>
      <c r="L307">
        <v>5.9071879905725604</v>
      </c>
      <c r="M307" s="1" t="s">
        <v>234</v>
      </c>
      <c r="N307" s="1" t="s">
        <v>235</v>
      </c>
    </row>
    <row r="308" spans="1:14" x14ac:dyDescent="0.25">
      <c r="A308" s="1" t="s">
        <v>1781</v>
      </c>
      <c r="B308" s="1" t="s">
        <v>154</v>
      </c>
      <c r="C308" s="1" t="s">
        <v>80</v>
      </c>
      <c r="D308" s="2"/>
      <c r="E308" s="1" t="s">
        <v>207</v>
      </c>
      <c r="F308" s="1"/>
      <c r="G308" s="1" t="s">
        <v>35</v>
      </c>
      <c r="H308" s="2"/>
      <c r="I308">
        <v>1</v>
      </c>
      <c r="J308" s="1" t="s">
        <v>234</v>
      </c>
      <c r="K308" s="1" t="s">
        <v>1165</v>
      </c>
      <c r="L308">
        <v>7.1685079584880436</v>
      </c>
      <c r="M308" s="1" t="s">
        <v>234</v>
      </c>
      <c r="N308" s="1" t="s">
        <v>235</v>
      </c>
    </row>
    <row r="309" spans="1:14" x14ac:dyDescent="0.25">
      <c r="A309" s="1" t="s">
        <v>1297</v>
      </c>
      <c r="B309" s="1" t="s">
        <v>154</v>
      </c>
      <c r="C309" s="1" t="s">
        <v>80</v>
      </c>
      <c r="D309" s="2"/>
      <c r="E309" s="1" t="s">
        <v>207</v>
      </c>
      <c r="F309" s="1"/>
      <c r="G309" s="1" t="s">
        <v>35</v>
      </c>
      <c r="H309" s="2"/>
      <c r="I309">
        <v>1</v>
      </c>
      <c r="J309" s="1" t="s">
        <v>234</v>
      </c>
      <c r="K309" s="1" t="s">
        <v>1165</v>
      </c>
      <c r="L309">
        <v>5.2265253359925339</v>
      </c>
      <c r="M309" s="1" t="s">
        <v>234</v>
      </c>
      <c r="N309" s="1" t="s">
        <v>235</v>
      </c>
    </row>
    <row r="310" spans="1:14" x14ac:dyDescent="0.25">
      <c r="A310" s="1" t="s">
        <v>1288</v>
      </c>
      <c r="B310" s="1" t="s">
        <v>154</v>
      </c>
      <c r="C310" s="1" t="s">
        <v>80</v>
      </c>
      <c r="D310" s="2"/>
      <c r="E310" s="1" t="s">
        <v>207</v>
      </c>
      <c r="F310" s="1"/>
      <c r="G310" s="1" t="s">
        <v>35</v>
      </c>
      <c r="H310" s="2"/>
      <c r="I310">
        <v>1</v>
      </c>
      <c r="J310" s="1" t="s">
        <v>234</v>
      </c>
      <c r="K310" s="1" t="s">
        <v>1165</v>
      </c>
      <c r="L310">
        <v>6.3016032041639223</v>
      </c>
      <c r="M310" s="1" t="s">
        <v>234</v>
      </c>
      <c r="N310" s="1" t="s">
        <v>235</v>
      </c>
    </row>
    <row r="311" spans="1:14" x14ac:dyDescent="0.25">
      <c r="A311" s="1" t="s">
        <v>1291</v>
      </c>
      <c r="B311" s="1" t="s">
        <v>154</v>
      </c>
      <c r="C311" s="1" t="s">
        <v>80</v>
      </c>
      <c r="D311" s="2"/>
      <c r="E311" s="1" t="s">
        <v>207</v>
      </c>
      <c r="F311" s="1"/>
      <c r="G311" s="1" t="s">
        <v>35</v>
      </c>
      <c r="H311" s="2"/>
      <c r="I311">
        <v>1</v>
      </c>
      <c r="J311" s="1" t="s">
        <v>234</v>
      </c>
      <c r="K311" s="1" t="s">
        <v>1165</v>
      </c>
      <c r="L311">
        <v>7.0346290443796935</v>
      </c>
      <c r="M311" s="1" t="s">
        <v>234</v>
      </c>
      <c r="N311" s="1" t="s">
        <v>235</v>
      </c>
    </row>
    <row r="312" spans="1:14" x14ac:dyDescent="0.25">
      <c r="A312" s="1" t="s">
        <v>1289</v>
      </c>
      <c r="B312" s="1" t="s">
        <v>154</v>
      </c>
      <c r="C312" s="1" t="s">
        <v>80</v>
      </c>
      <c r="D312" s="2"/>
      <c r="E312" s="1" t="s">
        <v>207</v>
      </c>
      <c r="F312" s="1"/>
      <c r="G312" s="1" t="s">
        <v>35</v>
      </c>
      <c r="H312" s="2"/>
      <c r="I312">
        <v>1</v>
      </c>
      <c r="J312" s="1" t="s">
        <v>234</v>
      </c>
      <c r="K312" s="1" t="s">
        <v>1165</v>
      </c>
      <c r="L312">
        <v>5.2189363509116937</v>
      </c>
      <c r="M312" s="1" t="s">
        <v>234</v>
      </c>
      <c r="N312" s="1" t="s">
        <v>235</v>
      </c>
    </row>
    <row r="313" spans="1:14" x14ac:dyDescent="0.25">
      <c r="A313" s="1" t="s">
        <v>1285</v>
      </c>
      <c r="B313" s="1" t="s">
        <v>154</v>
      </c>
      <c r="C313" s="1" t="s">
        <v>80</v>
      </c>
      <c r="D313" s="2"/>
      <c r="E313" s="1" t="s">
        <v>207</v>
      </c>
      <c r="F313" s="1"/>
      <c r="G313" s="1" t="s">
        <v>35</v>
      </c>
      <c r="H313" s="2"/>
      <c r="I313">
        <v>1</v>
      </c>
      <c r="J313" s="1" t="s">
        <v>234</v>
      </c>
      <c r="K313" s="1" t="s">
        <v>1165</v>
      </c>
      <c r="L313">
        <v>6.5508208300746515</v>
      </c>
      <c r="M313" s="1" t="s">
        <v>234</v>
      </c>
      <c r="N313" s="1" t="s">
        <v>235</v>
      </c>
    </row>
    <row r="314" spans="1:14" x14ac:dyDescent="0.25">
      <c r="A314" s="1" t="s">
        <v>1283</v>
      </c>
      <c r="B314" s="1" t="s">
        <v>154</v>
      </c>
      <c r="C314" s="1" t="s">
        <v>80</v>
      </c>
      <c r="D314" s="2"/>
      <c r="E314" s="1" t="s">
        <v>207</v>
      </c>
      <c r="F314" s="1"/>
      <c r="G314" s="1" t="s">
        <v>35</v>
      </c>
      <c r="H314" s="2"/>
      <c r="I314">
        <v>1</v>
      </c>
      <c r="J314" s="1" t="s">
        <v>234</v>
      </c>
      <c r="K314" s="1" t="s">
        <v>1165</v>
      </c>
      <c r="L314">
        <v>7.7638775451279667</v>
      </c>
      <c r="M314" s="1" t="s">
        <v>234</v>
      </c>
      <c r="N314" s="1" t="s">
        <v>235</v>
      </c>
    </row>
    <row r="315" spans="1:14" x14ac:dyDescent="0.25">
      <c r="A315" s="1" t="s">
        <v>1282</v>
      </c>
      <c r="B315" s="1" t="s">
        <v>1829</v>
      </c>
      <c r="C315" s="1" t="s">
        <v>80</v>
      </c>
      <c r="D315" s="2"/>
      <c r="E315" s="1" t="s">
        <v>207</v>
      </c>
      <c r="F315" s="1"/>
      <c r="G315" s="1" t="s">
        <v>35</v>
      </c>
      <c r="H315" s="2"/>
      <c r="I315">
        <v>1</v>
      </c>
      <c r="J315" s="1" t="s">
        <v>234</v>
      </c>
      <c r="K315" s="1" t="s">
        <v>1165</v>
      </c>
      <c r="L315">
        <v>2.0342193541755105</v>
      </c>
      <c r="M315" s="1" t="s">
        <v>234</v>
      </c>
      <c r="N315" s="1" t="s">
        <v>235</v>
      </c>
    </row>
    <row r="316" spans="1:14" x14ac:dyDescent="0.25">
      <c r="A316" s="1" t="s">
        <v>482</v>
      </c>
      <c r="B316" s="1" t="s">
        <v>1829</v>
      </c>
      <c r="C316" s="1" t="s">
        <v>80</v>
      </c>
      <c r="D316" s="2"/>
      <c r="E316" s="1" t="s">
        <v>207</v>
      </c>
      <c r="F316" s="1"/>
      <c r="G316" s="1" t="s">
        <v>35</v>
      </c>
      <c r="H316" s="2"/>
      <c r="I316">
        <v>1</v>
      </c>
      <c r="J316" s="1" t="s">
        <v>234</v>
      </c>
      <c r="K316" s="1" t="s">
        <v>1165</v>
      </c>
      <c r="L316">
        <v>6.0455715957385259</v>
      </c>
      <c r="M316" s="1" t="s">
        <v>234</v>
      </c>
      <c r="N316" s="1" t="s">
        <v>235</v>
      </c>
    </row>
    <row r="317" spans="1:14" x14ac:dyDescent="0.25">
      <c r="A317" s="1" t="s">
        <v>481</v>
      </c>
      <c r="B317" s="1" t="s">
        <v>1829</v>
      </c>
      <c r="C317" s="1" t="s">
        <v>80</v>
      </c>
      <c r="D317" s="2"/>
      <c r="E317" s="1" t="s">
        <v>207</v>
      </c>
      <c r="F317" s="1"/>
      <c r="G317" s="1" t="s">
        <v>35</v>
      </c>
      <c r="H317" s="2"/>
      <c r="I317">
        <v>1</v>
      </c>
      <c r="J317" s="1" t="s">
        <v>234</v>
      </c>
      <c r="K317" s="1" t="s">
        <v>1165</v>
      </c>
      <c r="L317">
        <v>5.127092308324392</v>
      </c>
      <c r="M317" s="1" t="s">
        <v>234</v>
      </c>
      <c r="N317" s="1" t="s">
        <v>235</v>
      </c>
    </row>
    <row r="318" spans="1:14" x14ac:dyDescent="0.25">
      <c r="A318" s="1" t="s">
        <v>480</v>
      </c>
      <c r="B318" s="1" t="s">
        <v>1829</v>
      </c>
      <c r="C318" s="1" t="s">
        <v>80</v>
      </c>
      <c r="D318" s="2"/>
      <c r="E318" s="1" t="s">
        <v>207</v>
      </c>
      <c r="F318" s="1"/>
      <c r="G318" s="1" t="s">
        <v>35</v>
      </c>
      <c r="H318" s="2"/>
      <c r="I318">
        <v>1</v>
      </c>
      <c r="J318" s="1" t="s">
        <v>234</v>
      </c>
      <c r="K318" s="1" t="s">
        <v>1165</v>
      </c>
      <c r="L318">
        <v>3.302906413554699</v>
      </c>
      <c r="M318" s="1" t="s">
        <v>234</v>
      </c>
      <c r="N318" s="1" t="s">
        <v>235</v>
      </c>
    </row>
    <row r="319" spans="1:14" x14ac:dyDescent="0.25">
      <c r="A319" s="1" t="s">
        <v>420</v>
      </c>
      <c r="B319" s="1" t="s">
        <v>1829</v>
      </c>
      <c r="C319" s="1" t="s">
        <v>80</v>
      </c>
      <c r="D319" s="2"/>
      <c r="E319" s="1" t="s">
        <v>207</v>
      </c>
      <c r="F319" s="1"/>
      <c r="G319" s="1" t="s">
        <v>35</v>
      </c>
      <c r="H319" s="2"/>
      <c r="I319">
        <v>1</v>
      </c>
      <c r="J319" s="1" t="s">
        <v>234</v>
      </c>
      <c r="K319" s="1" t="s">
        <v>1165</v>
      </c>
      <c r="L319">
        <v>5.5892012237426458</v>
      </c>
      <c r="M319" s="1" t="s">
        <v>234</v>
      </c>
      <c r="N319" s="1" t="s">
        <v>235</v>
      </c>
    </row>
    <row r="320" spans="1:14" x14ac:dyDescent="0.25">
      <c r="A320" s="1" t="s">
        <v>1300</v>
      </c>
      <c r="B320" s="1" t="s">
        <v>1829</v>
      </c>
      <c r="C320" s="1" t="s">
        <v>80</v>
      </c>
      <c r="D320" s="2"/>
      <c r="E320" s="1" t="s">
        <v>207</v>
      </c>
      <c r="F320" s="1"/>
      <c r="G320" s="1" t="s">
        <v>35</v>
      </c>
      <c r="H320" s="2"/>
      <c r="I320">
        <v>1</v>
      </c>
      <c r="J320" s="1" t="s">
        <v>234</v>
      </c>
      <c r="K320" s="1" t="s">
        <v>1165</v>
      </c>
      <c r="L320">
        <v>5.6996156426450177</v>
      </c>
      <c r="M320" s="1" t="s">
        <v>234</v>
      </c>
      <c r="N320" s="1" t="s">
        <v>235</v>
      </c>
    </row>
    <row r="321" spans="1:14" x14ac:dyDescent="0.25">
      <c r="A321" s="1" t="s">
        <v>1299</v>
      </c>
      <c r="B321" s="1" t="s">
        <v>1829</v>
      </c>
      <c r="C321" s="1" t="s">
        <v>80</v>
      </c>
      <c r="D321" s="2"/>
      <c r="E321" s="1" t="s">
        <v>207</v>
      </c>
      <c r="F321" s="1"/>
      <c r="G321" s="1" t="s">
        <v>35</v>
      </c>
      <c r="H321" s="2"/>
      <c r="I321">
        <v>1</v>
      </c>
      <c r="J321" s="1" t="s">
        <v>234</v>
      </c>
      <c r="K321" s="1" t="s">
        <v>1165</v>
      </c>
      <c r="L321">
        <v>6.0879454832347353</v>
      </c>
      <c r="M321" s="1" t="s">
        <v>234</v>
      </c>
      <c r="N321" s="1" t="s">
        <v>235</v>
      </c>
    </row>
    <row r="322" spans="1:14" x14ac:dyDescent="0.25">
      <c r="A322" s="1" t="s">
        <v>1292</v>
      </c>
      <c r="B322" s="1" t="s">
        <v>1829</v>
      </c>
      <c r="C322" s="1" t="s">
        <v>80</v>
      </c>
      <c r="D322" s="2"/>
      <c r="E322" s="1" t="s">
        <v>207</v>
      </c>
      <c r="F322" s="1"/>
      <c r="G322" s="1" t="s">
        <v>35</v>
      </c>
      <c r="H322" s="2"/>
      <c r="I322">
        <v>1</v>
      </c>
      <c r="J322" s="1" t="s">
        <v>234</v>
      </c>
      <c r="K322" s="1" t="s">
        <v>1165</v>
      </c>
      <c r="L322">
        <v>5.2328650766271974</v>
      </c>
      <c r="M322" s="1" t="s">
        <v>234</v>
      </c>
      <c r="N322" s="1" t="s">
        <v>235</v>
      </c>
    </row>
    <row r="323" spans="1:14" x14ac:dyDescent="0.25">
      <c r="A323" s="1" t="s">
        <v>1293</v>
      </c>
      <c r="B323" s="1" t="s">
        <v>1829</v>
      </c>
      <c r="C323" s="1" t="s">
        <v>80</v>
      </c>
      <c r="D323" s="2"/>
      <c r="E323" s="1" t="s">
        <v>207</v>
      </c>
      <c r="F323" s="1"/>
      <c r="G323" s="1" t="s">
        <v>35</v>
      </c>
      <c r="H323" s="2"/>
      <c r="I323">
        <v>1</v>
      </c>
      <c r="J323" s="1" t="s">
        <v>234</v>
      </c>
      <c r="K323" s="1" t="s">
        <v>1165</v>
      </c>
      <c r="L323">
        <v>5.6996904286319827</v>
      </c>
      <c r="M323" s="1" t="s">
        <v>234</v>
      </c>
      <c r="N323" s="1" t="s">
        <v>235</v>
      </c>
    </row>
    <row r="324" spans="1:14" x14ac:dyDescent="0.25">
      <c r="A324" s="1" t="s">
        <v>1296</v>
      </c>
      <c r="B324" s="1" t="s">
        <v>1829</v>
      </c>
      <c r="C324" s="1" t="s">
        <v>80</v>
      </c>
      <c r="D324" s="2"/>
      <c r="E324" s="1" t="s">
        <v>207</v>
      </c>
      <c r="F324" s="1"/>
      <c r="G324" s="1" t="s">
        <v>35</v>
      </c>
      <c r="H324" s="2"/>
      <c r="I324">
        <v>1</v>
      </c>
      <c r="J324" s="1" t="s">
        <v>234</v>
      </c>
      <c r="K324" s="1" t="s">
        <v>1165</v>
      </c>
      <c r="L324">
        <v>6.0879505732029484</v>
      </c>
      <c r="M324" s="1" t="s">
        <v>234</v>
      </c>
      <c r="N324" s="1" t="s">
        <v>235</v>
      </c>
    </row>
    <row r="325" spans="1:14" x14ac:dyDescent="0.25">
      <c r="A325" s="1" t="s">
        <v>451</v>
      </c>
      <c r="B325" s="1" t="s">
        <v>1829</v>
      </c>
      <c r="C325" s="1" t="s">
        <v>80</v>
      </c>
      <c r="D325" s="2"/>
      <c r="E325" s="1" t="s">
        <v>207</v>
      </c>
      <c r="F325" s="1"/>
      <c r="G325" s="1" t="s">
        <v>35</v>
      </c>
      <c r="H325" s="2"/>
      <c r="I325">
        <v>1</v>
      </c>
      <c r="J325" s="1" t="s">
        <v>234</v>
      </c>
      <c r="K325" s="1" t="s">
        <v>1165</v>
      </c>
      <c r="L325">
        <v>5.2327044190359473</v>
      </c>
      <c r="M325" s="1" t="s">
        <v>234</v>
      </c>
      <c r="N325" s="1" t="s">
        <v>235</v>
      </c>
    </row>
    <row r="326" spans="1:14" x14ac:dyDescent="0.25">
      <c r="A326" s="1" t="s">
        <v>426</v>
      </c>
      <c r="B326" s="1" t="s">
        <v>1826</v>
      </c>
      <c r="C326" s="1" t="s">
        <v>80</v>
      </c>
      <c r="D326" s="2"/>
      <c r="E326" s="1" t="s">
        <v>207</v>
      </c>
      <c r="F326" s="1"/>
      <c r="G326" s="1" t="s">
        <v>35</v>
      </c>
      <c r="H326" s="2"/>
      <c r="I326">
        <v>1</v>
      </c>
      <c r="J326" s="1" t="s">
        <v>234</v>
      </c>
      <c r="K326" s="1" t="s">
        <v>1165</v>
      </c>
      <c r="L326">
        <v>2.2397529516370809</v>
      </c>
      <c r="M326" s="1" t="s">
        <v>234</v>
      </c>
      <c r="N326" s="1" t="s">
        <v>235</v>
      </c>
    </row>
    <row r="327" spans="1:14" x14ac:dyDescent="0.25">
      <c r="A327" s="1" t="s">
        <v>422</v>
      </c>
      <c r="B327" s="1" t="s">
        <v>1826</v>
      </c>
      <c r="C327" s="1" t="s">
        <v>80</v>
      </c>
      <c r="D327" s="2"/>
      <c r="E327" s="1" t="s">
        <v>207</v>
      </c>
      <c r="F327" s="1"/>
      <c r="G327" s="1" t="s">
        <v>35</v>
      </c>
      <c r="H327" s="2"/>
      <c r="I327">
        <v>1</v>
      </c>
      <c r="J327" s="1" t="s">
        <v>234</v>
      </c>
      <c r="K327" s="1" t="s">
        <v>1165</v>
      </c>
      <c r="L327">
        <v>6.4869197453979996</v>
      </c>
      <c r="M327" s="1" t="s">
        <v>234</v>
      </c>
      <c r="N327" s="1" t="s">
        <v>235</v>
      </c>
    </row>
    <row r="328" spans="1:14" x14ac:dyDescent="0.25">
      <c r="A328" s="1" t="s">
        <v>1294</v>
      </c>
      <c r="B328" s="1" t="s">
        <v>1826</v>
      </c>
      <c r="C328" s="1" t="s">
        <v>80</v>
      </c>
      <c r="D328" s="2"/>
      <c r="E328" s="1" t="s">
        <v>207</v>
      </c>
      <c r="F328" s="1"/>
      <c r="G328" s="1" t="s">
        <v>35</v>
      </c>
      <c r="H328" s="2"/>
      <c r="I328">
        <v>1</v>
      </c>
      <c r="J328" s="1" t="s">
        <v>234</v>
      </c>
      <c r="K328" s="1" t="s">
        <v>1165</v>
      </c>
      <c r="L328">
        <v>5.3888320721844751</v>
      </c>
      <c r="M328" s="1" t="s">
        <v>234</v>
      </c>
      <c r="N328" s="1" t="s">
        <v>235</v>
      </c>
    </row>
    <row r="329" spans="1:14" x14ac:dyDescent="0.25">
      <c r="A329" s="1" t="s">
        <v>479</v>
      </c>
      <c r="B329" s="1" t="s">
        <v>1826</v>
      </c>
      <c r="C329" s="1" t="s">
        <v>80</v>
      </c>
      <c r="D329" s="2"/>
      <c r="E329" s="1" t="s">
        <v>207</v>
      </c>
      <c r="F329" s="1"/>
      <c r="G329" s="1" t="s">
        <v>35</v>
      </c>
      <c r="H329" s="2"/>
      <c r="I329">
        <v>1</v>
      </c>
      <c r="J329" s="1" t="s">
        <v>234</v>
      </c>
      <c r="K329" s="1" t="s">
        <v>1165</v>
      </c>
      <c r="L329">
        <v>3.3953099321198539</v>
      </c>
      <c r="M329" s="1" t="s">
        <v>234</v>
      </c>
      <c r="N329" s="1" t="s">
        <v>235</v>
      </c>
    </row>
    <row r="330" spans="1:14" x14ac:dyDescent="0.25">
      <c r="A330" s="1" t="s">
        <v>478</v>
      </c>
      <c r="B330" s="1" t="s">
        <v>1826</v>
      </c>
      <c r="C330" s="1" t="s">
        <v>80</v>
      </c>
      <c r="D330" s="2"/>
      <c r="E330" s="1" t="s">
        <v>207</v>
      </c>
      <c r="F330" s="1"/>
      <c r="G330" s="1" t="s">
        <v>35</v>
      </c>
      <c r="H330" s="2"/>
      <c r="I330">
        <v>1</v>
      </c>
      <c r="J330" s="1" t="s">
        <v>234</v>
      </c>
      <c r="K330" s="1" t="s">
        <v>1165</v>
      </c>
      <c r="L330">
        <v>5.955159771088212</v>
      </c>
      <c r="M330" s="1" t="s">
        <v>234</v>
      </c>
      <c r="N330" s="1" t="s">
        <v>235</v>
      </c>
    </row>
    <row r="331" spans="1:14" x14ac:dyDescent="0.25">
      <c r="A331" s="1" t="s">
        <v>477</v>
      </c>
      <c r="B331" s="1" t="s">
        <v>1826</v>
      </c>
      <c r="C331" s="1" t="s">
        <v>80</v>
      </c>
      <c r="D331" s="2"/>
      <c r="E331" s="1" t="s">
        <v>207</v>
      </c>
      <c r="F331" s="1"/>
      <c r="G331" s="1" t="s">
        <v>35</v>
      </c>
      <c r="H331" s="2"/>
      <c r="I331">
        <v>1</v>
      </c>
      <c r="J331" s="1" t="s">
        <v>234</v>
      </c>
      <c r="K331" s="1" t="s">
        <v>1165</v>
      </c>
      <c r="L331">
        <v>6.1007324394323899</v>
      </c>
      <c r="M331" s="1" t="s">
        <v>234</v>
      </c>
      <c r="N331" s="1" t="s">
        <v>235</v>
      </c>
    </row>
    <row r="332" spans="1:14" x14ac:dyDescent="0.25">
      <c r="A332" s="1" t="s">
        <v>472</v>
      </c>
      <c r="B332" s="1" t="s">
        <v>1826</v>
      </c>
      <c r="C332" s="1" t="s">
        <v>80</v>
      </c>
      <c r="D332" s="2"/>
      <c r="E332" s="1" t="s">
        <v>207</v>
      </c>
      <c r="F332" s="1"/>
      <c r="G332" s="1" t="s">
        <v>35</v>
      </c>
      <c r="H332" s="2"/>
      <c r="I332">
        <v>1</v>
      </c>
      <c r="J332" s="1" t="s">
        <v>234</v>
      </c>
      <c r="K332" s="1" t="s">
        <v>1165</v>
      </c>
      <c r="L332">
        <v>6.5961296797872553</v>
      </c>
      <c r="M332" s="1" t="s">
        <v>234</v>
      </c>
      <c r="N332" s="1" t="s">
        <v>235</v>
      </c>
    </row>
    <row r="333" spans="1:14" x14ac:dyDescent="0.25">
      <c r="A333" s="1" t="s">
        <v>476</v>
      </c>
      <c r="B333" s="1" t="s">
        <v>1826</v>
      </c>
      <c r="C333" s="1" t="s">
        <v>80</v>
      </c>
      <c r="D333" s="2"/>
      <c r="E333" s="1" t="s">
        <v>207</v>
      </c>
      <c r="F333" s="1"/>
      <c r="G333" s="1" t="s">
        <v>35</v>
      </c>
      <c r="H333" s="2"/>
      <c r="I333">
        <v>1</v>
      </c>
      <c r="J333" s="1" t="s">
        <v>234</v>
      </c>
      <c r="K333" s="1" t="s">
        <v>1165</v>
      </c>
      <c r="L333">
        <v>5.6640959586429478</v>
      </c>
      <c r="M333" s="1" t="s">
        <v>234</v>
      </c>
      <c r="N333" s="1" t="s">
        <v>235</v>
      </c>
    </row>
    <row r="334" spans="1:14" x14ac:dyDescent="0.25">
      <c r="A334" s="1" t="s">
        <v>458</v>
      </c>
      <c r="B334" s="1" t="s">
        <v>1826</v>
      </c>
      <c r="C334" s="1" t="s">
        <v>80</v>
      </c>
      <c r="D334" s="2"/>
      <c r="E334" s="1" t="s">
        <v>207</v>
      </c>
      <c r="F334" s="1"/>
      <c r="G334" s="1" t="s">
        <v>35</v>
      </c>
      <c r="H334" s="2"/>
      <c r="I334">
        <v>1</v>
      </c>
      <c r="J334" s="1" t="s">
        <v>234</v>
      </c>
      <c r="K334" s="1" t="s">
        <v>1165</v>
      </c>
      <c r="L334">
        <v>6.4094118139586227</v>
      </c>
      <c r="M334" s="1" t="s">
        <v>234</v>
      </c>
      <c r="N334" s="1" t="s">
        <v>235</v>
      </c>
    </row>
    <row r="335" spans="1:14" x14ac:dyDescent="0.25">
      <c r="A335" s="1" t="s">
        <v>475</v>
      </c>
      <c r="B335" s="1" t="s">
        <v>1826</v>
      </c>
      <c r="C335" s="1" t="s">
        <v>80</v>
      </c>
      <c r="D335" s="2"/>
      <c r="E335" s="1" t="s">
        <v>207</v>
      </c>
      <c r="F335" s="1"/>
      <c r="G335" s="1" t="s">
        <v>35</v>
      </c>
      <c r="H335" s="2"/>
      <c r="I335">
        <v>1</v>
      </c>
      <c r="J335" s="1" t="s">
        <v>234</v>
      </c>
      <c r="K335" s="1" t="s">
        <v>1165</v>
      </c>
      <c r="L335">
        <v>7.0428953166820332</v>
      </c>
      <c r="M335" s="1" t="s">
        <v>234</v>
      </c>
      <c r="N335" s="1" t="s">
        <v>235</v>
      </c>
    </row>
    <row r="336" spans="1:14" x14ac:dyDescent="0.25">
      <c r="A336" s="1" t="s">
        <v>474</v>
      </c>
      <c r="B336" s="1" t="s">
        <v>1826</v>
      </c>
      <c r="C336" s="1" t="s">
        <v>80</v>
      </c>
      <c r="D336" s="2"/>
      <c r="E336" s="1" t="s">
        <v>207</v>
      </c>
      <c r="F336" s="1"/>
      <c r="G336" s="1" t="s">
        <v>35</v>
      </c>
      <c r="H336" s="2"/>
      <c r="I336">
        <v>1</v>
      </c>
      <c r="J336" s="1" t="s">
        <v>234</v>
      </c>
      <c r="K336" s="1" t="s">
        <v>1165</v>
      </c>
      <c r="L336">
        <v>6.0475549380295925</v>
      </c>
      <c r="M336" s="1" t="s">
        <v>234</v>
      </c>
      <c r="N336" s="1" t="s">
        <v>235</v>
      </c>
    </row>
    <row r="337" spans="1:14" x14ac:dyDescent="0.25">
      <c r="A337" s="1" t="s">
        <v>473</v>
      </c>
      <c r="B337" s="1" t="s">
        <v>1829</v>
      </c>
      <c r="C337" s="1" t="s">
        <v>82</v>
      </c>
      <c r="D337" s="2"/>
      <c r="E337" s="1" t="s">
        <v>207</v>
      </c>
      <c r="F337" s="1"/>
      <c r="G337" s="1" t="s">
        <v>35</v>
      </c>
      <c r="H337" s="2"/>
      <c r="I337">
        <v>1</v>
      </c>
      <c r="J337" s="1" t="s">
        <v>234</v>
      </c>
      <c r="K337" s="1" t="s">
        <v>1165</v>
      </c>
      <c r="L337">
        <v>3.2902260333218192</v>
      </c>
      <c r="M337" s="1" t="s">
        <v>234</v>
      </c>
      <c r="N337" s="1" t="s">
        <v>235</v>
      </c>
    </row>
    <row r="338" spans="1:14" x14ac:dyDescent="0.25">
      <c r="A338" s="1" t="s">
        <v>471</v>
      </c>
      <c r="B338" s="1" t="s">
        <v>1829</v>
      </c>
      <c r="C338" s="1" t="s">
        <v>82</v>
      </c>
      <c r="D338" s="2"/>
      <c r="E338" s="1" t="s">
        <v>207</v>
      </c>
      <c r="F338" s="1"/>
      <c r="G338" s="1" t="s">
        <v>35</v>
      </c>
      <c r="H338" s="2"/>
      <c r="I338">
        <v>1</v>
      </c>
      <c r="J338" s="1" t="s">
        <v>234</v>
      </c>
      <c r="K338" s="1" t="s">
        <v>1165</v>
      </c>
      <c r="L338">
        <v>5.1362477219552467</v>
      </c>
      <c r="M338" s="1" t="s">
        <v>234</v>
      </c>
      <c r="N338" s="1" t="s">
        <v>235</v>
      </c>
    </row>
    <row r="339" spans="1:14" x14ac:dyDescent="0.25">
      <c r="A339" s="1" t="s">
        <v>1286</v>
      </c>
      <c r="B339" s="1" t="s">
        <v>1829</v>
      </c>
      <c r="C339" s="1" t="s">
        <v>82</v>
      </c>
      <c r="D339" s="2"/>
      <c r="E339" s="1" t="s">
        <v>207</v>
      </c>
      <c r="F339" s="1"/>
      <c r="G339" s="1" t="s">
        <v>35</v>
      </c>
      <c r="H339" s="2"/>
      <c r="I339">
        <v>1</v>
      </c>
      <c r="J339" s="1" t="s">
        <v>234</v>
      </c>
      <c r="K339" s="1" t="s">
        <v>1165</v>
      </c>
      <c r="L339">
        <v>8.6506992105558087</v>
      </c>
      <c r="M339" s="1" t="s">
        <v>234</v>
      </c>
      <c r="N339" s="1" t="s">
        <v>235</v>
      </c>
    </row>
    <row r="340" spans="1:14" x14ac:dyDescent="0.25">
      <c r="A340" s="1" t="s">
        <v>1302</v>
      </c>
      <c r="B340" s="1" t="s">
        <v>1829</v>
      </c>
      <c r="C340" s="1" t="s">
        <v>82</v>
      </c>
      <c r="D340" s="2"/>
      <c r="E340" s="1" t="s">
        <v>207</v>
      </c>
      <c r="F340" s="1"/>
      <c r="G340" s="1" t="s">
        <v>35</v>
      </c>
      <c r="H340" s="2"/>
      <c r="I340">
        <v>1</v>
      </c>
      <c r="J340" s="1" t="s">
        <v>234</v>
      </c>
      <c r="K340" s="1" t="s">
        <v>1165</v>
      </c>
      <c r="L340">
        <v>5.0998413158250813</v>
      </c>
      <c r="M340" s="1" t="s">
        <v>234</v>
      </c>
      <c r="N340" s="1" t="s">
        <v>235</v>
      </c>
    </row>
    <row r="341" spans="1:14" x14ac:dyDescent="0.25">
      <c r="A341" s="1" t="s">
        <v>1301</v>
      </c>
      <c r="B341" s="1" t="s">
        <v>1829</v>
      </c>
      <c r="C341" s="1" t="s">
        <v>82</v>
      </c>
      <c r="D341" s="2"/>
      <c r="E341" s="1" t="s">
        <v>207</v>
      </c>
      <c r="F341" s="1"/>
      <c r="G341" s="1" t="s">
        <v>35</v>
      </c>
      <c r="H341" s="2"/>
      <c r="I341">
        <v>1</v>
      </c>
      <c r="J341" s="1" t="s">
        <v>234</v>
      </c>
      <c r="K341" s="1" t="s">
        <v>1165</v>
      </c>
      <c r="L341">
        <v>5.1125174669979998</v>
      </c>
      <c r="M341" s="1" t="s">
        <v>234</v>
      </c>
      <c r="N341" s="1" t="s">
        <v>235</v>
      </c>
    </row>
    <row r="342" spans="1:14" x14ac:dyDescent="0.25">
      <c r="A342" s="1" t="s">
        <v>1304</v>
      </c>
      <c r="B342" s="1" t="s">
        <v>1829</v>
      </c>
      <c r="C342" s="1" t="s">
        <v>82</v>
      </c>
      <c r="D342" s="2"/>
      <c r="E342" s="1" t="s">
        <v>207</v>
      </c>
      <c r="F342" s="1"/>
      <c r="G342" s="1" t="s">
        <v>35</v>
      </c>
      <c r="H342" s="2"/>
      <c r="I342">
        <v>1</v>
      </c>
      <c r="J342" s="1" t="s">
        <v>234</v>
      </c>
      <c r="K342" s="1" t="s">
        <v>1165</v>
      </c>
      <c r="L342">
        <v>6.0154880243861841</v>
      </c>
      <c r="M342" s="1" t="s">
        <v>234</v>
      </c>
      <c r="N342" s="1" t="s">
        <v>235</v>
      </c>
    </row>
    <row r="343" spans="1:14" x14ac:dyDescent="0.25">
      <c r="A343" s="1" t="s">
        <v>1298</v>
      </c>
      <c r="B343" s="1" t="s">
        <v>1829</v>
      </c>
      <c r="C343" s="1" t="s">
        <v>82</v>
      </c>
      <c r="D343" s="2"/>
      <c r="E343" s="1" t="s">
        <v>207</v>
      </c>
      <c r="F343" s="1"/>
      <c r="G343" s="1" t="s">
        <v>35</v>
      </c>
      <c r="H343" s="2"/>
      <c r="I343">
        <v>1</v>
      </c>
      <c r="J343" s="1" t="s">
        <v>234</v>
      </c>
      <c r="K343" s="1" t="s">
        <v>1165</v>
      </c>
      <c r="L343">
        <v>4.2416259863548493</v>
      </c>
      <c r="M343" s="1" t="s">
        <v>234</v>
      </c>
      <c r="N343" s="1" t="s">
        <v>235</v>
      </c>
    </row>
    <row r="344" spans="1:14" x14ac:dyDescent="0.25">
      <c r="A344" s="1" t="s">
        <v>469</v>
      </c>
      <c r="B344" s="1" t="s">
        <v>1829</v>
      </c>
      <c r="C344" s="1" t="s">
        <v>82</v>
      </c>
      <c r="D344" s="2"/>
      <c r="E344" s="1" t="s">
        <v>207</v>
      </c>
      <c r="F344" s="1"/>
      <c r="G344" s="1" t="s">
        <v>35</v>
      </c>
      <c r="H344" s="2"/>
      <c r="I344">
        <v>1</v>
      </c>
      <c r="J344" s="1" t="s">
        <v>234</v>
      </c>
      <c r="K344" s="1" t="s">
        <v>1165</v>
      </c>
      <c r="L344">
        <v>5.1355375783183908</v>
      </c>
      <c r="M344" s="1" t="s">
        <v>234</v>
      </c>
      <c r="N344" s="1" t="s">
        <v>235</v>
      </c>
    </row>
    <row r="345" spans="1:14" x14ac:dyDescent="0.25">
      <c r="A345" s="1" t="s">
        <v>432</v>
      </c>
      <c r="B345" s="1" t="s">
        <v>1829</v>
      </c>
      <c r="C345" s="1" t="s">
        <v>82</v>
      </c>
      <c r="D345" s="2"/>
      <c r="E345" s="1" t="s">
        <v>207</v>
      </c>
      <c r="F345" s="1"/>
      <c r="G345" s="1" t="s">
        <v>35</v>
      </c>
      <c r="H345" s="2"/>
      <c r="I345">
        <v>1</v>
      </c>
      <c r="J345" s="1" t="s">
        <v>234</v>
      </c>
      <c r="K345" s="1" t="s">
        <v>1165</v>
      </c>
      <c r="L345">
        <v>5.1104246894451437</v>
      </c>
      <c r="M345" s="1" t="s">
        <v>234</v>
      </c>
      <c r="N345" s="1" t="s">
        <v>235</v>
      </c>
    </row>
    <row r="346" spans="1:14" x14ac:dyDescent="0.25">
      <c r="A346" s="1" t="s">
        <v>431</v>
      </c>
      <c r="B346" s="1" t="s">
        <v>1829</v>
      </c>
      <c r="C346" s="1" t="s">
        <v>82</v>
      </c>
      <c r="D346" s="2"/>
      <c r="E346" s="1" t="s">
        <v>207</v>
      </c>
      <c r="F346" s="1"/>
      <c r="G346" s="1" t="s">
        <v>35</v>
      </c>
      <c r="H346" s="2"/>
      <c r="I346">
        <v>1</v>
      </c>
      <c r="J346" s="1" t="s">
        <v>234</v>
      </c>
      <c r="K346" s="1" t="s">
        <v>1165</v>
      </c>
      <c r="L346">
        <v>6.0036213640921847</v>
      </c>
      <c r="M346" s="1" t="s">
        <v>234</v>
      </c>
      <c r="N346" s="1" t="s">
        <v>235</v>
      </c>
    </row>
    <row r="347" spans="1:14" x14ac:dyDescent="0.25">
      <c r="A347" s="1" t="s">
        <v>430</v>
      </c>
      <c r="B347" s="1" t="s">
        <v>1829</v>
      </c>
      <c r="C347" s="1" t="s">
        <v>82</v>
      </c>
      <c r="D347" s="2"/>
      <c r="E347" s="1" t="s">
        <v>207</v>
      </c>
      <c r="F347" s="1"/>
      <c r="G347" s="1" t="s">
        <v>35</v>
      </c>
      <c r="H347" s="2"/>
      <c r="I347">
        <v>1</v>
      </c>
      <c r="J347" s="1" t="s">
        <v>234</v>
      </c>
      <c r="K347" s="1" t="s">
        <v>1165</v>
      </c>
      <c r="L347">
        <v>4.2366265427163654</v>
      </c>
      <c r="M347" s="1" t="s">
        <v>234</v>
      </c>
      <c r="N347" s="1" t="s">
        <v>235</v>
      </c>
    </row>
    <row r="348" spans="1:14" x14ac:dyDescent="0.25">
      <c r="A348" s="1" t="s">
        <v>457</v>
      </c>
      <c r="B348" s="1" t="s">
        <v>1826</v>
      </c>
      <c r="C348" s="1" t="s">
        <v>82</v>
      </c>
      <c r="D348" s="2"/>
      <c r="E348" s="1" t="s">
        <v>207</v>
      </c>
      <c r="F348" s="1"/>
      <c r="G348" s="1" t="s">
        <v>35</v>
      </c>
      <c r="H348" s="2"/>
      <c r="I348">
        <v>1</v>
      </c>
      <c r="J348" s="1" t="s">
        <v>234</v>
      </c>
      <c r="K348" s="1" t="s">
        <v>1165</v>
      </c>
      <c r="L348">
        <v>3.7181527962839982</v>
      </c>
      <c r="M348" s="1" t="s">
        <v>234</v>
      </c>
      <c r="N348" s="1" t="s">
        <v>235</v>
      </c>
    </row>
    <row r="349" spans="1:14" x14ac:dyDescent="0.25">
      <c r="A349" s="1" t="s">
        <v>456</v>
      </c>
      <c r="B349" s="1" t="s">
        <v>1826</v>
      </c>
      <c r="C349" s="1" t="s">
        <v>82</v>
      </c>
      <c r="D349" s="2"/>
      <c r="E349" s="1" t="s">
        <v>207</v>
      </c>
      <c r="F349" s="1"/>
      <c r="G349" s="1" t="s">
        <v>35</v>
      </c>
      <c r="H349" s="2"/>
      <c r="I349">
        <v>1</v>
      </c>
      <c r="J349" s="1" t="s">
        <v>234</v>
      </c>
      <c r="K349" s="1" t="s">
        <v>1165</v>
      </c>
      <c r="L349">
        <v>5.6865726791929712</v>
      </c>
      <c r="M349" s="1" t="s">
        <v>234</v>
      </c>
      <c r="N349" s="1" t="s">
        <v>235</v>
      </c>
    </row>
    <row r="350" spans="1:14" x14ac:dyDescent="0.25">
      <c r="A350" s="1" t="s">
        <v>1832</v>
      </c>
      <c r="B350" s="1" t="s">
        <v>1826</v>
      </c>
      <c r="C350" s="1" t="s">
        <v>82</v>
      </c>
      <c r="D350" s="2"/>
      <c r="E350" s="1" t="s">
        <v>207</v>
      </c>
      <c r="F350" s="1"/>
      <c r="G350" s="1" t="s">
        <v>35</v>
      </c>
      <c r="H350" s="2"/>
      <c r="I350">
        <v>1</v>
      </c>
      <c r="J350" s="1" t="s">
        <v>234</v>
      </c>
      <c r="K350" s="1" t="s">
        <v>1165</v>
      </c>
      <c r="L350">
        <v>7.0167375606228815</v>
      </c>
      <c r="M350" s="1" t="s">
        <v>234</v>
      </c>
      <c r="N350" s="1" t="s">
        <v>235</v>
      </c>
    </row>
    <row r="351" spans="1:14" x14ac:dyDescent="0.25">
      <c r="A351" s="1" t="s">
        <v>1833</v>
      </c>
      <c r="B351" s="1" t="s">
        <v>1826</v>
      </c>
      <c r="C351" s="1" t="s">
        <v>82</v>
      </c>
      <c r="D351" s="2"/>
      <c r="E351" s="1" t="s">
        <v>207</v>
      </c>
      <c r="F351" s="1"/>
      <c r="G351" s="1" t="s">
        <v>35</v>
      </c>
      <c r="H351" s="2"/>
      <c r="I351">
        <v>1</v>
      </c>
      <c r="J351" s="1" t="s">
        <v>234</v>
      </c>
      <c r="K351" s="1" t="s">
        <v>1165</v>
      </c>
      <c r="L351">
        <v>5.6465129132526748</v>
      </c>
      <c r="M351" s="1" t="s">
        <v>234</v>
      </c>
      <c r="N351" s="1" t="s">
        <v>235</v>
      </c>
    </row>
    <row r="352" spans="1:14" x14ac:dyDescent="0.25">
      <c r="A352" s="1" t="s">
        <v>1834</v>
      </c>
      <c r="B352" s="1" t="s">
        <v>1826</v>
      </c>
      <c r="C352" s="1" t="s">
        <v>82</v>
      </c>
      <c r="D352" s="2"/>
      <c r="E352" s="1" t="s">
        <v>207</v>
      </c>
      <c r="F352" s="1"/>
      <c r="G352" s="1" t="s">
        <v>35</v>
      </c>
      <c r="H352" s="2"/>
      <c r="I352">
        <v>1</v>
      </c>
      <c r="J352" s="1" t="s">
        <v>234</v>
      </c>
      <c r="K352" s="1" t="s">
        <v>1165</v>
      </c>
      <c r="L352">
        <v>5.645091096462763</v>
      </c>
      <c r="M352" s="1" t="s">
        <v>234</v>
      </c>
      <c r="N352" s="1" t="s">
        <v>235</v>
      </c>
    </row>
    <row r="353" spans="1:14" x14ac:dyDescent="0.25">
      <c r="A353" s="1" t="s">
        <v>1835</v>
      </c>
      <c r="B353" s="1" t="s">
        <v>1826</v>
      </c>
      <c r="C353" s="1" t="s">
        <v>82</v>
      </c>
      <c r="D353" s="2"/>
      <c r="E353" s="1" t="s">
        <v>207</v>
      </c>
      <c r="F353" s="1"/>
      <c r="G353" s="1" t="s">
        <v>35</v>
      </c>
      <c r="H353" s="2"/>
      <c r="I353">
        <v>1</v>
      </c>
      <c r="J353" s="1" t="s">
        <v>234</v>
      </c>
      <c r="K353" s="1" t="s">
        <v>1165</v>
      </c>
      <c r="L353">
        <v>6.5892507754344596</v>
      </c>
      <c r="M353" s="1" t="s">
        <v>234</v>
      </c>
      <c r="N353" s="1" t="s">
        <v>235</v>
      </c>
    </row>
    <row r="354" spans="1:14" x14ac:dyDescent="0.25">
      <c r="A354" s="1" t="s">
        <v>1836</v>
      </c>
      <c r="B354" s="1" t="s">
        <v>1826</v>
      </c>
      <c r="C354" s="1" t="s">
        <v>82</v>
      </c>
      <c r="D354" s="2"/>
      <c r="E354" s="1" t="s">
        <v>207</v>
      </c>
      <c r="F354" s="1"/>
      <c r="G354" s="1" t="s">
        <v>35</v>
      </c>
      <c r="H354" s="2"/>
      <c r="I354">
        <v>1</v>
      </c>
      <c r="J354" s="1" t="s">
        <v>234</v>
      </c>
      <c r="K354" s="1" t="s">
        <v>1165</v>
      </c>
      <c r="L354">
        <v>4.6627206634299903</v>
      </c>
      <c r="M354" s="1" t="s">
        <v>234</v>
      </c>
      <c r="N354" s="1" t="s">
        <v>235</v>
      </c>
    </row>
    <row r="355" spans="1:14" x14ac:dyDescent="0.25">
      <c r="A355" s="1" t="s">
        <v>1837</v>
      </c>
      <c r="B355" s="1" t="s">
        <v>1826</v>
      </c>
      <c r="C355" s="1" t="s">
        <v>82</v>
      </c>
      <c r="D355" s="2"/>
      <c r="E355" s="1" t="s">
        <v>207</v>
      </c>
      <c r="F355" s="1"/>
      <c r="G355" s="1" t="s">
        <v>35</v>
      </c>
      <c r="H355" s="2"/>
      <c r="I355">
        <v>1</v>
      </c>
      <c r="J355" s="1" t="s">
        <v>234</v>
      </c>
      <c r="K355" s="1" t="s">
        <v>1165</v>
      </c>
      <c r="L355">
        <v>5.6858271331852439</v>
      </c>
      <c r="M355" s="1" t="s">
        <v>234</v>
      </c>
      <c r="N355" s="1" t="s">
        <v>235</v>
      </c>
    </row>
    <row r="356" spans="1:14" x14ac:dyDescent="0.25">
      <c r="A356" s="1" t="s">
        <v>1838</v>
      </c>
      <c r="B356" s="1" t="s">
        <v>1826</v>
      </c>
      <c r="C356" s="1" t="s">
        <v>82</v>
      </c>
      <c r="D356" s="2"/>
      <c r="E356" s="1" t="s">
        <v>207</v>
      </c>
      <c r="F356" s="1"/>
      <c r="G356" s="1" t="s">
        <v>35</v>
      </c>
      <c r="H356" s="2"/>
      <c r="I356">
        <v>1</v>
      </c>
      <c r="J356" s="1" t="s">
        <v>234</v>
      </c>
      <c r="K356" s="1" t="s">
        <v>1165</v>
      </c>
      <c r="L356">
        <v>5.6389044945962903</v>
      </c>
      <c r="M356" s="1" t="s">
        <v>234</v>
      </c>
      <c r="N356" s="1" t="s">
        <v>235</v>
      </c>
    </row>
    <row r="357" spans="1:14" x14ac:dyDescent="0.25">
      <c r="A357" s="1" t="s">
        <v>470</v>
      </c>
      <c r="B357" s="1" t="s">
        <v>1826</v>
      </c>
      <c r="C357" s="1" t="s">
        <v>82</v>
      </c>
      <c r="D357" s="2"/>
      <c r="E357" s="1" t="s">
        <v>207</v>
      </c>
      <c r="F357" s="1"/>
      <c r="G357" s="1" t="s">
        <v>35</v>
      </c>
      <c r="H357" s="2"/>
      <c r="I357">
        <v>1</v>
      </c>
      <c r="J357" s="1" t="s">
        <v>234</v>
      </c>
      <c r="K357" s="1" t="s">
        <v>1165</v>
      </c>
      <c r="L357">
        <v>6.5768584544194661</v>
      </c>
      <c r="M357" s="1" t="s">
        <v>234</v>
      </c>
      <c r="N357" s="1" t="s">
        <v>235</v>
      </c>
    </row>
    <row r="358" spans="1:14" x14ac:dyDescent="0.25">
      <c r="A358" s="1" t="s">
        <v>468</v>
      </c>
      <c r="B358" s="1" t="s">
        <v>1826</v>
      </c>
      <c r="C358" s="1" t="s">
        <v>82</v>
      </c>
      <c r="D358" s="2"/>
      <c r="E358" s="1" t="s">
        <v>207</v>
      </c>
      <c r="F358" s="1"/>
      <c r="G358" s="1" t="s">
        <v>35</v>
      </c>
      <c r="H358" s="2"/>
      <c r="I358">
        <v>1</v>
      </c>
      <c r="J358" s="1" t="s">
        <v>234</v>
      </c>
      <c r="K358" s="1" t="s">
        <v>1165</v>
      </c>
      <c r="L358">
        <v>4.6601475436001545</v>
      </c>
      <c r="M358" s="1" t="s">
        <v>234</v>
      </c>
      <c r="N358" s="1" t="s">
        <v>235</v>
      </c>
    </row>
    <row r="359" spans="1:14" x14ac:dyDescent="0.25">
      <c r="A359" s="1" t="s">
        <v>446</v>
      </c>
      <c r="B359" s="1" t="s">
        <v>1899</v>
      </c>
      <c r="C359" s="1" t="s">
        <v>80</v>
      </c>
      <c r="D359" s="2"/>
      <c r="E359" s="1" t="s">
        <v>207</v>
      </c>
      <c r="F359" s="1"/>
      <c r="G359" s="1" t="s">
        <v>35</v>
      </c>
      <c r="H359" s="2"/>
      <c r="I359">
        <v>1</v>
      </c>
      <c r="J359" s="1" t="s">
        <v>234</v>
      </c>
      <c r="K359" s="1" t="s">
        <v>1165</v>
      </c>
      <c r="L359">
        <v>3.274486203778872</v>
      </c>
      <c r="M359" s="1" t="s">
        <v>234</v>
      </c>
      <c r="N359" s="1" t="s">
        <v>235</v>
      </c>
    </row>
    <row r="360" spans="1:14" x14ac:dyDescent="0.25">
      <c r="A360" s="1" t="s">
        <v>2033</v>
      </c>
      <c r="B360" s="1" t="s">
        <v>1899</v>
      </c>
      <c r="C360" s="1" t="s">
        <v>80</v>
      </c>
      <c r="D360" s="2"/>
      <c r="E360" s="1" t="s">
        <v>207</v>
      </c>
      <c r="F360" s="1"/>
      <c r="G360" s="1" t="s">
        <v>35</v>
      </c>
      <c r="H360" s="2"/>
      <c r="I360">
        <v>1</v>
      </c>
      <c r="J360" s="1" t="s">
        <v>234</v>
      </c>
      <c r="K360" s="1" t="s">
        <v>1165</v>
      </c>
      <c r="L360">
        <v>6.2769626366120841</v>
      </c>
      <c r="M360" s="1" t="s">
        <v>234</v>
      </c>
      <c r="N360" s="1" t="s">
        <v>235</v>
      </c>
    </row>
    <row r="361" spans="1:14" x14ac:dyDescent="0.25">
      <c r="A361" s="1" t="s">
        <v>2034</v>
      </c>
      <c r="B361" s="1" t="s">
        <v>1899</v>
      </c>
      <c r="C361" s="1" t="s">
        <v>80</v>
      </c>
      <c r="D361" s="2"/>
      <c r="E361" s="1" t="s">
        <v>207</v>
      </c>
      <c r="F361" s="1"/>
      <c r="G361" s="1" t="s">
        <v>35</v>
      </c>
      <c r="H361" s="2"/>
      <c r="I361">
        <v>1</v>
      </c>
      <c r="J361" s="1" t="s">
        <v>234</v>
      </c>
      <c r="K361" s="1" t="s">
        <v>1165</v>
      </c>
      <c r="L361">
        <v>5.1365734536454113</v>
      </c>
      <c r="M361" s="1" t="s">
        <v>234</v>
      </c>
      <c r="N361" s="1" t="s">
        <v>235</v>
      </c>
    </row>
    <row r="362" spans="1:14" x14ac:dyDescent="0.25">
      <c r="A362" s="1" t="s">
        <v>2035</v>
      </c>
      <c r="B362" s="1" t="s">
        <v>1899</v>
      </c>
      <c r="C362" s="1" t="s">
        <v>80</v>
      </c>
      <c r="D362" s="2"/>
      <c r="E362" s="1" t="s">
        <v>207</v>
      </c>
      <c r="F362" s="1"/>
      <c r="G362" s="1" t="s">
        <v>35</v>
      </c>
      <c r="H362" s="2"/>
      <c r="I362">
        <v>1</v>
      </c>
      <c r="J362" s="1" t="s">
        <v>234</v>
      </c>
      <c r="K362" s="1" t="s">
        <v>1165</v>
      </c>
      <c r="L362">
        <v>3.4476663770161591</v>
      </c>
      <c r="M362" s="1" t="s">
        <v>234</v>
      </c>
      <c r="N362" s="1" t="s">
        <v>235</v>
      </c>
    </row>
    <row r="363" spans="1:14" x14ac:dyDescent="0.25">
      <c r="A363" s="1" t="s">
        <v>2036</v>
      </c>
      <c r="B363" s="1" t="s">
        <v>1899</v>
      </c>
      <c r="C363" s="1" t="s">
        <v>80</v>
      </c>
      <c r="D363" s="2"/>
      <c r="E363" s="1" t="s">
        <v>207</v>
      </c>
      <c r="F363" s="1"/>
      <c r="G363" s="1" t="s">
        <v>35</v>
      </c>
      <c r="H363" s="2"/>
      <c r="I363">
        <v>1</v>
      </c>
      <c r="J363" s="1" t="s">
        <v>234</v>
      </c>
      <c r="K363" s="1" t="s">
        <v>1165</v>
      </c>
      <c r="L363">
        <v>6.2748010304451594</v>
      </c>
      <c r="M363" s="1" t="s">
        <v>234</v>
      </c>
      <c r="N363" s="1" t="s">
        <v>235</v>
      </c>
    </row>
    <row r="364" spans="1:14" x14ac:dyDescent="0.25">
      <c r="A364" s="1" t="s">
        <v>2037</v>
      </c>
      <c r="B364" s="1" t="s">
        <v>1899</v>
      </c>
      <c r="C364" s="1" t="s">
        <v>80</v>
      </c>
      <c r="D364" s="2"/>
      <c r="E364" s="1" t="s">
        <v>207</v>
      </c>
      <c r="F364" s="1"/>
      <c r="G364" s="1" t="s">
        <v>35</v>
      </c>
      <c r="H364" s="2"/>
      <c r="I364">
        <v>1</v>
      </c>
      <c r="J364" s="1" t="s">
        <v>234</v>
      </c>
      <c r="K364" s="1" t="s">
        <v>1165</v>
      </c>
      <c r="L364">
        <v>5.2519243453640323</v>
      </c>
      <c r="M364" s="1" t="s">
        <v>234</v>
      </c>
      <c r="N364" s="1" t="s">
        <v>235</v>
      </c>
    </row>
    <row r="365" spans="1:14" x14ac:dyDescent="0.25">
      <c r="A365" s="1" t="s">
        <v>2038</v>
      </c>
      <c r="B365" s="1" t="s">
        <v>1899</v>
      </c>
      <c r="C365" s="1" t="s">
        <v>80</v>
      </c>
      <c r="D365" s="2"/>
      <c r="E365" s="1" t="s">
        <v>207</v>
      </c>
      <c r="F365" s="1"/>
      <c r="G365" s="1" t="s">
        <v>35</v>
      </c>
      <c r="H365" s="2"/>
      <c r="I365">
        <v>1</v>
      </c>
      <c r="J365" s="1" t="s">
        <v>234</v>
      </c>
      <c r="K365" s="1" t="s">
        <v>1165</v>
      </c>
      <c r="L365">
        <v>3.0251368835002435</v>
      </c>
      <c r="M365" s="1" t="s">
        <v>234</v>
      </c>
      <c r="N365" s="1" t="s">
        <v>235</v>
      </c>
    </row>
    <row r="366" spans="1:14" x14ac:dyDescent="0.25">
      <c r="A366" s="1" t="s">
        <v>2039</v>
      </c>
      <c r="B366" s="1" t="s">
        <v>1899</v>
      </c>
      <c r="C366" s="1" t="s">
        <v>80</v>
      </c>
      <c r="D366" s="2"/>
      <c r="E366" s="1" t="s">
        <v>207</v>
      </c>
      <c r="F366" s="1"/>
      <c r="G366" s="1" t="s">
        <v>35</v>
      </c>
      <c r="H366" s="2"/>
      <c r="I366">
        <v>1</v>
      </c>
      <c r="J366" s="1" t="s">
        <v>234</v>
      </c>
      <c r="K366" s="1" t="s">
        <v>1165</v>
      </c>
      <c r="L366">
        <v>6.2996797170709851</v>
      </c>
      <c r="M366" s="1" t="s">
        <v>234</v>
      </c>
      <c r="N366" s="1" t="s">
        <v>235</v>
      </c>
    </row>
    <row r="367" spans="1:14" x14ac:dyDescent="0.25">
      <c r="A367" s="1" t="s">
        <v>2040</v>
      </c>
      <c r="B367" s="1" t="s">
        <v>1899</v>
      </c>
      <c r="C367" s="1" t="s">
        <v>80</v>
      </c>
      <c r="D367" s="2"/>
      <c r="E367" s="1" t="s">
        <v>207</v>
      </c>
      <c r="F367" s="1"/>
      <c r="G367" s="1" t="s">
        <v>35</v>
      </c>
      <c r="H367" s="2"/>
      <c r="I367">
        <v>1</v>
      </c>
      <c r="J367" s="1" t="s">
        <v>234</v>
      </c>
      <c r="K367" s="1" t="s">
        <v>1165</v>
      </c>
      <c r="L367">
        <v>5.9333643621622745</v>
      </c>
      <c r="M367" s="1" t="s">
        <v>234</v>
      </c>
      <c r="N367" s="1" t="s">
        <v>235</v>
      </c>
    </row>
    <row r="368" spans="1:14" x14ac:dyDescent="0.25">
      <c r="A368" s="1" t="s">
        <v>2041</v>
      </c>
      <c r="B368" s="1" t="s">
        <v>1826</v>
      </c>
      <c r="C368" s="1" t="s">
        <v>80</v>
      </c>
      <c r="D368" s="2"/>
      <c r="E368" s="1" t="s">
        <v>207</v>
      </c>
      <c r="F368" s="1"/>
      <c r="G368" s="1" t="s">
        <v>35</v>
      </c>
      <c r="H368" s="2"/>
      <c r="I368">
        <v>1</v>
      </c>
      <c r="J368" s="1" t="s">
        <v>234</v>
      </c>
      <c r="K368" s="1" t="s">
        <v>1165</v>
      </c>
      <c r="L368">
        <v>5.4025378919199989</v>
      </c>
      <c r="M368" s="1" t="s">
        <v>234</v>
      </c>
      <c r="N368" s="1" t="s">
        <v>235</v>
      </c>
    </row>
    <row r="369" spans="1:14" x14ac:dyDescent="0.25">
      <c r="A369" s="1" t="s">
        <v>2042</v>
      </c>
      <c r="B369" s="1" t="s">
        <v>1826</v>
      </c>
      <c r="C369" s="1" t="s">
        <v>80</v>
      </c>
      <c r="D369" s="2"/>
      <c r="E369" s="1" t="s">
        <v>207</v>
      </c>
      <c r="F369" s="1"/>
      <c r="G369" s="1" t="s">
        <v>35</v>
      </c>
      <c r="H369" s="2"/>
      <c r="I369">
        <v>1</v>
      </c>
      <c r="J369" s="1" t="s">
        <v>234</v>
      </c>
      <c r="K369" s="1" t="s">
        <v>1165</v>
      </c>
      <c r="L369">
        <v>4.3271120146093551</v>
      </c>
      <c r="M369" s="1" t="s">
        <v>234</v>
      </c>
      <c r="N369" s="1" t="s">
        <v>235</v>
      </c>
    </row>
    <row r="370" spans="1:14" x14ac:dyDescent="0.25">
      <c r="A370" s="1" t="s">
        <v>2043</v>
      </c>
      <c r="B370" s="1" t="s">
        <v>1826</v>
      </c>
      <c r="C370" s="1" t="s">
        <v>80</v>
      </c>
      <c r="D370" s="2"/>
      <c r="E370" s="1" t="s">
        <v>207</v>
      </c>
      <c r="F370" s="1"/>
      <c r="G370" s="1" t="s">
        <v>35</v>
      </c>
      <c r="H370" s="2"/>
      <c r="I370">
        <v>1</v>
      </c>
      <c r="J370" s="1" t="s">
        <v>234</v>
      </c>
      <c r="K370" s="1" t="s">
        <v>1165</v>
      </c>
      <c r="L370">
        <v>5.4208960852222994</v>
      </c>
      <c r="M370" s="1" t="s">
        <v>234</v>
      </c>
      <c r="N370" s="1" t="s">
        <v>235</v>
      </c>
    </row>
    <row r="371" spans="1:14" x14ac:dyDescent="0.25">
      <c r="A371" s="1" t="s">
        <v>445</v>
      </c>
      <c r="B371" s="1" t="s">
        <v>1826</v>
      </c>
      <c r="C371" s="1" t="s">
        <v>80</v>
      </c>
      <c r="D371" s="2"/>
      <c r="E371" s="1" t="s">
        <v>207</v>
      </c>
      <c r="F371" s="1"/>
      <c r="G371" s="1" t="s">
        <v>35</v>
      </c>
      <c r="H371" s="2"/>
      <c r="I371">
        <v>1</v>
      </c>
      <c r="J371" s="1" t="s">
        <v>234</v>
      </c>
      <c r="K371" s="1" t="s">
        <v>1165</v>
      </c>
      <c r="L371">
        <v>5.8976553912765519</v>
      </c>
      <c r="M371" s="1" t="s">
        <v>234</v>
      </c>
      <c r="N371" s="1" t="s">
        <v>235</v>
      </c>
    </row>
    <row r="372" spans="1:14" x14ac:dyDescent="0.25">
      <c r="A372" s="1" t="s">
        <v>443</v>
      </c>
      <c r="B372" s="1" t="s">
        <v>1826</v>
      </c>
      <c r="C372" s="1" t="s">
        <v>80</v>
      </c>
      <c r="D372" s="2"/>
      <c r="E372" s="1" t="s">
        <v>207</v>
      </c>
      <c r="F372" s="1"/>
      <c r="G372" s="1" t="s">
        <v>35</v>
      </c>
      <c r="H372" s="2"/>
      <c r="I372">
        <v>1</v>
      </c>
      <c r="J372" s="1" t="s">
        <v>234</v>
      </c>
      <c r="K372" s="1" t="s">
        <v>1165</v>
      </c>
      <c r="L372">
        <v>4.4876949739397176</v>
      </c>
      <c r="M372" s="1" t="s">
        <v>234</v>
      </c>
      <c r="N372" s="1" t="s">
        <v>235</v>
      </c>
    </row>
    <row r="373" spans="1:14" x14ac:dyDescent="0.25">
      <c r="A373" s="1" t="s">
        <v>423</v>
      </c>
      <c r="B373" s="1" t="s">
        <v>1826</v>
      </c>
      <c r="C373" s="1" t="s">
        <v>80</v>
      </c>
      <c r="D373" s="2"/>
      <c r="E373" s="1" t="s">
        <v>207</v>
      </c>
      <c r="F373" s="1"/>
      <c r="G373" s="1" t="s">
        <v>35</v>
      </c>
      <c r="H373" s="2"/>
      <c r="I373">
        <v>1</v>
      </c>
      <c r="J373" s="1" t="s">
        <v>234</v>
      </c>
      <c r="K373" s="1" t="s">
        <v>1165</v>
      </c>
      <c r="L373">
        <v>5.4900809333487306</v>
      </c>
      <c r="M373" s="1" t="s">
        <v>234</v>
      </c>
      <c r="N373" s="1" t="s">
        <v>235</v>
      </c>
    </row>
    <row r="374" spans="1:14" x14ac:dyDescent="0.25">
      <c r="A374" s="1" t="s">
        <v>429</v>
      </c>
      <c r="B374" s="1" t="s">
        <v>1826</v>
      </c>
      <c r="C374" s="1" t="s">
        <v>80</v>
      </c>
      <c r="D374" s="2"/>
      <c r="E374" s="1" t="s">
        <v>207</v>
      </c>
      <c r="F374" s="1"/>
      <c r="G374" s="1" t="s">
        <v>35</v>
      </c>
      <c r="H374" s="2"/>
      <c r="I374">
        <v>1</v>
      </c>
      <c r="J374" s="1" t="s">
        <v>234</v>
      </c>
      <c r="K374" s="1" t="s">
        <v>1165</v>
      </c>
      <c r="L374">
        <v>6.1315940008385192</v>
      </c>
      <c r="M374" s="1" t="s">
        <v>234</v>
      </c>
      <c r="N374" s="1" t="s">
        <v>235</v>
      </c>
    </row>
    <row r="375" spans="1:14" x14ac:dyDescent="0.25">
      <c r="A375" s="1" t="s">
        <v>428</v>
      </c>
      <c r="B375" s="1" t="s">
        <v>1826</v>
      </c>
      <c r="C375" s="1" t="s">
        <v>80</v>
      </c>
      <c r="D375" s="2"/>
      <c r="E375" s="1" t="s">
        <v>207</v>
      </c>
      <c r="F375" s="1"/>
      <c r="G375" s="1" t="s">
        <v>35</v>
      </c>
      <c r="H375" s="2"/>
      <c r="I375">
        <v>1</v>
      </c>
      <c r="J375" s="1" t="s">
        <v>234</v>
      </c>
      <c r="K375" s="1" t="s">
        <v>1165</v>
      </c>
      <c r="L375">
        <v>3.9965283929511535</v>
      </c>
      <c r="M375" s="1" t="s">
        <v>234</v>
      </c>
      <c r="N375" s="1" t="s">
        <v>235</v>
      </c>
    </row>
    <row r="376" spans="1:14" x14ac:dyDescent="0.25">
      <c r="A376" s="1" t="s">
        <v>455</v>
      </c>
      <c r="B376" s="1" t="s">
        <v>1826</v>
      </c>
      <c r="C376" s="1" t="s">
        <v>80</v>
      </c>
      <c r="D376" s="2"/>
      <c r="E376" s="1" t="s">
        <v>207</v>
      </c>
      <c r="F376" s="1"/>
      <c r="G376" s="1" t="s">
        <v>35</v>
      </c>
      <c r="H376" s="2"/>
      <c r="I376">
        <v>1</v>
      </c>
      <c r="J376" s="1" t="s">
        <v>234</v>
      </c>
      <c r="K376" s="1" t="s">
        <v>1165</v>
      </c>
      <c r="L376">
        <v>6.4527727619584621</v>
      </c>
      <c r="M376" s="1" t="s">
        <v>234</v>
      </c>
      <c r="N376" s="1" t="s">
        <v>235</v>
      </c>
    </row>
    <row r="377" spans="1:14" x14ac:dyDescent="0.25">
      <c r="A377" s="1" t="s">
        <v>441</v>
      </c>
      <c r="B377" s="1" t="s">
        <v>1899</v>
      </c>
      <c r="C377" s="1" t="s">
        <v>81</v>
      </c>
      <c r="D377" s="2"/>
      <c r="E377" s="1" t="s">
        <v>207</v>
      </c>
      <c r="F377" s="1"/>
      <c r="G377" s="1" t="s">
        <v>35</v>
      </c>
      <c r="H377" s="2"/>
      <c r="I377">
        <v>1</v>
      </c>
      <c r="J377" s="1" t="s">
        <v>234</v>
      </c>
      <c r="K377" s="1" t="s">
        <v>1165</v>
      </c>
      <c r="L377">
        <v>5.4149989581584519</v>
      </c>
      <c r="M377" s="1" t="s">
        <v>234</v>
      </c>
      <c r="N377" s="1" t="s">
        <v>235</v>
      </c>
    </row>
    <row r="378" spans="1:14" x14ac:dyDescent="0.25">
      <c r="A378" s="1" t="s">
        <v>2044</v>
      </c>
      <c r="B378" s="1" t="s">
        <v>1899</v>
      </c>
      <c r="C378" s="1" t="s">
        <v>81</v>
      </c>
      <c r="D378" s="2"/>
      <c r="E378" s="1" t="s">
        <v>207</v>
      </c>
      <c r="F378" s="1"/>
      <c r="G378" s="1" t="s">
        <v>35</v>
      </c>
      <c r="H378" s="2"/>
      <c r="I378">
        <v>1</v>
      </c>
      <c r="J378" s="1" t="s">
        <v>234</v>
      </c>
      <c r="K378" s="1" t="s">
        <v>1165</v>
      </c>
      <c r="L378">
        <v>3.3976981356462272</v>
      </c>
      <c r="M378" s="1" t="s">
        <v>234</v>
      </c>
      <c r="N378" s="1" t="s">
        <v>235</v>
      </c>
    </row>
    <row r="379" spans="1:14" x14ac:dyDescent="0.25">
      <c r="A379" s="1" t="s">
        <v>2045</v>
      </c>
      <c r="B379" s="1" t="s">
        <v>1899</v>
      </c>
      <c r="C379" s="1" t="s">
        <v>81</v>
      </c>
      <c r="D379" s="2"/>
      <c r="E379" s="1" t="s">
        <v>207</v>
      </c>
      <c r="F379" s="1"/>
      <c r="G379" s="1" t="s">
        <v>35</v>
      </c>
      <c r="H379" s="2"/>
      <c r="I379">
        <v>1</v>
      </c>
      <c r="J379" s="1" t="s">
        <v>234</v>
      </c>
      <c r="K379" s="1" t="s">
        <v>1165</v>
      </c>
      <c r="L379">
        <v>5.4821841241116545</v>
      </c>
      <c r="M379" s="1" t="s">
        <v>234</v>
      </c>
      <c r="N379" s="1" t="s">
        <v>235</v>
      </c>
    </row>
    <row r="380" spans="1:14" x14ac:dyDescent="0.25">
      <c r="A380" s="1" t="s">
        <v>2046</v>
      </c>
      <c r="B380" s="1" t="s">
        <v>1899</v>
      </c>
      <c r="C380" s="1" t="s">
        <v>81</v>
      </c>
      <c r="D380" s="2"/>
      <c r="E380" s="1" t="s">
        <v>207</v>
      </c>
      <c r="F380" s="1"/>
      <c r="G380" s="1" t="s">
        <v>35</v>
      </c>
      <c r="H380" s="2"/>
      <c r="I380">
        <v>1</v>
      </c>
      <c r="J380" s="1" t="s">
        <v>234</v>
      </c>
      <c r="K380" s="1" t="s">
        <v>1165</v>
      </c>
      <c r="L380">
        <v>3.3530282295008531</v>
      </c>
      <c r="M380" s="1" t="s">
        <v>234</v>
      </c>
      <c r="N380" s="1" t="s">
        <v>235</v>
      </c>
    </row>
    <row r="381" spans="1:14" x14ac:dyDescent="0.25">
      <c r="A381" s="1" t="s">
        <v>2047</v>
      </c>
      <c r="B381" s="1" t="s">
        <v>1899</v>
      </c>
      <c r="C381" s="1" t="s">
        <v>81</v>
      </c>
      <c r="D381" s="2"/>
      <c r="E381" s="1" t="s">
        <v>207</v>
      </c>
      <c r="F381" s="1"/>
      <c r="G381" s="1" t="s">
        <v>35</v>
      </c>
      <c r="H381" s="2"/>
      <c r="I381">
        <v>1</v>
      </c>
      <c r="J381" s="1" t="s">
        <v>234</v>
      </c>
      <c r="K381" s="1" t="s">
        <v>1165</v>
      </c>
      <c r="L381">
        <v>3.8009543172871525</v>
      </c>
      <c r="M381" s="1" t="s">
        <v>234</v>
      </c>
      <c r="N381" s="1" t="s">
        <v>235</v>
      </c>
    </row>
    <row r="382" spans="1:14" x14ac:dyDescent="0.25">
      <c r="A382" s="1" t="s">
        <v>2048</v>
      </c>
      <c r="B382" s="1" t="s">
        <v>1899</v>
      </c>
      <c r="C382" s="1" t="s">
        <v>81</v>
      </c>
      <c r="D382" s="2"/>
      <c r="E382" s="1" t="s">
        <v>207</v>
      </c>
      <c r="F382" s="1"/>
      <c r="G382" s="1" t="s">
        <v>35</v>
      </c>
      <c r="H382" s="2"/>
      <c r="I382">
        <v>1</v>
      </c>
      <c r="J382" s="1" t="s">
        <v>234</v>
      </c>
      <c r="K382" s="1" t="s">
        <v>1165</v>
      </c>
      <c r="L382">
        <v>3.1480138936014344</v>
      </c>
      <c r="M382" s="1" t="s">
        <v>234</v>
      </c>
      <c r="N382" s="1" t="s">
        <v>235</v>
      </c>
    </row>
    <row r="383" spans="1:14" x14ac:dyDescent="0.25">
      <c r="A383" s="1" t="s">
        <v>2049</v>
      </c>
      <c r="B383" s="1" t="s">
        <v>1899</v>
      </c>
      <c r="C383" s="1" t="s">
        <v>81</v>
      </c>
      <c r="D383" s="2"/>
      <c r="E383" s="1" t="s">
        <v>207</v>
      </c>
      <c r="F383" s="1"/>
      <c r="G383" s="1" t="s">
        <v>35</v>
      </c>
      <c r="H383" s="2"/>
      <c r="I383">
        <v>1</v>
      </c>
      <c r="J383" s="1" t="s">
        <v>234</v>
      </c>
      <c r="K383" s="1" t="s">
        <v>1165</v>
      </c>
      <c r="L383">
        <v>3.8916544196676264</v>
      </c>
      <c r="M383" s="1" t="s">
        <v>234</v>
      </c>
      <c r="N383" s="1" t="s">
        <v>235</v>
      </c>
    </row>
    <row r="384" spans="1:14" x14ac:dyDescent="0.25">
      <c r="A384" s="1" t="s">
        <v>2050</v>
      </c>
      <c r="B384" s="1" t="s">
        <v>1899</v>
      </c>
      <c r="C384" s="1" t="s">
        <v>81</v>
      </c>
      <c r="D384" s="2"/>
      <c r="E384" s="1" t="s">
        <v>207</v>
      </c>
      <c r="F384" s="1"/>
      <c r="G384" s="1" t="s">
        <v>35</v>
      </c>
      <c r="H384" s="2"/>
      <c r="I384">
        <v>1</v>
      </c>
      <c r="J384" s="1" t="s">
        <v>234</v>
      </c>
      <c r="K384" s="1" t="s">
        <v>1165</v>
      </c>
      <c r="L384">
        <v>2.9508264377279976</v>
      </c>
      <c r="M384" s="1" t="s">
        <v>234</v>
      </c>
      <c r="N384" s="1" t="s">
        <v>235</v>
      </c>
    </row>
    <row r="385" spans="1:14" x14ac:dyDescent="0.25">
      <c r="A385" s="1" t="s">
        <v>2051</v>
      </c>
      <c r="B385" s="1" t="s">
        <v>1826</v>
      </c>
      <c r="C385" s="1" t="s">
        <v>81</v>
      </c>
      <c r="D385" s="2"/>
      <c r="E385" s="1" t="s">
        <v>207</v>
      </c>
      <c r="F385" s="1"/>
      <c r="G385" s="1" t="s">
        <v>35</v>
      </c>
      <c r="H385" s="2"/>
      <c r="I385">
        <v>1</v>
      </c>
      <c r="J385" s="1" t="s">
        <v>234</v>
      </c>
      <c r="K385" s="1" t="s">
        <v>1165</v>
      </c>
      <c r="L385">
        <v>4.0440352829490314</v>
      </c>
      <c r="M385" s="1" t="s">
        <v>234</v>
      </c>
      <c r="N385" s="1" t="s">
        <v>235</v>
      </c>
    </row>
    <row r="386" spans="1:14" x14ac:dyDescent="0.25">
      <c r="A386" s="1" t="s">
        <v>467</v>
      </c>
      <c r="B386" s="1" t="s">
        <v>1826</v>
      </c>
      <c r="C386" s="1" t="s">
        <v>81</v>
      </c>
      <c r="D386" s="2"/>
      <c r="E386" s="1" t="s">
        <v>207</v>
      </c>
      <c r="F386" s="1"/>
      <c r="G386" s="1" t="s">
        <v>35</v>
      </c>
      <c r="H386" s="2"/>
      <c r="I386">
        <v>1</v>
      </c>
      <c r="J386" s="1" t="s">
        <v>234</v>
      </c>
      <c r="K386" s="1" t="s">
        <v>1165</v>
      </c>
      <c r="L386">
        <v>4.6882871625799396</v>
      </c>
      <c r="M386" s="1" t="s">
        <v>234</v>
      </c>
      <c r="N386" s="1" t="s">
        <v>235</v>
      </c>
    </row>
    <row r="387" spans="1:14" x14ac:dyDescent="0.25">
      <c r="A387" s="1" t="s">
        <v>466</v>
      </c>
      <c r="B387" s="1" t="s">
        <v>1826</v>
      </c>
      <c r="C387" s="1" t="s">
        <v>81</v>
      </c>
      <c r="D387" s="2"/>
      <c r="E387" s="1" t="s">
        <v>207</v>
      </c>
      <c r="F387" s="1"/>
      <c r="G387" s="1" t="s">
        <v>35</v>
      </c>
      <c r="H387" s="2"/>
      <c r="I387">
        <v>1</v>
      </c>
      <c r="J387" s="1" t="s">
        <v>234</v>
      </c>
      <c r="K387" s="1" t="s">
        <v>1165</v>
      </c>
      <c r="L387">
        <v>4.044036361207338</v>
      </c>
      <c r="M387" s="1" t="s">
        <v>234</v>
      </c>
      <c r="N387" s="1" t="s">
        <v>235</v>
      </c>
    </row>
    <row r="388" spans="1:14" x14ac:dyDescent="0.25">
      <c r="A388" s="1" t="s">
        <v>465</v>
      </c>
      <c r="B388" s="1" t="s">
        <v>1826</v>
      </c>
      <c r="C388" s="1" t="s">
        <v>81</v>
      </c>
      <c r="D388" s="2"/>
      <c r="E388" s="1" t="s">
        <v>207</v>
      </c>
      <c r="F388" s="1"/>
      <c r="G388" s="1" t="s">
        <v>35</v>
      </c>
      <c r="H388" s="2"/>
      <c r="I388">
        <v>1</v>
      </c>
      <c r="J388" s="1" t="s">
        <v>234</v>
      </c>
      <c r="K388" s="1" t="s">
        <v>1165</v>
      </c>
      <c r="L388">
        <v>4.6882878481150296</v>
      </c>
      <c r="M388" s="1" t="s">
        <v>234</v>
      </c>
      <c r="N388" s="1" t="s">
        <v>235</v>
      </c>
    </row>
    <row r="389" spans="1:14" x14ac:dyDescent="0.25">
      <c r="A389" s="1" t="s">
        <v>2052</v>
      </c>
      <c r="B389" s="1" t="s">
        <v>1826</v>
      </c>
      <c r="C389" s="1" t="s">
        <v>81</v>
      </c>
      <c r="D389" s="2"/>
      <c r="E389" s="1" t="s">
        <v>207</v>
      </c>
      <c r="F389" s="1"/>
      <c r="G389" s="1" t="s">
        <v>35</v>
      </c>
      <c r="H389" s="2"/>
      <c r="I389">
        <v>1</v>
      </c>
      <c r="J389" s="1" t="s">
        <v>234</v>
      </c>
      <c r="K389" s="1" t="s">
        <v>1165</v>
      </c>
      <c r="L389">
        <v>4.0300853837501451</v>
      </c>
      <c r="M389" s="1" t="s">
        <v>234</v>
      </c>
      <c r="N389" s="1" t="s">
        <v>235</v>
      </c>
    </row>
    <row r="390" spans="1:14" x14ac:dyDescent="0.25">
      <c r="A390" s="1" t="s">
        <v>2053</v>
      </c>
      <c r="B390" s="1" t="s">
        <v>1826</v>
      </c>
      <c r="C390" s="1" t="s">
        <v>81</v>
      </c>
      <c r="D390" s="2"/>
      <c r="E390" s="1" t="s">
        <v>207</v>
      </c>
      <c r="F390" s="1"/>
      <c r="G390" s="1" t="s">
        <v>35</v>
      </c>
      <c r="H390" s="2"/>
      <c r="I390">
        <v>1</v>
      </c>
      <c r="J390" s="1" t="s">
        <v>234</v>
      </c>
      <c r="K390" s="1" t="s">
        <v>1165</v>
      </c>
      <c r="L390">
        <v>2.9251403664760067</v>
      </c>
      <c r="M390" s="1" t="s">
        <v>234</v>
      </c>
      <c r="N390" s="1" t="s">
        <v>235</v>
      </c>
    </row>
    <row r="391" spans="1:14" x14ac:dyDescent="0.25">
      <c r="A391" s="1" t="s">
        <v>2054</v>
      </c>
      <c r="B391" s="1" t="s">
        <v>1826</v>
      </c>
      <c r="C391" s="1" t="s">
        <v>81</v>
      </c>
      <c r="D391" s="2"/>
      <c r="E391" s="1" t="s">
        <v>207</v>
      </c>
      <c r="F391" s="1"/>
      <c r="G391" s="1" t="s">
        <v>35</v>
      </c>
      <c r="H391" s="2"/>
      <c r="I391">
        <v>1</v>
      </c>
      <c r="J391" s="1" t="s">
        <v>234</v>
      </c>
      <c r="K391" s="1" t="s">
        <v>1165</v>
      </c>
      <c r="L391">
        <v>3.8967225758658408</v>
      </c>
      <c r="M391" s="1" t="s">
        <v>234</v>
      </c>
      <c r="N391" s="1" t="s">
        <v>235</v>
      </c>
    </row>
    <row r="392" spans="1:14" x14ac:dyDescent="0.25">
      <c r="A392" s="1" t="s">
        <v>464</v>
      </c>
      <c r="B392" s="1" t="s">
        <v>1826</v>
      </c>
      <c r="C392" s="1" t="s">
        <v>81</v>
      </c>
      <c r="D392" s="2"/>
      <c r="E392" s="1" t="s">
        <v>207</v>
      </c>
      <c r="F392" s="1"/>
      <c r="G392" s="1" t="s">
        <v>35</v>
      </c>
      <c r="H392" s="2"/>
      <c r="I392">
        <v>1</v>
      </c>
      <c r="J392" s="1" t="s">
        <v>234</v>
      </c>
      <c r="K392" s="1" t="s">
        <v>1165</v>
      </c>
      <c r="L392">
        <v>2.7914199881538999</v>
      </c>
      <c r="M392" s="1" t="s">
        <v>234</v>
      </c>
      <c r="N392" s="1" t="s">
        <v>235</v>
      </c>
    </row>
    <row r="393" spans="1:14" x14ac:dyDescent="0.25">
      <c r="A393" s="1" t="s">
        <v>463</v>
      </c>
      <c r="B393" s="1" t="s">
        <v>1899</v>
      </c>
      <c r="C393" s="1" t="s">
        <v>82</v>
      </c>
      <c r="D393" s="2"/>
      <c r="E393" s="1" t="s">
        <v>207</v>
      </c>
      <c r="F393" s="1"/>
      <c r="G393" s="1" t="s">
        <v>35</v>
      </c>
      <c r="H393" s="2"/>
      <c r="I393">
        <v>1</v>
      </c>
      <c r="J393" s="1" t="s">
        <v>234</v>
      </c>
      <c r="K393" s="1" t="s">
        <v>1165</v>
      </c>
      <c r="L393">
        <v>4.0717619909830605</v>
      </c>
      <c r="M393" s="1" t="s">
        <v>234</v>
      </c>
      <c r="N393" s="1" t="s">
        <v>235</v>
      </c>
    </row>
    <row r="394" spans="1:14" x14ac:dyDescent="0.25">
      <c r="A394" s="1" t="s">
        <v>462</v>
      </c>
      <c r="B394" s="1" t="s">
        <v>1899</v>
      </c>
      <c r="C394" s="1" t="s">
        <v>82</v>
      </c>
      <c r="D394" s="2"/>
      <c r="E394" s="1" t="s">
        <v>207</v>
      </c>
      <c r="F394" s="1"/>
      <c r="G394" s="1" t="s">
        <v>35</v>
      </c>
      <c r="H394" s="2"/>
      <c r="I394">
        <v>1</v>
      </c>
      <c r="J394" s="1" t="s">
        <v>234</v>
      </c>
      <c r="K394" s="1" t="s">
        <v>1165</v>
      </c>
      <c r="L394">
        <v>4.1592569875432348</v>
      </c>
      <c r="M394" s="1" t="s">
        <v>234</v>
      </c>
      <c r="N394" s="1" t="s">
        <v>235</v>
      </c>
    </row>
    <row r="395" spans="1:14" x14ac:dyDescent="0.25">
      <c r="A395" s="1" t="s">
        <v>444</v>
      </c>
      <c r="B395" s="1" t="s">
        <v>1899</v>
      </c>
      <c r="C395" s="1" t="s">
        <v>82</v>
      </c>
      <c r="D395" s="2"/>
      <c r="E395" s="1" t="s">
        <v>207</v>
      </c>
      <c r="F395" s="1"/>
      <c r="G395" s="1" t="s">
        <v>35</v>
      </c>
      <c r="H395" s="2"/>
      <c r="I395">
        <v>1</v>
      </c>
      <c r="J395" s="1" t="s">
        <v>234</v>
      </c>
      <c r="K395" s="1" t="s">
        <v>1165</v>
      </c>
      <c r="L395">
        <v>4.2737509981551991</v>
      </c>
      <c r="M395" s="1" t="s">
        <v>234</v>
      </c>
      <c r="N395" s="1" t="s">
        <v>235</v>
      </c>
    </row>
    <row r="396" spans="1:14" x14ac:dyDescent="0.25">
      <c r="A396" s="1" t="s">
        <v>2055</v>
      </c>
      <c r="B396" s="1" t="s">
        <v>1899</v>
      </c>
      <c r="C396" s="1" t="s">
        <v>82</v>
      </c>
      <c r="D396" s="2"/>
      <c r="E396" s="1" t="s">
        <v>207</v>
      </c>
      <c r="F396" s="1"/>
      <c r="G396" s="1" t="s">
        <v>35</v>
      </c>
      <c r="H396" s="2"/>
      <c r="I396">
        <v>1</v>
      </c>
      <c r="J396" s="1" t="s">
        <v>234</v>
      </c>
      <c r="K396" s="1" t="s">
        <v>1165</v>
      </c>
      <c r="L396">
        <v>4.3655863828635146</v>
      </c>
      <c r="M396" s="1" t="s">
        <v>234</v>
      </c>
      <c r="N396" s="1" t="s">
        <v>235</v>
      </c>
    </row>
    <row r="397" spans="1:14" x14ac:dyDescent="0.25">
      <c r="A397" s="1" t="s">
        <v>2056</v>
      </c>
      <c r="B397" s="1" t="s">
        <v>1899</v>
      </c>
      <c r="C397" s="1" t="s">
        <v>82</v>
      </c>
      <c r="D397" s="2"/>
      <c r="E397" s="1" t="s">
        <v>207</v>
      </c>
      <c r="F397" s="1"/>
      <c r="G397" s="1" t="s">
        <v>35</v>
      </c>
      <c r="H397" s="2"/>
      <c r="I397">
        <v>1</v>
      </c>
      <c r="J397" s="1" t="s">
        <v>234</v>
      </c>
      <c r="K397" s="1" t="s">
        <v>1165</v>
      </c>
      <c r="L397">
        <v>4.2739693965126948</v>
      </c>
      <c r="M397" s="1" t="s">
        <v>234</v>
      </c>
      <c r="N397" s="1" t="s">
        <v>235</v>
      </c>
    </row>
    <row r="398" spans="1:14" x14ac:dyDescent="0.25">
      <c r="A398" s="1" t="s">
        <v>2057</v>
      </c>
      <c r="B398" s="1" t="s">
        <v>1899</v>
      </c>
      <c r="C398" s="1" t="s">
        <v>82</v>
      </c>
      <c r="D398" s="2"/>
      <c r="E398" s="1" t="s">
        <v>207</v>
      </c>
      <c r="F398" s="1"/>
      <c r="G398" s="1" t="s">
        <v>35</v>
      </c>
      <c r="H398" s="2"/>
      <c r="I398">
        <v>1</v>
      </c>
      <c r="J398" s="1" t="s">
        <v>234</v>
      </c>
      <c r="K398" s="1" t="s">
        <v>1165</v>
      </c>
      <c r="L398">
        <v>4.3658094820840008</v>
      </c>
      <c r="M398" s="1" t="s">
        <v>234</v>
      </c>
      <c r="N398" s="1" t="s">
        <v>235</v>
      </c>
    </row>
    <row r="399" spans="1:14" x14ac:dyDescent="0.25">
      <c r="A399" s="1" t="s">
        <v>2058</v>
      </c>
      <c r="B399" s="1" t="s">
        <v>1899</v>
      </c>
      <c r="C399" s="1" t="s">
        <v>82</v>
      </c>
      <c r="D399" s="2"/>
      <c r="E399" s="1" t="s">
        <v>207</v>
      </c>
      <c r="F399" s="1"/>
      <c r="G399" s="1" t="s">
        <v>35</v>
      </c>
      <c r="H399" s="2"/>
      <c r="I399">
        <v>1</v>
      </c>
      <c r="J399" s="1" t="s">
        <v>234</v>
      </c>
      <c r="K399" s="1" t="s">
        <v>1165</v>
      </c>
      <c r="L399">
        <v>4.2739542988330799</v>
      </c>
      <c r="M399" s="1" t="s">
        <v>234</v>
      </c>
      <c r="N399" s="1" t="s">
        <v>235</v>
      </c>
    </row>
    <row r="400" spans="1:14" x14ac:dyDescent="0.25">
      <c r="A400" s="1" t="s">
        <v>2059</v>
      </c>
      <c r="B400" s="1" t="s">
        <v>1899</v>
      </c>
      <c r="C400" s="1" t="s">
        <v>82</v>
      </c>
      <c r="D400" s="2"/>
      <c r="E400" s="1" t="s">
        <v>207</v>
      </c>
      <c r="F400" s="1"/>
      <c r="G400" s="1" t="s">
        <v>35</v>
      </c>
      <c r="H400" s="2"/>
      <c r="I400">
        <v>1</v>
      </c>
      <c r="J400" s="1" t="s">
        <v>234</v>
      </c>
      <c r="K400" s="1" t="s">
        <v>1165</v>
      </c>
      <c r="L400">
        <v>4.3657940521150378</v>
      </c>
      <c r="M400" s="1" t="s">
        <v>234</v>
      </c>
      <c r="N400" s="1" t="s">
        <v>235</v>
      </c>
    </row>
    <row r="401" spans="1:14" x14ac:dyDescent="0.25">
      <c r="A401" s="1" t="s">
        <v>2060</v>
      </c>
      <c r="B401" s="1" t="s">
        <v>1899</v>
      </c>
      <c r="C401" s="1" t="s">
        <v>82</v>
      </c>
      <c r="D401" s="2"/>
      <c r="E401" s="1" t="s">
        <v>207</v>
      </c>
      <c r="F401" s="1"/>
      <c r="G401" s="1" t="s">
        <v>35</v>
      </c>
      <c r="H401" s="2"/>
      <c r="I401">
        <v>1</v>
      </c>
      <c r="J401" s="1" t="s">
        <v>234</v>
      </c>
      <c r="K401" s="1" t="s">
        <v>1165</v>
      </c>
      <c r="L401">
        <v>4.294417818126993</v>
      </c>
      <c r="M401" s="1" t="s">
        <v>234</v>
      </c>
      <c r="N401" s="1" t="s">
        <v>235</v>
      </c>
    </row>
    <row r="402" spans="1:14" x14ac:dyDescent="0.25">
      <c r="A402" s="1" t="s">
        <v>2061</v>
      </c>
      <c r="B402" s="1" t="s">
        <v>1899</v>
      </c>
      <c r="C402" s="1" t="s">
        <v>82</v>
      </c>
      <c r="D402" s="2"/>
      <c r="E402" s="1" t="s">
        <v>207</v>
      </c>
      <c r="F402" s="1"/>
      <c r="G402" s="1" t="s">
        <v>35</v>
      </c>
      <c r="H402" s="2"/>
      <c r="I402">
        <v>1</v>
      </c>
      <c r="J402" s="1" t="s">
        <v>234</v>
      </c>
      <c r="K402" s="1" t="s">
        <v>1165</v>
      </c>
      <c r="L402">
        <v>4.3866973026015676</v>
      </c>
      <c r="M402" s="1" t="s">
        <v>234</v>
      </c>
      <c r="N402" s="1" t="s">
        <v>235</v>
      </c>
    </row>
    <row r="403" spans="1:14" x14ac:dyDescent="0.25">
      <c r="A403" s="1" t="s">
        <v>454</v>
      </c>
      <c r="B403" s="1" t="s">
        <v>1826</v>
      </c>
      <c r="C403" s="1" t="s">
        <v>82</v>
      </c>
      <c r="D403" s="2"/>
      <c r="E403" s="1" t="s">
        <v>207</v>
      </c>
      <c r="F403" s="1"/>
      <c r="G403" s="1" t="s">
        <v>35</v>
      </c>
      <c r="H403" s="2"/>
      <c r="I403">
        <v>1</v>
      </c>
      <c r="J403" s="1" t="s">
        <v>234</v>
      </c>
      <c r="K403" s="1" t="s">
        <v>1165</v>
      </c>
      <c r="L403">
        <v>4.154223404644684</v>
      </c>
      <c r="M403" s="1" t="s">
        <v>234</v>
      </c>
      <c r="N403" s="1" t="s">
        <v>235</v>
      </c>
    </row>
    <row r="404" spans="1:14" x14ac:dyDescent="0.25">
      <c r="A404" s="1" t="s">
        <v>442</v>
      </c>
      <c r="B404" s="1" t="s">
        <v>1826</v>
      </c>
      <c r="C404" s="1" t="s">
        <v>82</v>
      </c>
      <c r="D404" s="2"/>
      <c r="E404" s="1" t="s">
        <v>207</v>
      </c>
      <c r="F404" s="1"/>
      <c r="G404" s="1" t="s">
        <v>35</v>
      </c>
      <c r="H404" s="2"/>
      <c r="I404">
        <v>1</v>
      </c>
      <c r="J404" s="1" t="s">
        <v>234</v>
      </c>
      <c r="K404" s="1" t="s">
        <v>1165</v>
      </c>
      <c r="L404">
        <v>4.6078039695763806</v>
      </c>
      <c r="M404" s="1" t="s">
        <v>234</v>
      </c>
      <c r="N404" s="1" t="s">
        <v>235</v>
      </c>
    </row>
    <row r="405" spans="1:14" x14ac:dyDescent="0.25">
      <c r="A405" s="1" t="s">
        <v>453</v>
      </c>
      <c r="B405" s="1" t="s">
        <v>1826</v>
      </c>
      <c r="C405" s="1" t="s">
        <v>82</v>
      </c>
      <c r="D405" s="2"/>
      <c r="E405" s="1" t="s">
        <v>207</v>
      </c>
      <c r="F405" s="1"/>
      <c r="G405" s="1" t="s">
        <v>35</v>
      </c>
      <c r="H405" s="2"/>
      <c r="I405">
        <v>1</v>
      </c>
      <c r="J405" s="1" t="s">
        <v>234</v>
      </c>
      <c r="K405" s="1" t="s">
        <v>1165</v>
      </c>
      <c r="L405">
        <v>4.347196346469163</v>
      </c>
      <c r="M405" s="1" t="s">
        <v>234</v>
      </c>
      <c r="N405" s="1" t="s">
        <v>235</v>
      </c>
    </row>
    <row r="406" spans="1:14" x14ac:dyDescent="0.25">
      <c r="A406" s="1" t="s">
        <v>412</v>
      </c>
      <c r="B406" s="1" t="s">
        <v>1826</v>
      </c>
      <c r="C406" s="1" t="s">
        <v>82</v>
      </c>
      <c r="D406" s="2"/>
      <c r="E406" s="1" t="s">
        <v>207</v>
      </c>
      <c r="F406" s="1"/>
      <c r="G406" s="1" t="s">
        <v>35</v>
      </c>
      <c r="H406" s="2"/>
      <c r="I406">
        <v>1</v>
      </c>
      <c r="J406" s="1" t="s">
        <v>234</v>
      </c>
      <c r="K406" s="1" t="s">
        <v>1165</v>
      </c>
      <c r="L406">
        <v>4.7454462864343601</v>
      </c>
      <c r="M406" s="1" t="s">
        <v>234</v>
      </c>
      <c r="N406" s="1" t="s">
        <v>235</v>
      </c>
    </row>
    <row r="407" spans="1:14" x14ac:dyDescent="0.25">
      <c r="A407" s="1" t="s">
        <v>413</v>
      </c>
      <c r="B407" s="1" t="s">
        <v>1826</v>
      </c>
      <c r="C407" s="1" t="s">
        <v>82</v>
      </c>
      <c r="D407" s="2"/>
      <c r="E407" s="1" t="s">
        <v>207</v>
      </c>
      <c r="F407" s="1"/>
      <c r="G407" s="1" t="s">
        <v>35</v>
      </c>
      <c r="H407" s="2"/>
      <c r="I407">
        <v>1</v>
      </c>
      <c r="J407" s="1" t="s">
        <v>234</v>
      </c>
      <c r="K407" s="1" t="s">
        <v>1165</v>
      </c>
      <c r="L407">
        <v>4.3471615886531483</v>
      </c>
      <c r="M407" s="1" t="s">
        <v>234</v>
      </c>
      <c r="N407" s="1" t="s">
        <v>235</v>
      </c>
    </row>
    <row r="408" spans="1:14" x14ac:dyDescent="0.25">
      <c r="A408" s="1" t="s">
        <v>414</v>
      </c>
      <c r="B408" s="1" t="s">
        <v>1826</v>
      </c>
      <c r="C408" s="1" t="s">
        <v>82</v>
      </c>
      <c r="D408" s="2"/>
      <c r="E408" s="1" t="s">
        <v>207</v>
      </c>
      <c r="F408" s="1"/>
      <c r="G408" s="1" t="s">
        <v>35</v>
      </c>
      <c r="H408" s="2"/>
      <c r="I408">
        <v>1</v>
      </c>
      <c r="J408" s="1" t="s">
        <v>234</v>
      </c>
      <c r="K408" s="1" t="s">
        <v>1165</v>
      </c>
      <c r="L408">
        <v>4.7454462864343601</v>
      </c>
      <c r="M408" s="1" t="s">
        <v>234</v>
      </c>
      <c r="N408" s="1" t="s">
        <v>235</v>
      </c>
    </row>
    <row r="409" spans="1:14" x14ac:dyDescent="0.25">
      <c r="A409" s="1" t="s">
        <v>403</v>
      </c>
      <c r="B409" s="1" t="s">
        <v>1826</v>
      </c>
      <c r="C409" s="1" t="s">
        <v>82</v>
      </c>
      <c r="D409" s="2"/>
      <c r="E409" s="1" t="s">
        <v>207</v>
      </c>
      <c r="F409" s="1"/>
      <c r="G409" s="1" t="s">
        <v>35</v>
      </c>
      <c r="H409" s="2"/>
      <c r="I409">
        <v>1</v>
      </c>
      <c r="J409" s="1" t="s">
        <v>234</v>
      </c>
      <c r="K409" s="1" t="s">
        <v>1165</v>
      </c>
      <c r="L409">
        <v>4.3470130295948248</v>
      </c>
      <c r="M409" s="1" t="s">
        <v>234</v>
      </c>
      <c r="N409" s="1" t="s">
        <v>235</v>
      </c>
    </row>
    <row r="410" spans="1:14" x14ac:dyDescent="0.25">
      <c r="A410" s="1" t="s">
        <v>2062</v>
      </c>
      <c r="B410" s="1" t="s">
        <v>1826</v>
      </c>
      <c r="C410" s="1" t="s">
        <v>82</v>
      </c>
      <c r="D410" s="2"/>
      <c r="E410" s="1" t="s">
        <v>207</v>
      </c>
      <c r="F410" s="1"/>
      <c r="G410" s="1" t="s">
        <v>35</v>
      </c>
      <c r="H410" s="2"/>
      <c r="I410">
        <v>1</v>
      </c>
      <c r="J410" s="1" t="s">
        <v>234</v>
      </c>
      <c r="K410" s="1" t="s">
        <v>1165</v>
      </c>
      <c r="L410">
        <v>4.7454462903889487</v>
      </c>
      <c r="M410" s="1" t="s">
        <v>234</v>
      </c>
      <c r="N410" s="1" t="s">
        <v>235</v>
      </c>
    </row>
    <row r="411" spans="1:14" x14ac:dyDescent="0.25">
      <c r="A411" s="1" t="s">
        <v>2063</v>
      </c>
      <c r="B411" s="1" t="s">
        <v>1826</v>
      </c>
      <c r="C411" s="1" t="s">
        <v>82</v>
      </c>
      <c r="D411" s="2"/>
      <c r="E411" s="1" t="s">
        <v>207</v>
      </c>
      <c r="F411" s="1"/>
      <c r="G411" s="1" t="s">
        <v>35</v>
      </c>
      <c r="H411" s="2"/>
      <c r="I411">
        <v>1</v>
      </c>
      <c r="J411" s="1" t="s">
        <v>234</v>
      </c>
      <c r="K411" s="1" t="s">
        <v>1165</v>
      </c>
      <c r="L411">
        <v>4.2985236629729915</v>
      </c>
      <c r="M411" s="1" t="s">
        <v>234</v>
      </c>
      <c r="N411" s="1" t="s">
        <v>235</v>
      </c>
    </row>
    <row r="412" spans="1:14" x14ac:dyDescent="0.25">
      <c r="A412" s="1" t="s">
        <v>2064</v>
      </c>
      <c r="B412" s="1" t="s">
        <v>1826</v>
      </c>
      <c r="C412" s="1" t="s">
        <v>82</v>
      </c>
      <c r="D412" s="2"/>
      <c r="E412" s="1" t="s">
        <v>207</v>
      </c>
      <c r="F412" s="1"/>
      <c r="G412" s="1" t="s">
        <v>35</v>
      </c>
      <c r="H412" s="2"/>
      <c r="I412">
        <v>1</v>
      </c>
      <c r="J412" s="1" t="s">
        <v>234</v>
      </c>
      <c r="K412" s="1" t="s">
        <v>1165</v>
      </c>
      <c r="L412">
        <v>4.471276200414585</v>
      </c>
      <c r="M412" s="1" t="s">
        <v>234</v>
      </c>
      <c r="N412" s="1" t="s">
        <v>235</v>
      </c>
    </row>
    <row r="413" spans="1:14" x14ac:dyDescent="0.25">
      <c r="A413" s="1" t="s">
        <v>274</v>
      </c>
      <c r="B413" s="1" t="s">
        <v>116</v>
      </c>
      <c r="C413" s="1" t="s">
        <v>80</v>
      </c>
      <c r="D413" s="2"/>
      <c r="E413" s="1" t="s">
        <v>207</v>
      </c>
      <c r="F413" s="1"/>
      <c r="G413" s="1" t="s">
        <v>35</v>
      </c>
      <c r="H413" s="2"/>
      <c r="I413">
        <v>1</v>
      </c>
      <c r="J413" s="1" t="s">
        <v>880</v>
      </c>
      <c r="K413" s="1" t="s">
        <v>878</v>
      </c>
      <c r="L413">
        <v>9.3364861607356069</v>
      </c>
      <c r="M413" s="1" t="s">
        <v>210</v>
      </c>
      <c r="N413" s="1" t="s">
        <v>235</v>
      </c>
    </row>
    <row r="414" spans="1:14" x14ac:dyDescent="0.25">
      <c r="A414" s="1" t="s">
        <v>275</v>
      </c>
      <c r="B414" s="1" t="s">
        <v>116</v>
      </c>
      <c r="C414" s="1" t="s">
        <v>80</v>
      </c>
      <c r="D414" s="2"/>
      <c r="E414" s="1" t="s">
        <v>207</v>
      </c>
      <c r="F414" s="1"/>
      <c r="G414" s="1" t="s">
        <v>35</v>
      </c>
      <c r="H414" s="2"/>
      <c r="I414">
        <v>1</v>
      </c>
      <c r="J414" s="1" t="s">
        <v>880</v>
      </c>
      <c r="K414" s="1" t="s">
        <v>878</v>
      </c>
      <c r="L414">
        <v>9.3364340037333342</v>
      </c>
      <c r="M414" s="1" t="s">
        <v>210</v>
      </c>
      <c r="N414" s="1" t="s">
        <v>235</v>
      </c>
    </row>
    <row r="415" spans="1:14" x14ac:dyDescent="0.25">
      <c r="A415" s="1" t="s">
        <v>276</v>
      </c>
      <c r="B415" s="1" t="s">
        <v>116</v>
      </c>
      <c r="C415" s="1" t="s">
        <v>80</v>
      </c>
      <c r="D415" s="2"/>
      <c r="E415" s="1" t="s">
        <v>207</v>
      </c>
      <c r="F415" s="1"/>
      <c r="G415" s="1" t="s">
        <v>35</v>
      </c>
      <c r="H415" s="2"/>
      <c r="I415">
        <v>1</v>
      </c>
      <c r="J415" s="1" t="s">
        <v>880</v>
      </c>
      <c r="K415" s="1" t="s">
        <v>878</v>
      </c>
      <c r="L415">
        <v>9.3364340037333342</v>
      </c>
      <c r="M415" s="1" t="s">
        <v>210</v>
      </c>
      <c r="N415" s="1" t="s">
        <v>235</v>
      </c>
    </row>
    <row r="416" spans="1:14" x14ac:dyDescent="0.25">
      <c r="A416" s="1" t="s">
        <v>278</v>
      </c>
      <c r="B416" s="1" t="s">
        <v>116</v>
      </c>
      <c r="C416" s="1" t="s">
        <v>81</v>
      </c>
      <c r="D416" s="2"/>
      <c r="E416" s="1" t="s">
        <v>207</v>
      </c>
      <c r="F416" s="1"/>
      <c r="G416" s="1" t="s">
        <v>35</v>
      </c>
      <c r="H416" s="2"/>
      <c r="I416">
        <v>1</v>
      </c>
      <c r="J416" s="1" t="s">
        <v>880</v>
      </c>
      <c r="K416" s="1" t="s">
        <v>878</v>
      </c>
      <c r="L416">
        <v>9.0337663579440335</v>
      </c>
      <c r="M416" s="1" t="s">
        <v>210</v>
      </c>
      <c r="N416" s="1" t="s">
        <v>235</v>
      </c>
    </row>
    <row r="417" spans="1:14" x14ac:dyDescent="0.25">
      <c r="A417" s="1" t="s">
        <v>279</v>
      </c>
      <c r="B417" s="1" t="s">
        <v>116</v>
      </c>
      <c r="C417" s="1" t="s">
        <v>81</v>
      </c>
      <c r="D417" s="2"/>
      <c r="E417" s="1" t="s">
        <v>207</v>
      </c>
      <c r="F417" s="1"/>
      <c r="G417" s="1" t="s">
        <v>35</v>
      </c>
      <c r="H417" s="2"/>
      <c r="I417">
        <v>1</v>
      </c>
      <c r="J417" s="1" t="s">
        <v>880</v>
      </c>
      <c r="K417" s="1" t="s">
        <v>878</v>
      </c>
      <c r="L417">
        <v>9.033633992945747</v>
      </c>
      <c r="M417" s="1" t="s">
        <v>210</v>
      </c>
      <c r="N417" s="1" t="s">
        <v>235</v>
      </c>
    </row>
    <row r="418" spans="1:14" x14ac:dyDescent="0.25">
      <c r="A418" s="1" t="s">
        <v>280</v>
      </c>
      <c r="B418" s="1" t="s">
        <v>116</v>
      </c>
      <c r="C418" s="1" t="s">
        <v>81</v>
      </c>
      <c r="D418" s="2"/>
      <c r="E418" s="1" t="s">
        <v>207</v>
      </c>
      <c r="F418" s="1"/>
      <c r="G418" s="1" t="s">
        <v>35</v>
      </c>
      <c r="H418" s="2"/>
      <c r="I418">
        <v>1</v>
      </c>
      <c r="J418" s="1" t="s">
        <v>880</v>
      </c>
      <c r="K418" s="1" t="s">
        <v>878</v>
      </c>
      <c r="L418">
        <v>7.1129197639535073</v>
      </c>
      <c r="M418" s="1" t="s">
        <v>210</v>
      </c>
      <c r="N418" s="1" t="s">
        <v>235</v>
      </c>
    </row>
    <row r="419" spans="1:14" x14ac:dyDescent="0.25">
      <c r="A419" s="1" t="s">
        <v>281</v>
      </c>
      <c r="B419" s="1" t="s">
        <v>116</v>
      </c>
      <c r="C419" s="1" t="s">
        <v>81</v>
      </c>
      <c r="D419" s="2"/>
      <c r="E419" s="1" t="s">
        <v>207</v>
      </c>
      <c r="F419" s="1"/>
      <c r="G419" s="1" t="s">
        <v>35</v>
      </c>
      <c r="H419" s="2"/>
      <c r="I419">
        <v>1</v>
      </c>
      <c r="J419" s="1" t="s">
        <v>880</v>
      </c>
      <c r="K419" s="1" t="s">
        <v>878</v>
      </c>
      <c r="L419">
        <v>6.9578557096560631</v>
      </c>
      <c r="M419" s="1" t="s">
        <v>210</v>
      </c>
      <c r="N419" s="1" t="s">
        <v>235</v>
      </c>
    </row>
    <row r="420" spans="1:14" x14ac:dyDescent="0.25">
      <c r="A420" s="1" t="s">
        <v>282</v>
      </c>
      <c r="B420" s="1" t="s">
        <v>116</v>
      </c>
      <c r="C420" s="1" t="s">
        <v>81</v>
      </c>
      <c r="D420" s="2"/>
      <c r="E420" s="1" t="s">
        <v>207</v>
      </c>
      <c r="F420" s="1"/>
      <c r="G420" s="1" t="s">
        <v>35</v>
      </c>
      <c r="H420" s="2"/>
      <c r="I420">
        <v>1</v>
      </c>
      <c r="J420" s="1" t="s">
        <v>880</v>
      </c>
      <c r="K420" s="1" t="s">
        <v>878</v>
      </c>
      <c r="L420">
        <v>9.0337663579440335</v>
      </c>
      <c r="M420" s="1" t="s">
        <v>210</v>
      </c>
      <c r="N420" s="1" t="s">
        <v>235</v>
      </c>
    </row>
    <row r="421" spans="1:14" x14ac:dyDescent="0.25">
      <c r="A421" s="1" t="s">
        <v>283</v>
      </c>
      <c r="B421" s="1" t="s">
        <v>116</v>
      </c>
      <c r="C421" s="1" t="s">
        <v>81</v>
      </c>
      <c r="D421" s="2"/>
      <c r="E421" s="1" t="s">
        <v>207</v>
      </c>
      <c r="F421" s="1"/>
      <c r="G421" s="1" t="s">
        <v>35</v>
      </c>
      <c r="H421" s="2"/>
      <c r="I421">
        <v>1</v>
      </c>
      <c r="J421" s="1" t="s">
        <v>880</v>
      </c>
      <c r="K421" s="1" t="s">
        <v>878</v>
      </c>
      <c r="L421">
        <v>9.033580322430252</v>
      </c>
      <c r="M421" s="1" t="s">
        <v>210</v>
      </c>
      <c r="N421" s="1" t="s">
        <v>235</v>
      </c>
    </row>
    <row r="422" spans="1:14" x14ac:dyDescent="0.25">
      <c r="A422" s="1" t="s">
        <v>284</v>
      </c>
      <c r="B422" s="1" t="s">
        <v>116</v>
      </c>
      <c r="C422" s="1" t="s">
        <v>81</v>
      </c>
      <c r="D422" s="2"/>
      <c r="E422" s="1" t="s">
        <v>207</v>
      </c>
      <c r="F422" s="1"/>
      <c r="G422" s="1" t="s">
        <v>35</v>
      </c>
      <c r="H422" s="2"/>
      <c r="I422">
        <v>1</v>
      </c>
      <c r="J422" s="1" t="s">
        <v>880</v>
      </c>
      <c r="K422" s="1" t="s">
        <v>878</v>
      </c>
      <c r="L422">
        <v>7.1129417293770869</v>
      </c>
      <c r="M422" s="1" t="s">
        <v>210</v>
      </c>
      <c r="N422" s="1" t="s">
        <v>235</v>
      </c>
    </row>
    <row r="423" spans="1:14" x14ac:dyDescent="0.25">
      <c r="A423" s="1" t="s">
        <v>285</v>
      </c>
      <c r="B423" s="1" t="s">
        <v>116</v>
      </c>
      <c r="C423" s="1" t="s">
        <v>81</v>
      </c>
      <c r="D423" s="2"/>
      <c r="E423" s="1" t="s">
        <v>207</v>
      </c>
      <c r="F423" s="1"/>
      <c r="G423" s="1" t="s">
        <v>35</v>
      </c>
      <c r="H423" s="2"/>
      <c r="I423">
        <v>1</v>
      </c>
      <c r="J423" s="1" t="s">
        <v>880</v>
      </c>
      <c r="K423" s="1" t="s">
        <v>878</v>
      </c>
      <c r="L423">
        <v>6.9578558786016487</v>
      </c>
      <c r="M423" s="1" t="s">
        <v>210</v>
      </c>
      <c r="N423" s="1" t="s">
        <v>235</v>
      </c>
    </row>
    <row r="424" spans="1:14" x14ac:dyDescent="0.25">
      <c r="A424" s="1" t="s">
        <v>286</v>
      </c>
      <c r="B424" s="1" t="s">
        <v>116</v>
      </c>
      <c r="C424" s="1" t="s">
        <v>81</v>
      </c>
      <c r="D424" s="2"/>
      <c r="E424" s="1" t="s">
        <v>207</v>
      </c>
      <c r="F424" s="1"/>
      <c r="G424" s="1" t="s">
        <v>35</v>
      </c>
      <c r="H424" s="2"/>
      <c r="I424">
        <v>1</v>
      </c>
      <c r="J424" s="1" t="s">
        <v>880</v>
      </c>
      <c r="K424" s="1" t="s">
        <v>878</v>
      </c>
      <c r="L424">
        <v>9.0337663579440335</v>
      </c>
      <c r="M424" s="1" t="s">
        <v>210</v>
      </c>
      <c r="N424" s="1" t="s">
        <v>235</v>
      </c>
    </row>
    <row r="425" spans="1:14" x14ac:dyDescent="0.25">
      <c r="A425" s="1" t="s">
        <v>287</v>
      </c>
      <c r="B425" s="1" t="s">
        <v>116</v>
      </c>
      <c r="C425" s="1" t="s">
        <v>81</v>
      </c>
      <c r="D425" s="2"/>
      <c r="E425" s="1" t="s">
        <v>207</v>
      </c>
      <c r="F425" s="1"/>
      <c r="G425" s="1" t="s">
        <v>35</v>
      </c>
      <c r="H425" s="2"/>
      <c r="I425">
        <v>1</v>
      </c>
      <c r="J425" s="1" t="s">
        <v>880</v>
      </c>
      <c r="K425" s="1" t="s">
        <v>878</v>
      </c>
      <c r="L425">
        <v>9.0336071477755286</v>
      </c>
      <c r="M425" s="1" t="s">
        <v>210</v>
      </c>
      <c r="N425" s="1" t="s">
        <v>235</v>
      </c>
    </row>
    <row r="426" spans="1:14" x14ac:dyDescent="0.25">
      <c r="A426" s="1" t="s">
        <v>288</v>
      </c>
      <c r="B426" s="1" t="s">
        <v>116</v>
      </c>
      <c r="C426" s="1" t="s">
        <v>81</v>
      </c>
      <c r="D426" s="2"/>
      <c r="E426" s="1" t="s">
        <v>207</v>
      </c>
      <c r="F426" s="1"/>
      <c r="G426" s="1" t="s">
        <v>35</v>
      </c>
      <c r="H426" s="2"/>
      <c r="I426">
        <v>1</v>
      </c>
      <c r="J426" s="1" t="s">
        <v>880</v>
      </c>
      <c r="K426" s="1" t="s">
        <v>878</v>
      </c>
      <c r="L426">
        <v>7.1129417293770869</v>
      </c>
      <c r="M426" s="1" t="s">
        <v>210</v>
      </c>
      <c r="N426" s="1" t="s">
        <v>235</v>
      </c>
    </row>
    <row r="427" spans="1:14" x14ac:dyDescent="0.25">
      <c r="A427" s="1" t="s">
        <v>289</v>
      </c>
      <c r="B427" s="1" t="s">
        <v>116</v>
      </c>
      <c r="C427" s="1" t="s">
        <v>81</v>
      </c>
      <c r="D427" s="2"/>
      <c r="E427" s="1" t="s">
        <v>207</v>
      </c>
      <c r="F427" s="1"/>
      <c r="G427" s="1" t="s">
        <v>35</v>
      </c>
      <c r="H427" s="2"/>
      <c r="I427">
        <v>1</v>
      </c>
      <c r="J427" s="1" t="s">
        <v>880</v>
      </c>
      <c r="K427" s="1" t="s">
        <v>878</v>
      </c>
      <c r="L427">
        <v>7.0353845299901066</v>
      </c>
      <c r="M427" s="1" t="s">
        <v>210</v>
      </c>
      <c r="N427" s="1" t="s">
        <v>235</v>
      </c>
    </row>
    <row r="428" spans="1:14" x14ac:dyDescent="0.25">
      <c r="A428" s="1" t="s">
        <v>1250</v>
      </c>
      <c r="B428" s="1" t="s">
        <v>134</v>
      </c>
      <c r="C428" s="1" t="s">
        <v>82</v>
      </c>
      <c r="D428" s="2"/>
      <c r="E428" s="1" t="s">
        <v>207</v>
      </c>
      <c r="F428" s="1"/>
      <c r="G428" s="1" t="s">
        <v>35</v>
      </c>
      <c r="H428" s="2"/>
      <c r="I428">
        <v>1</v>
      </c>
      <c r="J428" s="1" t="s">
        <v>880</v>
      </c>
      <c r="K428" s="1" t="s">
        <v>878</v>
      </c>
      <c r="L428">
        <v>11.303653479583108</v>
      </c>
      <c r="M428" s="1" t="s">
        <v>210</v>
      </c>
      <c r="N428" s="1" t="s">
        <v>235</v>
      </c>
    </row>
    <row r="429" spans="1:14" x14ac:dyDescent="0.25">
      <c r="A429" s="1" t="s">
        <v>1251</v>
      </c>
      <c r="B429" s="1" t="s">
        <v>134</v>
      </c>
      <c r="C429" s="1" t="s">
        <v>82</v>
      </c>
      <c r="D429" s="2"/>
      <c r="E429" s="1" t="s">
        <v>207</v>
      </c>
      <c r="F429" s="1"/>
      <c r="G429" s="1" t="s">
        <v>35</v>
      </c>
      <c r="H429" s="2"/>
      <c r="I429">
        <v>1</v>
      </c>
      <c r="J429" s="1" t="s">
        <v>880</v>
      </c>
      <c r="K429" s="1" t="s">
        <v>878</v>
      </c>
      <c r="L429">
        <v>11.21720333456258</v>
      </c>
      <c r="M429" s="1" t="s">
        <v>210</v>
      </c>
      <c r="N429" s="1" t="s">
        <v>235</v>
      </c>
    </row>
    <row r="430" spans="1:14" x14ac:dyDescent="0.25">
      <c r="A430" s="1" t="s">
        <v>1252</v>
      </c>
      <c r="B430" s="1" t="s">
        <v>134</v>
      </c>
      <c r="C430" s="1" t="s">
        <v>82</v>
      </c>
      <c r="D430" s="2"/>
      <c r="E430" s="1" t="s">
        <v>207</v>
      </c>
      <c r="F430" s="1"/>
      <c r="G430" s="1" t="s">
        <v>35</v>
      </c>
      <c r="H430" s="2"/>
      <c r="I430">
        <v>1</v>
      </c>
      <c r="J430" s="1" t="s">
        <v>880</v>
      </c>
      <c r="K430" s="1" t="s">
        <v>878</v>
      </c>
      <c r="L430">
        <v>12.948687542782693</v>
      </c>
      <c r="M430" s="1" t="s">
        <v>210</v>
      </c>
      <c r="N430" s="1" t="s">
        <v>235</v>
      </c>
    </row>
    <row r="431" spans="1:14" x14ac:dyDescent="0.25">
      <c r="A431" s="1" t="s">
        <v>1253</v>
      </c>
      <c r="B431" s="1" t="s">
        <v>134</v>
      </c>
      <c r="C431" s="1" t="s">
        <v>82</v>
      </c>
      <c r="D431" s="2"/>
      <c r="E431" s="1" t="s">
        <v>207</v>
      </c>
      <c r="F431" s="1"/>
      <c r="G431" s="1" t="s">
        <v>35</v>
      </c>
      <c r="H431" s="2"/>
      <c r="I431">
        <v>1</v>
      </c>
      <c r="J431" s="1" t="s">
        <v>880</v>
      </c>
      <c r="K431" s="1" t="s">
        <v>878</v>
      </c>
      <c r="L431">
        <v>11.16274803648572</v>
      </c>
      <c r="M431" s="1" t="s">
        <v>210</v>
      </c>
      <c r="N431" s="1" t="s">
        <v>235</v>
      </c>
    </row>
    <row r="432" spans="1:14" x14ac:dyDescent="0.25">
      <c r="A432" s="1" t="s">
        <v>1254</v>
      </c>
      <c r="B432" s="1" t="s">
        <v>134</v>
      </c>
      <c r="C432" s="1" t="s">
        <v>82</v>
      </c>
      <c r="D432" s="2"/>
      <c r="E432" s="1" t="s">
        <v>207</v>
      </c>
      <c r="F432" s="1"/>
      <c r="G432" s="1" t="s">
        <v>35</v>
      </c>
      <c r="H432" s="2"/>
      <c r="I432">
        <v>1</v>
      </c>
      <c r="J432" s="1" t="s">
        <v>880</v>
      </c>
      <c r="K432" s="1" t="s">
        <v>878</v>
      </c>
      <c r="L432">
        <v>15.889886000191614</v>
      </c>
      <c r="M432" s="1" t="s">
        <v>210</v>
      </c>
      <c r="N432" s="1" t="s">
        <v>235</v>
      </c>
    </row>
    <row r="433" spans="1:14" x14ac:dyDescent="0.25">
      <c r="A433" s="1" t="s">
        <v>1255</v>
      </c>
      <c r="B433" s="1" t="s">
        <v>134</v>
      </c>
      <c r="C433" s="1" t="s">
        <v>82</v>
      </c>
      <c r="D433" s="2"/>
      <c r="E433" s="1" t="s">
        <v>207</v>
      </c>
      <c r="F433" s="1"/>
      <c r="G433" s="1" t="s">
        <v>35</v>
      </c>
      <c r="H433" s="2"/>
      <c r="I433">
        <v>1</v>
      </c>
      <c r="J433" s="1" t="s">
        <v>880</v>
      </c>
      <c r="K433" s="1" t="s">
        <v>878</v>
      </c>
      <c r="L433">
        <v>11.303653479583108</v>
      </c>
      <c r="M433" s="1" t="s">
        <v>210</v>
      </c>
      <c r="N433" s="1" t="s">
        <v>235</v>
      </c>
    </row>
    <row r="434" spans="1:14" x14ac:dyDescent="0.25">
      <c r="A434" s="1" t="s">
        <v>1256</v>
      </c>
      <c r="B434" s="1" t="s">
        <v>134</v>
      </c>
      <c r="C434" s="1" t="s">
        <v>82</v>
      </c>
      <c r="D434" s="2"/>
      <c r="E434" s="1" t="s">
        <v>207</v>
      </c>
      <c r="F434" s="1"/>
      <c r="G434" s="1" t="s">
        <v>35</v>
      </c>
      <c r="H434" s="2"/>
      <c r="I434">
        <v>1</v>
      </c>
      <c r="J434" s="1" t="s">
        <v>880</v>
      </c>
      <c r="K434" s="1" t="s">
        <v>878</v>
      </c>
      <c r="L434">
        <v>11.21720333456258</v>
      </c>
      <c r="M434" s="1" t="s">
        <v>210</v>
      </c>
      <c r="N434" s="1" t="s">
        <v>235</v>
      </c>
    </row>
    <row r="435" spans="1:14" x14ac:dyDescent="0.25">
      <c r="A435" s="1" t="s">
        <v>1257</v>
      </c>
      <c r="B435" s="1" t="s">
        <v>134</v>
      </c>
      <c r="C435" s="1" t="s">
        <v>82</v>
      </c>
      <c r="D435" s="2"/>
      <c r="E435" s="1" t="s">
        <v>207</v>
      </c>
      <c r="F435" s="1"/>
      <c r="G435" s="1" t="s">
        <v>35</v>
      </c>
      <c r="H435" s="2"/>
      <c r="I435">
        <v>1</v>
      </c>
      <c r="J435" s="1" t="s">
        <v>880</v>
      </c>
      <c r="K435" s="1" t="s">
        <v>878</v>
      </c>
      <c r="L435">
        <v>12.948687542782693</v>
      </c>
      <c r="M435" s="1" t="s">
        <v>210</v>
      </c>
      <c r="N435" s="1" t="s">
        <v>235</v>
      </c>
    </row>
    <row r="436" spans="1:14" x14ac:dyDescent="0.25">
      <c r="A436" s="1" t="s">
        <v>1258</v>
      </c>
      <c r="B436" s="1" t="s">
        <v>134</v>
      </c>
      <c r="C436" s="1" t="s">
        <v>82</v>
      </c>
      <c r="D436" s="2"/>
      <c r="E436" s="1" t="s">
        <v>207</v>
      </c>
      <c r="F436" s="1"/>
      <c r="G436" s="1" t="s">
        <v>35</v>
      </c>
      <c r="H436" s="2"/>
      <c r="I436">
        <v>1</v>
      </c>
      <c r="J436" s="1" t="s">
        <v>880</v>
      </c>
      <c r="K436" s="1" t="s">
        <v>878</v>
      </c>
      <c r="L436">
        <v>11.16274803648572</v>
      </c>
      <c r="M436" s="1" t="s">
        <v>210</v>
      </c>
      <c r="N436" s="1" t="s">
        <v>235</v>
      </c>
    </row>
    <row r="437" spans="1:14" x14ac:dyDescent="0.25">
      <c r="A437" s="1" t="s">
        <v>1259</v>
      </c>
      <c r="B437" s="1" t="s">
        <v>134</v>
      </c>
      <c r="C437" s="1" t="s">
        <v>82</v>
      </c>
      <c r="D437" s="2"/>
      <c r="E437" s="1" t="s">
        <v>207</v>
      </c>
      <c r="F437" s="1"/>
      <c r="G437" s="1" t="s">
        <v>35</v>
      </c>
      <c r="H437" s="2"/>
      <c r="I437">
        <v>1</v>
      </c>
      <c r="J437" s="1" t="s">
        <v>880</v>
      </c>
      <c r="K437" s="1" t="s">
        <v>878</v>
      </c>
      <c r="L437">
        <v>15.889889622667035</v>
      </c>
      <c r="M437" s="1" t="s">
        <v>210</v>
      </c>
      <c r="N437" s="1" t="s">
        <v>235</v>
      </c>
    </row>
    <row r="438" spans="1:14" x14ac:dyDescent="0.25">
      <c r="A438" s="1" t="s">
        <v>1260</v>
      </c>
      <c r="B438" s="1" t="s">
        <v>134</v>
      </c>
      <c r="C438" s="1" t="s">
        <v>82</v>
      </c>
      <c r="D438" s="2"/>
      <c r="E438" s="1" t="s">
        <v>207</v>
      </c>
      <c r="F438" s="1"/>
      <c r="G438" s="1" t="s">
        <v>35</v>
      </c>
      <c r="H438" s="2"/>
      <c r="I438">
        <v>1</v>
      </c>
      <c r="J438" s="1" t="s">
        <v>880</v>
      </c>
      <c r="K438" s="1" t="s">
        <v>878</v>
      </c>
      <c r="L438">
        <v>4.6146845171300317</v>
      </c>
      <c r="M438" s="1" t="s">
        <v>210</v>
      </c>
      <c r="N438" s="1" t="s">
        <v>235</v>
      </c>
    </row>
    <row r="439" spans="1:14" x14ac:dyDescent="0.25">
      <c r="A439" s="1" t="s">
        <v>1261</v>
      </c>
      <c r="B439" s="1" t="s">
        <v>134</v>
      </c>
      <c r="C439" s="1" t="s">
        <v>82</v>
      </c>
      <c r="D439" s="2"/>
      <c r="E439" s="1" t="s">
        <v>207</v>
      </c>
      <c r="F439" s="1"/>
      <c r="G439" s="1" t="s">
        <v>35</v>
      </c>
      <c r="H439" s="2"/>
      <c r="I439">
        <v>1</v>
      </c>
      <c r="J439" s="1" t="s">
        <v>880</v>
      </c>
      <c r="K439" s="1" t="s">
        <v>878</v>
      </c>
      <c r="L439">
        <v>11.303653479583108</v>
      </c>
      <c r="M439" s="1" t="s">
        <v>210</v>
      </c>
      <c r="N439" s="1" t="s">
        <v>235</v>
      </c>
    </row>
    <row r="440" spans="1:14" x14ac:dyDescent="0.25">
      <c r="A440" s="1" t="s">
        <v>1262</v>
      </c>
      <c r="B440" s="1" t="s">
        <v>134</v>
      </c>
      <c r="C440" s="1" t="s">
        <v>82</v>
      </c>
      <c r="D440" s="2"/>
      <c r="E440" s="1" t="s">
        <v>207</v>
      </c>
      <c r="F440" s="1"/>
      <c r="G440" s="1" t="s">
        <v>35</v>
      </c>
      <c r="H440" s="2"/>
      <c r="I440">
        <v>1</v>
      </c>
      <c r="J440" s="1" t="s">
        <v>880</v>
      </c>
      <c r="K440" s="1" t="s">
        <v>878</v>
      </c>
      <c r="L440">
        <v>11.217203339255697</v>
      </c>
      <c r="M440" s="1" t="s">
        <v>210</v>
      </c>
      <c r="N440" s="1" t="s">
        <v>235</v>
      </c>
    </row>
    <row r="441" spans="1:14" x14ac:dyDescent="0.25">
      <c r="A441" s="1" t="s">
        <v>1263</v>
      </c>
      <c r="B441" s="1" t="s">
        <v>134</v>
      </c>
      <c r="C441" s="1" t="s">
        <v>82</v>
      </c>
      <c r="D441" s="2"/>
      <c r="E441" s="1" t="s">
        <v>207</v>
      </c>
      <c r="F441" s="1"/>
      <c r="G441" s="1" t="s">
        <v>35</v>
      </c>
      <c r="H441" s="2"/>
      <c r="I441">
        <v>1</v>
      </c>
      <c r="J441" s="1" t="s">
        <v>880</v>
      </c>
      <c r="K441" s="1" t="s">
        <v>878</v>
      </c>
      <c r="L441">
        <v>12.948687542782693</v>
      </c>
      <c r="M441" s="1" t="s">
        <v>210</v>
      </c>
      <c r="N441" s="1" t="s">
        <v>235</v>
      </c>
    </row>
    <row r="442" spans="1:14" x14ac:dyDescent="0.25">
      <c r="A442" s="1" t="s">
        <v>1264</v>
      </c>
      <c r="B442" s="1" t="s">
        <v>134</v>
      </c>
      <c r="C442" s="1" t="s">
        <v>82</v>
      </c>
      <c r="D442" s="2"/>
      <c r="E442" s="1" t="s">
        <v>207</v>
      </c>
      <c r="F442" s="1"/>
      <c r="G442" s="1" t="s">
        <v>35</v>
      </c>
      <c r="H442" s="2"/>
      <c r="I442">
        <v>1</v>
      </c>
      <c r="J442" s="1" t="s">
        <v>880</v>
      </c>
      <c r="K442" s="1" t="s">
        <v>878</v>
      </c>
      <c r="L442">
        <v>11.16274803648572</v>
      </c>
      <c r="M442" s="1" t="s">
        <v>210</v>
      </c>
      <c r="N442" s="1" t="s">
        <v>235</v>
      </c>
    </row>
    <row r="443" spans="1:14" x14ac:dyDescent="0.25">
      <c r="A443" s="1" t="s">
        <v>1265</v>
      </c>
      <c r="B443" s="1" t="s">
        <v>134</v>
      </c>
      <c r="C443" s="1" t="s">
        <v>82</v>
      </c>
      <c r="D443" s="2"/>
      <c r="E443" s="1" t="s">
        <v>207</v>
      </c>
      <c r="F443" s="1"/>
      <c r="G443" s="1" t="s">
        <v>35</v>
      </c>
      <c r="H443" s="2"/>
      <c r="I443">
        <v>1</v>
      </c>
      <c r="J443" s="1" t="s">
        <v>880</v>
      </c>
      <c r="K443" s="1" t="s">
        <v>878</v>
      </c>
      <c r="L443">
        <v>15.889886000191614</v>
      </c>
      <c r="M443" s="1" t="s">
        <v>210</v>
      </c>
      <c r="N443" s="1" t="s">
        <v>235</v>
      </c>
    </row>
    <row r="444" spans="1:14" x14ac:dyDescent="0.25">
      <c r="A444" s="1" t="s">
        <v>1308</v>
      </c>
      <c r="B444" s="1" t="s">
        <v>134</v>
      </c>
      <c r="C444" s="1" t="s">
        <v>80</v>
      </c>
      <c r="D444" s="2"/>
      <c r="E444" s="1" t="s">
        <v>207</v>
      </c>
      <c r="F444" s="1"/>
      <c r="G444" s="1" t="s">
        <v>35</v>
      </c>
      <c r="H444" s="2"/>
      <c r="I444">
        <v>1</v>
      </c>
      <c r="J444" s="1" t="s">
        <v>880</v>
      </c>
      <c r="K444" s="1" t="s">
        <v>878</v>
      </c>
      <c r="L444">
        <v>5.3063787396865649</v>
      </c>
      <c r="M444" s="1" t="s">
        <v>210</v>
      </c>
      <c r="N444" s="1" t="s">
        <v>235</v>
      </c>
    </row>
    <row r="445" spans="1:14" x14ac:dyDescent="0.25">
      <c r="A445" s="1" t="s">
        <v>1309</v>
      </c>
      <c r="B445" s="1" t="s">
        <v>134</v>
      </c>
      <c r="C445" s="1" t="s">
        <v>80</v>
      </c>
      <c r="D445" s="2"/>
      <c r="E445" s="1" t="s">
        <v>207</v>
      </c>
      <c r="F445" s="1"/>
      <c r="G445" s="1" t="s">
        <v>35</v>
      </c>
      <c r="H445" s="2"/>
      <c r="I445">
        <v>1</v>
      </c>
      <c r="J445" s="1" t="s">
        <v>880</v>
      </c>
      <c r="K445" s="1" t="s">
        <v>878</v>
      </c>
      <c r="L445">
        <v>9.8803010642086679</v>
      </c>
      <c r="M445" s="1" t="s">
        <v>210</v>
      </c>
      <c r="N445" s="1" t="s">
        <v>235</v>
      </c>
    </row>
    <row r="446" spans="1:14" x14ac:dyDescent="0.25">
      <c r="A446" s="1" t="s">
        <v>1310</v>
      </c>
      <c r="B446" s="1" t="s">
        <v>134</v>
      </c>
      <c r="C446" s="1" t="s">
        <v>80</v>
      </c>
      <c r="D446" s="2"/>
      <c r="E446" s="1" t="s">
        <v>207</v>
      </c>
      <c r="F446" s="1"/>
      <c r="G446" s="1" t="s">
        <v>35</v>
      </c>
      <c r="H446" s="2"/>
      <c r="I446">
        <v>1</v>
      </c>
      <c r="J446" s="1" t="s">
        <v>880</v>
      </c>
      <c r="K446" s="1" t="s">
        <v>878</v>
      </c>
      <c r="L446">
        <v>14.15266772234544</v>
      </c>
      <c r="M446" s="1" t="s">
        <v>210</v>
      </c>
      <c r="N446" s="1" t="s">
        <v>235</v>
      </c>
    </row>
    <row r="447" spans="1:14" x14ac:dyDescent="0.25">
      <c r="A447" s="1" t="s">
        <v>1311</v>
      </c>
      <c r="B447" s="1" t="s">
        <v>134</v>
      </c>
      <c r="C447" s="1" t="s">
        <v>80</v>
      </c>
      <c r="D447" s="2"/>
      <c r="E447" s="1" t="s">
        <v>207</v>
      </c>
      <c r="F447" s="1"/>
      <c r="G447" s="1" t="s">
        <v>35</v>
      </c>
      <c r="H447" s="2"/>
      <c r="I447">
        <v>1</v>
      </c>
      <c r="J447" s="1" t="s">
        <v>880</v>
      </c>
      <c r="K447" s="1" t="s">
        <v>878</v>
      </c>
      <c r="L447">
        <v>11.151411112013292</v>
      </c>
      <c r="M447" s="1" t="s">
        <v>210</v>
      </c>
      <c r="N447" s="1" t="s">
        <v>235</v>
      </c>
    </row>
    <row r="448" spans="1:14" x14ac:dyDescent="0.25">
      <c r="A448" s="1" t="s">
        <v>1312</v>
      </c>
      <c r="B448" s="1" t="s">
        <v>134</v>
      </c>
      <c r="C448" s="1" t="s">
        <v>80</v>
      </c>
      <c r="D448" s="2"/>
      <c r="E448" s="1" t="s">
        <v>207</v>
      </c>
      <c r="F448" s="1"/>
      <c r="G448" s="1" t="s">
        <v>35</v>
      </c>
      <c r="H448" s="2"/>
      <c r="I448">
        <v>1</v>
      </c>
      <c r="J448" s="1" t="s">
        <v>880</v>
      </c>
      <c r="K448" s="1" t="s">
        <v>878</v>
      </c>
      <c r="L448">
        <v>14.522402888092294</v>
      </c>
      <c r="M448" s="1" t="s">
        <v>210</v>
      </c>
      <c r="N448" s="1" t="s">
        <v>235</v>
      </c>
    </row>
    <row r="449" spans="1:14" x14ac:dyDescent="0.25">
      <c r="A449" s="1" t="s">
        <v>1313</v>
      </c>
      <c r="B449" s="1" t="s">
        <v>134</v>
      </c>
      <c r="C449" s="1" t="s">
        <v>80</v>
      </c>
      <c r="D449" s="2"/>
      <c r="E449" s="1" t="s">
        <v>207</v>
      </c>
      <c r="F449" s="1"/>
      <c r="G449" s="1" t="s">
        <v>35</v>
      </c>
      <c r="H449" s="2"/>
      <c r="I449">
        <v>1</v>
      </c>
      <c r="J449" s="1" t="s">
        <v>880</v>
      </c>
      <c r="K449" s="1" t="s">
        <v>878</v>
      </c>
      <c r="L449">
        <v>5.6399586695630974</v>
      </c>
      <c r="M449" s="1" t="s">
        <v>210</v>
      </c>
      <c r="N449" s="1" t="s">
        <v>235</v>
      </c>
    </row>
    <row r="450" spans="1:14" x14ac:dyDescent="0.25">
      <c r="A450" s="1" t="s">
        <v>1314</v>
      </c>
      <c r="B450" s="1" t="s">
        <v>134</v>
      </c>
      <c r="C450" s="1" t="s">
        <v>80</v>
      </c>
      <c r="D450" s="2"/>
      <c r="E450" s="1" t="s">
        <v>207</v>
      </c>
      <c r="F450" s="1"/>
      <c r="G450" s="1" t="s">
        <v>35</v>
      </c>
      <c r="H450" s="2"/>
      <c r="I450">
        <v>1</v>
      </c>
      <c r="J450" s="1" t="s">
        <v>880</v>
      </c>
      <c r="K450" s="1" t="s">
        <v>878</v>
      </c>
      <c r="L450">
        <v>13.008435679599842</v>
      </c>
      <c r="M450" s="1" t="s">
        <v>210</v>
      </c>
      <c r="N450" s="1" t="s">
        <v>235</v>
      </c>
    </row>
    <row r="451" spans="1:14" x14ac:dyDescent="0.25">
      <c r="A451" s="1" t="s">
        <v>1325</v>
      </c>
      <c r="B451" s="1" t="s">
        <v>134</v>
      </c>
      <c r="C451" s="1" t="s">
        <v>80</v>
      </c>
      <c r="D451" s="2"/>
      <c r="E451" s="1" t="s">
        <v>207</v>
      </c>
      <c r="F451" s="1"/>
      <c r="G451" s="1" t="s">
        <v>35</v>
      </c>
      <c r="H451" s="2"/>
      <c r="I451">
        <v>1</v>
      </c>
      <c r="J451" s="1" t="s">
        <v>880</v>
      </c>
      <c r="K451" s="1" t="s">
        <v>878</v>
      </c>
      <c r="L451">
        <v>5.3063809385571492</v>
      </c>
      <c r="M451" s="1" t="s">
        <v>210</v>
      </c>
      <c r="N451" s="1" t="s">
        <v>235</v>
      </c>
    </row>
    <row r="452" spans="1:14" x14ac:dyDescent="0.25">
      <c r="A452" s="1" t="s">
        <v>1326</v>
      </c>
      <c r="B452" s="1" t="s">
        <v>134</v>
      </c>
      <c r="C452" s="1" t="s">
        <v>80</v>
      </c>
      <c r="D452" s="2"/>
      <c r="E452" s="1" t="s">
        <v>207</v>
      </c>
      <c r="F452" s="1"/>
      <c r="G452" s="1" t="s">
        <v>35</v>
      </c>
      <c r="H452" s="2"/>
      <c r="I452">
        <v>1</v>
      </c>
      <c r="J452" s="1" t="s">
        <v>880</v>
      </c>
      <c r="K452" s="1" t="s">
        <v>878</v>
      </c>
      <c r="L452">
        <v>9.8803010642086679</v>
      </c>
      <c r="M452" s="1" t="s">
        <v>210</v>
      </c>
      <c r="N452" s="1" t="s">
        <v>235</v>
      </c>
    </row>
    <row r="453" spans="1:14" x14ac:dyDescent="0.25">
      <c r="A453" s="1" t="s">
        <v>1327</v>
      </c>
      <c r="B453" s="1" t="s">
        <v>134</v>
      </c>
      <c r="C453" s="1" t="s">
        <v>80</v>
      </c>
      <c r="D453" s="2"/>
      <c r="E453" s="1" t="s">
        <v>207</v>
      </c>
      <c r="F453" s="1"/>
      <c r="G453" s="1" t="s">
        <v>35</v>
      </c>
      <c r="H453" s="2"/>
      <c r="I453">
        <v>1</v>
      </c>
      <c r="J453" s="1" t="s">
        <v>880</v>
      </c>
      <c r="K453" s="1" t="s">
        <v>878</v>
      </c>
      <c r="L453">
        <v>14.15266772234544</v>
      </c>
      <c r="M453" s="1" t="s">
        <v>210</v>
      </c>
      <c r="N453" s="1" t="s">
        <v>235</v>
      </c>
    </row>
    <row r="454" spans="1:14" x14ac:dyDescent="0.25">
      <c r="A454" s="1" t="s">
        <v>1328</v>
      </c>
      <c r="B454" s="1" t="s">
        <v>134</v>
      </c>
      <c r="C454" s="1" t="s">
        <v>80</v>
      </c>
      <c r="D454" s="2"/>
      <c r="E454" s="1" t="s">
        <v>207</v>
      </c>
      <c r="F454" s="1"/>
      <c r="G454" s="1" t="s">
        <v>35</v>
      </c>
      <c r="H454" s="2"/>
      <c r="I454">
        <v>1</v>
      </c>
      <c r="J454" s="1" t="s">
        <v>880</v>
      </c>
      <c r="K454" s="1" t="s">
        <v>878</v>
      </c>
      <c r="L454">
        <v>11.151411112054276</v>
      </c>
      <c r="M454" s="1" t="s">
        <v>210</v>
      </c>
      <c r="N454" s="1" t="s">
        <v>235</v>
      </c>
    </row>
    <row r="455" spans="1:14" x14ac:dyDescent="0.25">
      <c r="A455" s="1" t="s">
        <v>1329</v>
      </c>
      <c r="B455" s="1" t="s">
        <v>134</v>
      </c>
      <c r="C455" s="1" t="s">
        <v>80</v>
      </c>
      <c r="D455" s="2"/>
      <c r="E455" s="1" t="s">
        <v>207</v>
      </c>
      <c r="F455" s="1"/>
      <c r="G455" s="1" t="s">
        <v>35</v>
      </c>
      <c r="H455" s="2"/>
      <c r="I455">
        <v>1</v>
      </c>
      <c r="J455" s="1" t="s">
        <v>880</v>
      </c>
      <c r="K455" s="1" t="s">
        <v>878</v>
      </c>
      <c r="L455">
        <v>14.522402888092294</v>
      </c>
      <c r="M455" s="1" t="s">
        <v>210</v>
      </c>
      <c r="N455" s="1" t="s">
        <v>235</v>
      </c>
    </row>
    <row r="456" spans="1:14" x14ac:dyDescent="0.25">
      <c r="A456" s="1" t="s">
        <v>1330</v>
      </c>
      <c r="B456" s="1" t="s">
        <v>134</v>
      </c>
      <c r="C456" s="1" t="s">
        <v>80</v>
      </c>
      <c r="D456" s="2"/>
      <c r="E456" s="1" t="s">
        <v>207</v>
      </c>
      <c r="F456" s="1"/>
      <c r="G456" s="1" t="s">
        <v>35</v>
      </c>
      <c r="H456" s="2"/>
      <c r="I456">
        <v>1</v>
      </c>
      <c r="J456" s="1" t="s">
        <v>880</v>
      </c>
      <c r="K456" s="1" t="s">
        <v>878</v>
      </c>
      <c r="L456">
        <v>5.6399586695782986</v>
      </c>
      <c r="M456" s="1" t="s">
        <v>210</v>
      </c>
      <c r="N456" s="1" t="s">
        <v>235</v>
      </c>
    </row>
    <row r="457" spans="1:14" x14ac:dyDescent="0.25">
      <c r="A457" s="1" t="s">
        <v>1331</v>
      </c>
      <c r="B457" s="1" t="s">
        <v>134</v>
      </c>
      <c r="C457" s="1" t="s">
        <v>80</v>
      </c>
      <c r="D457" s="2"/>
      <c r="E457" s="1" t="s">
        <v>207</v>
      </c>
      <c r="F457" s="1"/>
      <c r="G457" s="1" t="s">
        <v>35</v>
      </c>
      <c r="H457" s="2"/>
      <c r="I457">
        <v>1</v>
      </c>
      <c r="J457" s="1" t="s">
        <v>880</v>
      </c>
      <c r="K457" s="1" t="s">
        <v>878</v>
      </c>
      <c r="L457">
        <v>13.008435679599842</v>
      </c>
      <c r="M457" s="1" t="s">
        <v>210</v>
      </c>
      <c r="N457" s="1" t="s">
        <v>235</v>
      </c>
    </row>
    <row r="458" spans="1:14" x14ac:dyDescent="0.25">
      <c r="A458" s="1" t="s">
        <v>1342</v>
      </c>
      <c r="B458" s="1" t="s">
        <v>134</v>
      </c>
      <c r="C458" s="1" t="s">
        <v>80</v>
      </c>
      <c r="D458" s="2"/>
      <c r="E458" s="1" t="s">
        <v>207</v>
      </c>
      <c r="F458" s="1"/>
      <c r="G458" s="1" t="s">
        <v>35</v>
      </c>
      <c r="H458" s="2"/>
      <c r="I458">
        <v>1</v>
      </c>
      <c r="J458" s="1" t="s">
        <v>880</v>
      </c>
      <c r="K458" s="1" t="s">
        <v>878</v>
      </c>
      <c r="L458">
        <v>5.3065687332573273</v>
      </c>
      <c r="M458" s="1" t="s">
        <v>210</v>
      </c>
      <c r="N458" s="1" t="s">
        <v>235</v>
      </c>
    </row>
    <row r="459" spans="1:14" x14ac:dyDescent="0.25">
      <c r="A459" s="1" t="s">
        <v>1343</v>
      </c>
      <c r="B459" s="1" t="s">
        <v>134</v>
      </c>
      <c r="C459" s="1" t="s">
        <v>80</v>
      </c>
      <c r="D459" s="2"/>
      <c r="E459" s="1" t="s">
        <v>207</v>
      </c>
      <c r="F459" s="1"/>
      <c r="G459" s="1" t="s">
        <v>35</v>
      </c>
      <c r="H459" s="2"/>
      <c r="I459">
        <v>1</v>
      </c>
      <c r="J459" s="1" t="s">
        <v>880</v>
      </c>
      <c r="K459" s="1" t="s">
        <v>878</v>
      </c>
      <c r="L459">
        <v>9.8803010642086679</v>
      </c>
      <c r="M459" s="1" t="s">
        <v>210</v>
      </c>
      <c r="N459" s="1" t="s">
        <v>235</v>
      </c>
    </row>
    <row r="460" spans="1:14" x14ac:dyDescent="0.25">
      <c r="A460" s="1" t="s">
        <v>1344</v>
      </c>
      <c r="B460" s="1" t="s">
        <v>134</v>
      </c>
      <c r="C460" s="1" t="s">
        <v>80</v>
      </c>
      <c r="D460" s="2"/>
      <c r="E460" s="1" t="s">
        <v>207</v>
      </c>
      <c r="F460" s="1"/>
      <c r="G460" s="1" t="s">
        <v>35</v>
      </c>
      <c r="H460" s="2"/>
      <c r="I460">
        <v>1</v>
      </c>
      <c r="J460" s="1" t="s">
        <v>880</v>
      </c>
      <c r="K460" s="1" t="s">
        <v>878</v>
      </c>
      <c r="L460">
        <v>14.15266772234544</v>
      </c>
      <c r="M460" s="1" t="s">
        <v>210</v>
      </c>
      <c r="N460" s="1" t="s">
        <v>235</v>
      </c>
    </row>
    <row r="461" spans="1:14" x14ac:dyDescent="0.25">
      <c r="A461" s="1" t="s">
        <v>1345</v>
      </c>
      <c r="B461" s="1" t="s">
        <v>134</v>
      </c>
      <c r="C461" s="1" t="s">
        <v>80</v>
      </c>
      <c r="D461" s="2"/>
      <c r="E461" s="1" t="s">
        <v>207</v>
      </c>
      <c r="F461" s="1"/>
      <c r="G461" s="1" t="s">
        <v>35</v>
      </c>
      <c r="H461" s="2"/>
      <c r="I461">
        <v>1</v>
      </c>
      <c r="J461" s="1" t="s">
        <v>880</v>
      </c>
      <c r="K461" s="1" t="s">
        <v>878</v>
      </c>
      <c r="L461">
        <v>11.151411112083649</v>
      </c>
      <c r="M461" s="1" t="s">
        <v>210</v>
      </c>
      <c r="N461" s="1" t="s">
        <v>235</v>
      </c>
    </row>
    <row r="462" spans="1:14" x14ac:dyDescent="0.25">
      <c r="A462" s="1" t="s">
        <v>1346</v>
      </c>
      <c r="B462" s="1" t="s">
        <v>134</v>
      </c>
      <c r="C462" s="1" t="s">
        <v>80</v>
      </c>
      <c r="D462" s="2"/>
      <c r="E462" s="1" t="s">
        <v>207</v>
      </c>
      <c r="F462" s="1"/>
      <c r="G462" s="1" t="s">
        <v>35</v>
      </c>
      <c r="H462" s="2"/>
      <c r="I462">
        <v>1</v>
      </c>
      <c r="J462" s="1" t="s">
        <v>880</v>
      </c>
      <c r="K462" s="1" t="s">
        <v>878</v>
      </c>
      <c r="L462">
        <v>14.522402888092294</v>
      </c>
      <c r="M462" s="1" t="s">
        <v>210</v>
      </c>
      <c r="N462" s="1" t="s">
        <v>235</v>
      </c>
    </row>
    <row r="463" spans="1:14" x14ac:dyDescent="0.25">
      <c r="A463" s="1" t="s">
        <v>1347</v>
      </c>
      <c r="B463" s="1" t="s">
        <v>134</v>
      </c>
      <c r="C463" s="1" t="s">
        <v>80</v>
      </c>
      <c r="D463" s="2"/>
      <c r="E463" s="1" t="s">
        <v>207</v>
      </c>
      <c r="F463" s="1"/>
      <c r="G463" s="1" t="s">
        <v>35</v>
      </c>
      <c r="H463" s="2"/>
      <c r="I463">
        <v>1</v>
      </c>
      <c r="J463" s="1" t="s">
        <v>880</v>
      </c>
      <c r="K463" s="1" t="s">
        <v>878</v>
      </c>
      <c r="L463">
        <v>5.63995866960801</v>
      </c>
      <c r="M463" s="1" t="s">
        <v>210</v>
      </c>
      <c r="N463" s="1" t="s">
        <v>235</v>
      </c>
    </row>
    <row r="464" spans="1:14" x14ac:dyDescent="0.25">
      <c r="A464" s="1" t="s">
        <v>1348</v>
      </c>
      <c r="B464" s="1" t="s">
        <v>134</v>
      </c>
      <c r="C464" s="1" t="s">
        <v>80</v>
      </c>
      <c r="D464" s="2"/>
      <c r="E464" s="1" t="s">
        <v>207</v>
      </c>
      <c r="F464" s="1"/>
      <c r="G464" s="1" t="s">
        <v>35</v>
      </c>
      <c r="H464" s="2"/>
      <c r="I464">
        <v>1</v>
      </c>
      <c r="J464" s="1" t="s">
        <v>880</v>
      </c>
      <c r="K464" s="1" t="s">
        <v>878</v>
      </c>
      <c r="L464">
        <v>13.008435679599842</v>
      </c>
      <c r="M464" s="1" t="s">
        <v>210</v>
      </c>
      <c r="N464" s="1" t="s">
        <v>235</v>
      </c>
    </row>
    <row r="465" spans="1:14" x14ac:dyDescent="0.25">
      <c r="A465" s="1" t="s">
        <v>1273</v>
      </c>
      <c r="B465" s="1" t="s">
        <v>128</v>
      </c>
      <c r="C465" s="1" t="s">
        <v>82</v>
      </c>
      <c r="D465" s="2"/>
      <c r="E465" s="1" t="s">
        <v>207</v>
      </c>
      <c r="F465" s="1"/>
      <c r="G465" s="1" t="s">
        <v>35</v>
      </c>
      <c r="H465" s="2"/>
      <c r="I465">
        <v>1</v>
      </c>
      <c r="J465" s="1" t="s">
        <v>2017</v>
      </c>
      <c r="K465" s="1" t="s">
        <v>878</v>
      </c>
      <c r="L465">
        <v>9.0261440489029496</v>
      </c>
      <c r="M465" s="1" t="s">
        <v>210</v>
      </c>
      <c r="N465" s="1" t="s">
        <v>235</v>
      </c>
    </row>
    <row r="466" spans="1:14" x14ac:dyDescent="0.25">
      <c r="A466" s="1" t="s">
        <v>1274</v>
      </c>
      <c r="B466" s="1" t="s">
        <v>128</v>
      </c>
      <c r="C466" s="1" t="s">
        <v>82</v>
      </c>
      <c r="D466" s="2"/>
      <c r="E466" s="1" t="s">
        <v>207</v>
      </c>
      <c r="F466" s="1"/>
      <c r="G466" s="1" t="s">
        <v>35</v>
      </c>
      <c r="H466" s="2"/>
      <c r="I466">
        <v>1</v>
      </c>
      <c r="J466" s="1" t="s">
        <v>2017</v>
      </c>
      <c r="K466" s="1" t="s">
        <v>878</v>
      </c>
      <c r="L466">
        <v>10.039755996381118</v>
      </c>
      <c r="M466" s="1" t="s">
        <v>210</v>
      </c>
      <c r="N466" s="1" t="s">
        <v>235</v>
      </c>
    </row>
    <row r="467" spans="1:14" x14ac:dyDescent="0.25">
      <c r="A467" s="1" t="s">
        <v>1275</v>
      </c>
      <c r="B467" s="1" t="s">
        <v>128</v>
      </c>
      <c r="C467" s="1" t="s">
        <v>82</v>
      </c>
      <c r="D467" s="2"/>
      <c r="E467" s="1" t="s">
        <v>207</v>
      </c>
      <c r="F467" s="1"/>
      <c r="G467" s="1" t="s">
        <v>35</v>
      </c>
      <c r="H467" s="2"/>
      <c r="I467">
        <v>1</v>
      </c>
      <c r="J467" s="1" t="s">
        <v>2017</v>
      </c>
      <c r="K467" s="1" t="s">
        <v>878</v>
      </c>
      <c r="L467">
        <v>9.9756136402576416</v>
      </c>
      <c r="M467" s="1" t="s">
        <v>210</v>
      </c>
      <c r="N467" s="1" t="s">
        <v>235</v>
      </c>
    </row>
    <row r="468" spans="1:14" x14ac:dyDescent="0.25">
      <c r="A468" s="1" t="s">
        <v>1276</v>
      </c>
      <c r="B468" s="1" t="s">
        <v>128</v>
      </c>
      <c r="C468" s="1" t="s">
        <v>82</v>
      </c>
      <c r="D468" s="2"/>
      <c r="E468" s="1" t="s">
        <v>207</v>
      </c>
      <c r="F468" s="1"/>
      <c r="G468" s="1" t="s">
        <v>35</v>
      </c>
      <c r="H468" s="2"/>
      <c r="I468">
        <v>1</v>
      </c>
      <c r="J468" s="1" t="s">
        <v>2017</v>
      </c>
      <c r="K468" s="1" t="s">
        <v>878</v>
      </c>
      <c r="L468">
        <v>9.9757090124289949</v>
      </c>
      <c r="M468" s="1" t="s">
        <v>210</v>
      </c>
      <c r="N468" s="1" t="s">
        <v>235</v>
      </c>
    </row>
    <row r="469" spans="1:14" x14ac:dyDescent="0.25">
      <c r="A469" s="1" t="s">
        <v>1277</v>
      </c>
      <c r="B469" s="1" t="s">
        <v>128</v>
      </c>
      <c r="C469" s="1" t="s">
        <v>82</v>
      </c>
      <c r="D469" s="2"/>
      <c r="E469" s="1" t="s">
        <v>207</v>
      </c>
      <c r="F469" s="1"/>
      <c r="G469" s="1" t="s">
        <v>35</v>
      </c>
      <c r="H469" s="2"/>
      <c r="I469">
        <v>1</v>
      </c>
      <c r="J469" s="1" t="s">
        <v>2017</v>
      </c>
      <c r="K469" s="1" t="s">
        <v>878</v>
      </c>
      <c r="L469">
        <v>9.9328417488146599</v>
      </c>
      <c r="M469" s="1" t="s">
        <v>210</v>
      </c>
      <c r="N469" s="1" t="s">
        <v>235</v>
      </c>
    </row>
    <row r="470" spans="1:14" x14ac:dyDescent="0.25">
      <c r="A470" s="1" t="s">
        <v>1269</v>
      </c>
      <c r="B470" s="1" t="s">
        <v>128</v>
      </c>
      <c r="C470" s="1" t="s">
        <v>81</v>
      </c>
      <c r="D470" s="2"/>
      <c r="E470" s="1" t="s">
        <v>207</v>
      </c>
      <c r="F470" s="1"/>
      <c r="G470" s="1" t="s">
        <v>35</v>
      </c>
      <c r="H470" s="2"/>
      <c r="I470">
        <v>1</v>
      </c>
      <c r="J470" s="1" t="s">
        <v>2017</v>
      </c>
      <c r="K470" s="1" t="s">
        <v>878</v>
      </c>
      <c r="L470">
        <v>7.2283843296638626</v>
      </c>
      <c r="M470" s="1" t="s">
        <v>210</v>
      </c>
      <c r="N470" s="1" t="s">
        <v>235</v>
      </c>
    </row>
    <row r="471" spans="1:14" x14ac:dyDescent="0.25">
      <c r="A471" s="1" t="s">
        <v>1270</v>
      </c>
      <c r="B471" s="1" t="s">
        <v>128</v>
      </c>
      <c r="C471" s="1" t="s">
        <v>81</v>
      </c>
      <c r="D471" s="2"/>
      <c r="E471" s="1" t="s">
        <v>207</v>
      </c>
      <c r="F471" s="1"/>
      <c r="G471" s="1" t="s">
        <v>35</v>
      </c>
      <c r="H471" s="2"/>
      <c r="I471">
        <v>1</v>
      </c>
      <c r="J471" s="1" t="s">
        <v>2017</v>
      </c>
      <c r="K471" s="1" t="s">
        <v>878</v>
      </c>
      <c r="L471">
        <v>7.2283977267563824</v>
      </c>
      <c r="M471" s="1" t="s">
        <v>210</v>
      </c>
      <c r="N471" s="1" t="s">
        <v>235</v>
      </c>
    </row>
    <row r="472" spans="1:14" x14ac:dyDescent="0.25">
      <c r="A472" s="1" t="s">
        <v>1271</v>
      </c>
      <c r="B472" s="1" t="s">
        <v>128</v>
      </c>
      <c r="C472" s="1" t="s">
        <v>81</v>
      </c>
      <c r="D472" s="2"/>
      <c r="E472" s="1" t="s">
        <v>207</v>
      </c>
      <c r="F472" s="1"/>
      <c r="G472" s="1" t="s">
        <v>35</v>
      </c>
      <c r="H472" s="2"/>
      <c r="I472">
        <v>1</v>
      </c>
      <c r="J472" s="1" t="s">
        <v>2017</v>
      </c>
      <c r="K472" s="1" t="s">
        <v>878</v>
      </c>
      <c r="L472">
        <v>5.369903240613537</v>
      </c>
      <c r="M472" s="1" t="s">
        <v>210</v>
      </c>
      <c r="N472" s="1" t="s">
        <v>235</v>
      </c>
    </row>
    <row r="473" spans="1:14" x14ac:dyDescent="0.25">
      <c r="A473" s="1" t="s">
        <v>1272</v>
      </c>
      <c r="B473" s="1" t="s">
        <v>128</v>
      </c>
      <c r="C473" s="1" t="s">
        <v>81</v>
      </c>
      <c r="D473" s="2"/>
      <c r="E473" s="1" t="s">
        <v>207</v>
      </c>
      <c r="F473" s="1"/>
      <c r="G473" s="1" t="s">
        <v>35</v>
      </c>
      <c r="H473" s="2"/>
      <c r="I473">
        <v>1</v>
      </c>
      <c r="J473" s="1" t="s">
        <v>2017</v>
      </c>
      <c r="K473" s="1" t="s">
        <v>878</v>
      </c>
      <c r="L473">
        <v>5.2550342468644633</v>
      </c>
      <c r="M473" s="1" t="s">
        <v>210</v>
      </c>
      <c r="N473" s="1" t="s">
        <v>235</v>
      </c>
    </row>
    <row r="474" spans="1:14" x14ac:dyDescent="0.25">
      <c r="A474" s="1" t="s">
        <v>1266</v>
      </c>
      <c r="B474" s="1" t="s">
        <v>128</v>
      </c>
      <c r="C474" s="1" t="s">
        <v>80</v>
      </c>
      <c r="D474" s="2"/>
      <c r="E474" s="1" t="s">
        <v>207</v>
      </c>
      <c r="F474" s="1"/>
      <c r="G474" s="1" t="s">
        <v>35</v>
      </c>
      <c r="H474" s="2"/>
      <c r="I474">
        <v>1</v>
      </c>
      <c r="J474" s="1" t="s">
        <v>2017</v>
      </c>
      <c r="K474" s="1" t="s">
        <v>878</v>
      </c>
      <c r="L474">
        <v>6.4072847893589486</v>
      </c>
      <c r="M474" s="1" t="s">
        <v>210</v>
      </c>
      <c r="N474" s="1" t="s">
        <v>235</v>
      </c>
    </row>
    <row r="475" spans="1:14" x14ac:dyDescent="0.25">
      <c r="A475" s="1" t="s">
        <v>1267</v>
      </c>
      <c r="B475" s="1" t="s">
        <v>128</v>
      </c>
      <c r="C475" s="1" t="s">
        <v>80</v>
      </c>
      <c r="D475" s="2"/>
      <c r="E475" s="1" t="s">
        <v>207</v>
      </c>
      <c r="F475" s="1"/>
      <c r="G475" s="1" t="s">
        <v>35</v>
      </c>
      <c r="H475" s="2"/>
      <c r="I475">
        <v>1</v>
      </c>
      <c r="J475" s="1" t="s">
        <v>2017</v>
      </c>
      <c r="K475" s="1" t="s">
        <v>878</v>
      </c>
      <c r="L475">
        <v>5.6738158875450182</v>
      </c>
      <c r="M475" s="1" t="s">
        <v>210</v>
      </c>
      <c r="N475" s="1" t="s">
        <v>235</v>
      </c>
    </row>
    <row r="476" spans="1:14" x14ac:dyDescent="0.25">
      <c r="A476" s="1" t="s">
        <v>1268</v>
      </c>
      <c r="B476" s="1" t="s">
        <v>128</v>
      </c>
      <c r="C476" s="1" t="s">
        <v>80</v>
      </c>
      <c r="D476" s="2"/>
      <c r="E476" s="1" t="s">
        <v>207</v>
      </c>
      <c r="F476" s="1"/>
      <c r="G476" s="1" t="s">
        <v>35</v>
      </c>
      <c r="H476" s="2"/>
      <c r="I476">
        <v>1</v>
      </c>
      <c r="J476" s="1" t="s">
        <v>2017</v>
      </c>
      <c r="K476" s="1" t="s">
        <v>878</v>
      </c>
      <c r="L476">
        <v>6.5084897132667034</v>
      </c>
      <c r="M476" s="1" t="s">
        <v>210</v>
      </c>
      <c r="N476" s="1" t="s">
        <v>235</v>
      </c>
    </row>
    <row r="477" spans="1:14" x14ac:dyDescent="0.25">
      <c r="A477" s="1" t="s">
        <v>1909</v>
      </c>
      <c r="B477" s="1" t="s">
        <v>132</v>
      </c>
      <c r="C477" s="1" t="s">
        <v>82</v>
      </c>
      <c r="D477" s="2"/>
      <c r="E477" s="1" t="s">
        <v>207</v>
      </c>
      <c r="F477" s="1"/>
      <c r="G477" s="1" t="s">
        <v>35</v>
      </c>
      <c r="H477" s="2"/>
      <c r="I477">
        <v>1</v>
      </c>
      <c r="J477" s="1" t="s">
        <v>2017</v>
      </c>
      <c r="K477" s="1" t="s">
        <v>878</v>
      </c>
      <c r="L477">
        <v>5.3413450343667703</v>
      </c>
      <c r="M477" s="1" t="s">
        <v>210</v>
      </c>
      <c r="N477" s="1" t="s">
        <v>235</v>
      </c>
    </row>
    <row r="478" spans="1:14" x14ac:dyDescent="0.25">
      <c r="A478" s="1" t="s">
        <v>1910</v>
      </c>
      <c r="B478" s="1" t="s">
        <v>132</v>
      </c>
      <c r="C478" s="1" t="s">
        <v>82</v>
      </c>
      <c r="D478" s="2"/>
      <c r="E478" s="1" t="s">
        <v>207</v>
      </c>
      <c r="F478" s="1"/>
      <c r="G478" s="1" t="s">
        <v>35</v>
      </c>
      <c r="H478" s="2"/>
      <c r="I478">
        <v>1</v>
      </c>
      <c r="J478" s="1" t="s">
        <v>2017</v>
      </c>
      <c r="K478" s="1" t="s">
        <v>878</v>
      </c>
      <c r="L478">
        <v>5.0619163369055196</v>
      </c>
      <c r="M478" s="1" t="s">
        <v>210</v>
      </c>
      <c r="N478" s="1" t="s">
        <v>235</v>
      </c>
    </row>
    <row r="479" spans="1:14" x14ac:dyDescent="0.25">
      <c r="A479" s="1" t="s">
        <v>1911</v>
      </c>
      <c r="B479" s="1" t="s">
        <v>132</v>
      </c>
      <c r="C479" s="1" t="s">
        <v>82</v>
      </c>
      <c r="D479" s="2"/>
      <c r="E479" s="1" t="s">
        <v>207</v>
      </c>
      <c r="F479" s="1"/>
      <c r="G479" s="1" t="s">
        <v>35</v>
      </c>
      <c r="H479" s="2"/>
      <c r="I479">
        <v>1</v>
      </c>
      <c r="J479" s="1" t="s">
        <v>2017</v>
      </c>
      <c r="K479" s="1" t="s">
        <v>878</v>
      </c>
      <c r="L479">
        <v>7.7879395372468627</v>
      </c>
      <c r="M479" s="1" t="s">
        <v>210</v>
      </c>
      <c r="N479" s="1" t="s">
        <v>235</v>
      </c>
    </row>
    <row r="480" spans="1:14" x14ac:dyDescent="0.25">
      <c r="A480" s="1" t="s">
        <v>1912</v>
      </c>
      <c r="B480" s="1" t="s">
        <v>132</v>
      </c>
      <c r="C480" s="1" t="s">
        <v>82</v>
      </c>
      <c r="D480" s="2"/>
      <c r="E480" s="1" t="s">
        <v>207</v>
      </c>
      <c r="F480" s="1"/>
      <c r="G480" s="1" t="s">
        <v>35</v>
      </c>
      <c r="H480" s="2"/>
      <c r="I480">
        <v>1</v>
      </c>
      <c r="J480" s="1" t="s">
        <v>2017</v>
      </c>
      <c r="K480" s="1" t="s">
        <v>878</v>
      </c>
      <c r="L480">
        <v>5.3436905520383347</v>
      </c>
      <c r="M480" s="1" t="s">
        <v>210</v>
      </c>
      <c r="N480" s="1" t="s">
        <v>235</v>
      </c>
    </row>
    <row r="481" spans="1:14" x14ac:dyDescent="0.25">
      <c r="A481" s="1" t="s">
        <v>1913</v>
      </c>
      <c r="B481" s="1" t="s">
        <v>132</v>
      </c>
      <c r="C481" s="1" t="s">
        <v>82</v>
      </c>
      <c r="D481" s="2"/>
      <c r="E481" s="1" t="s">
        <v>207</v>
      </c>
      <c r="F481" s="1"/>
      <c r="G481" s="1" t="s">
        <v>35</v>
      </c>
      <c r="H481" s="2"/>
      <c r="I481">
        <v>1</v>
      </c>
      <c r="J481" s="1" t="s">
        <v>2017</v>
      </c>
      <c r="K481" s="1" t="s">
        <v>878</v>
      </c>
      <c r="L481">
        <v>6.8010925807611802</v>
      </c>
      <c r="M481" s="1" t="s">
        <v>210</v>
      </c>
      <c r="N481" s="1" t="s">
        <v>235</v>
      </c>
    </row>
    <row r="482" spans="1:14" x14ac:dyDescent="0.25">
      <c r="A482" s="1" t="s">
        <v>1914</v>
      </c>
      <c r="B482" s="1" t="s">
        <v>132</v>
      </c>
      <c r="C482" s="1" t="s">
        <v>82</v>
      </c>
      <c r="D482" s="2"/>
      <c r="E482" s="1" t="s">
        <v>207</v>
      </c>
      <c r="F482" s="1"/>
      <c r="G482" s="1" t="s">
        <v>35</v>
      </c>
      <c r="H482" s="2"/>
      <c r="I482">
        <v>1</v>
      </c>
      <c r="J482" s="1" t="s">
        <v>2017</v>
      </c>
      <c r="K482" s="1" t="s">
        <v>878</v>
      </c>
      <c r="L482">
        <v>5.3436811688971817</v>
      </c>
      <c r="M482" s="1" t="s">
        <v>210</v>
      </c>
      <c r="N482" s="1" t="s">
        <v>235</v>
      </c>
    </row>
    <row r="483" spans="1:14" x14ac:dyDescent="0.25">
      <c r="A483" s="1" t="s">
        <v>1915</v>
      </c>
      <c r="B483" s="1" t="s">
        <v>132</v>
      </c>
      <c r="C483" s="1" t="s">
        <v>82</v>
      </c>
      <c r="D483" s="2"/>
      <c r="E483" s="1" t="s">
        <v>207</v>
      </c>
      <c r="F483" s="1"/>
      <c r="G483" s="1" t="s">
        <v>35</v>
      </c>
      <c r="H483" s="2"/>
      <c r="I483">
        <v>1</v>
      </c>
      <c r="J483" s="1" t="s">
        <v>2017</v>
      </c>
      <c r="K483" s="1" t="s">
        <v>878</v>
      </c>
      <c r="L483">
        <v>3.3061098378039628</v>
      </c>
      <c r="M483" s="1" t="s">
        <v>210</v>
      </c>
      <c r="N483" s="1" t="s">
        <v>235</v>
      </c>
    </row>
    <row r="484" spans="1:14" x14ac:dyDescent="0.25">
      <c r="A484" s="1" t="s">
        <v>1916</v>
      </c>
      <c r="B484" s="1" t="s">
        <v>132</v>
      </c>
      <c r="C484" s="1" t="s">
        <v>82</v>
      </c>
      <c r="D484" s="2"/>
      <c r="E484" s="1" t="s">
        <v>207</v>
      </c>
      <c r="F484" s="1"/>
      <c r="G484" s="1" t="s">
        <v>35</v>
      </c>
      <c r="H484" s="2"/>
      <c r="I484">
        <v>1</v>
      </c>
      <c r="J484" s="1" t="s">
        <v>2017</v>
      </c>
      <c r="K484" s="1" t="s">
        <v>878</v>
      </c>
      <c r="L484">
        <v>6.3651364713660117</v>
      </c>
      <c r="M484" s="1" t="s">
        <v>210</v>
      </c>
      <c r="N484" s="1" t="s">
        <v>235</v>
      </c>
    </row>
    <row r="485" spans="1:14" x14ac:dyDescent="0.25">
      <c r="A485" s="1" t="s">
        <v>1917</v>
      </c>
      <c r="B485" s="1" t="s">
        <v>132</v>
      </c>
      <c r="C485" s="1" t="s">
        <v>80</v>
      </c>
      <c r="D485" s="2"/>
      <c r="E485" s="1" t="s">
        <v>207</v>
      </c>
      <c r="F485" s="1"/>
      <c r="G485" s="1" t="s">
        <v>35</v>
      </c>
      <c r="H485" s="2"/>
      <c r="I485">
        <v>1</v>
      </c>
      <c r="J485" s="1" t="s">
        <v>2017</v>
      </c>
      <c r="K485" s="1" t="s">
        <v>878</v>
      </c>
      <c r="L485">
        <v>6.8424223852945056</v>
      </c>
      <c r="M485" s="1" t="s">
        <v>210</v>
      </c>
      <c r="N485" s="1" t="s">
        <v>235</v>
      </c>
    </row>
    <row r="486" spans="1:14" x14ac:dyDescent="0.25">
      <c r="A486" s="1" t="s">
        <v>1918</v>
      </c>
      <c r="B486" s="1" t="s">
        <v>132</v>
      </c>
      <c r="C486" s="1" t="s">
        <v>80</v>
      </c>
      <c r="D486" s="2"/>
      <c r="E486" s="1" t="s">
        <v>207</v>
      </c>
      <c r="F486" s="1"/>
      <c r="G486" s="1" t="s">
        <v>35</v>
      </c>
      <c r="H486" s="2"/>
      <c r="I486">
        <v>1</v>
      </c>
      <c r="J486" s="1" t="s">
        <v>2017</v>
      </c>
      <c r="K486" s="1" t="s">
        <v>878</v>
      </c>
      <c r="L486">
        <v>3.7402551862600939</v>
      </c>
      <c r="M486" s="1" t="s">
        <v>210</v>
      </c>
      <c r="N486" s="1" t="s">
        <v>235</v>
      </c>
    </row>
    <row r="487" spans="1:14" x14ac:dyDescent="0.25">
      <c r="A487" s="1" t="s">
        <v>1919</v>
      </c>
      <c r="B487" s="1" t="s">
        <v>132</v>
      </c>
      <c r="C487" s="1" t="s">
        <v>80</v>
      </c>
      <c r="D487" s="2"/>
      <c r="E487" s="1" t="s">
        <v>207</v>
      </c>
      <c r="F487" s="1"/>
      <c r="G487" s="1" t="s">
        <v>35</v>
      </c>
      <c r="H487" s="2"/>
      <c r="I487">
        <v>1</v>
      </c>
      <c r="J487" s="1" t="s">
        <v>2017</v>
      </c>
      <c r="K487" s="1" t="s">
        <v>878</v>
      </c>
      <c r="L487">
        <v>4.9242293235906613</v>
      </c>
      <c r="M487" s="1" t="s">
        <v>210</v>
      </c>
      <c r="N487" s="1" t="s">
        <v>235</v>
      </c>
    </row>
    <row r="488" spans="1:14" x14ac:dyDescent="0.25">
      <c r="A488" s="1" t="s">
        <v>1920</v>
      </c>
      <c r="B488" s="1" t="s">
        <v>132</v>
      </c>
      <c r="C488" s="1" t="s">
        <v>80</v>
      </c>
      <c r="D488" s="2"/>
      <c r="E488" s="1" t="s">
        <v>207</v>
      </c>
      <c r="F488" s="1"/>
      <c r="G488" s="1" t="s">
        <v>35</v>
      </c>
      <c r="H488" s="2"/>
      <c r="I488">
        <v>1</v>
      </c>
      <c r="J488" s="1" t="s">
        <v>2017</v>
      </c>
      <c r="K488" s="1" t="s">
        <v>878</v>
      </c>
      <c r="L488">
        <v>3.8888761924917437</v>
      </c>
      <c r="M488" s="1" t="s">
        <v>210</v>
      </c>
      <c r="N488" s="1" t="s">
        <v>235</v>
      </c>
    </row>
    <row r="489" spans="1:14" x14ac:dyDescent="0.25">
      <c r="A489" s="1" t="s">
        <v>1921</v>
      </c>
      <c r="B489" s="1" t="s">
        <v>132</v>
      </c>
      <c r="C489" s="1" t="s">
        <v>80</v>
      </c>
      <c r="D489" s="2"/>
      <c r="E489" s="1" t="s">
        <v>207</v>
      </c>
      <c r="F489" s="1"/>
      <c r="G489" s="1" t="s">
        <v>35</v>
      </c>
      <c r="H489" s="2"/>
      <c r="I489">
        <v>1</v>
      </c>
      <c r="J489" s="1" t="s">
        <v>2017</v>
      </c>
      <c r="K489" s="1" t="s">
        <v>878</v>
      </c>
      <c r="L489">
        <v>1.8385611123702861</v>
      </c>
      <c r="M489" s="1" t="s">
        <v>210</v>
      </c>
      <c r="N489" s="1" t="s">
        <v>235</v>
      </c>
    </row>
    <row r="490" spans="1:14" x14ac:dyDescent="0.25">
      <c r="A490" s="1" t="s">
        <v>1922</v>
      </c>
      <c r="B490" s="1" t="s">
        <v>132</v>
      </c>
      <c r="C490" s="1" t="s">
        <v>80</v>
      </c>
      <c r="D490" s="2"/>
      <c r="E490" s="1" t="s">
        <v>207</v>
      </c>
      <c r="F490" s="1"/>
      <c r="G490" s="1" t="s">
        <v>35</v>
      </c>
      <c r="H490" s="2"/>
      <c r="I490">
        <v>1</v>
      </c>
      <c r="J490" s="1" t="s">
        <v>2017</v>
      </c>
      <c r="K490" s="1" t="s">
        <v>878</v>
      </c>
      <c r="L490">
        <v>6.5573764528734166</v>
      </c>
      <c r="M490" s="1" t="s">
        <v>210</v>
      </c>
      <c r="N490" s="1" t="s">
        <v>235</v>
      </c>
    </row>
    <row r="491" spans="1:14" x14ac:dyDescent="0.25">
      <c r="A491" s="1" t="s">
        <v>1923</v>
      </c>
      <c r="B491" s="1" t="s">
        <v>132</v>
      </c>
      <c r="C491" s="1" t="s">
        <v>80</v>
      </c>
      <c r="D491" s="2"/>
      <c r="E491" s="1" t="s">
        <v>207</v>
      </c>
      <c r="F491" s="1"/>
      <c r="G491" s="1" t="s">
        <v>35</v>
      </c>
      <c r="H491" s="2"/>
      <c r="I491">
        <v>1</v>
      </c>
      <c r="J491" s="1" t="s">
        <v>2017</v>
      </c>
      <c r="K491" s="1" t="s">
        <v>878</v>
      </c>
      <c r="L491">
        <v>3.8888773229664197</v>
      </c>
      <c r="M491" s="1" t="s">
        <v>210</v>
      </c>
      <c r="N491" s="1" t="s">
        <v>235</v>
      </c>
    </row>
    <row r="492" spans="1:14" x14ac:dyDescent="0.25">
      <c r="A492" s="1" t="s">
        <v>1924</v>
      </c>
      <c r="B492" s="1" t="s">
        <v>132</v>
      </c>
      <c r="C492" s="1" t="s">
        <v>80</v>
      </c>
      <c r="D492" s="2"/>
      <c r="E492" s="1" t="s">
        <v>207</v>
      </c>
      <c r="F492" s="1"/>
      <c r="G492" s="1" t="s">
        <v>35</v>
      </c>
      <c r="H492" s="2"/>
      <c r="I492">
        <v>1</v>
      </c>
      <c r="J492" s="1" t="s">
        <v>2017</v>
      </c>
      <c r="K492" s="1" t="s">
        <v>878</v>
      </c>
      <c r="L492">
        <v>1.8385611123702861</v>
      </c>
      <c r="M492" s="1" t="s">
        <v>210</v>
      </c>
      <c r="N492" s="1" t="s">
        <v>235</v>
      </c>
    </row>
    <row r="493" spans="1:14" x14ac:dyDescent="0.25">
      <c r="A493" s="1" t="s">
        <v>1925</v>
      </c>
      <c r="B493" s="1" t="s">
        <v>132</v>
      </c>
      <c r="C493" s="1" t="s">
        <v>80</v>
      </c>
      <c r="D493" s="2"/>
      <c r="E493" s="1" t="s">
        <v>207</v>
      </c>
      <c r="F493" s="1"/>
      <c r="G493" s="1" t="s">
        <v>35</v>
      </c>
      <c r="H493" s="2"/>
      <c r="I493">
        <v>1</v>
      </c>
      <c r="J493" s="1" t="s">
        <v>2017</v>
      </c>
      <c r="K493" s="1" t="s">
        <v>878</v>
      </c>
      <c r="L493">
        <v>7.8961794252293132</v>
      </c>
      <c r="M493" s="1" t="s">
        <v>210</v>
      </c>
      <c r="N493" s="1" t="s">
        <v>235</v>
      </c>
    </row>
    <row r="494" spans="1:14" x14ac:dyDescent="0.25">
      <c r="A494" s="1" t="s">
        <v>1926</v>
      </c>
      <c r="B494" s="1" t="s">
        <v>132</v>
      </c>
      <c r="C494" s="1" t="s">
        <v>80</v>
      </c>
      <c r="D494" s="2"/>
      <c r="E494" s="1" t="s">
        <v>207</v>
      </c>
      <c r="F494" s="1"/>
      <c r="G494" s="1" t="s">
        <v>35</v>
      </c>
      <c r="H494" s="2"/>
      <c r="I494">
        <v>1</v>
      </c>
      <c r="J494" s="1" t="s">
        <v>2017</v>
      </c>
      <c r="K494" s="1" t="s">
        <v>878</v>
      </c>
      <c r="L494">
        <v>5.2722813532426187</v>
      </c>
      <c r="M494" s="1" t="s">
        <v>210</v>
      </c>
      <c r="N494" s="1" t="s">
        <v>235</v>
      </c>
    </row>
    <row r="495" spans="1:14" x14ac:dyDescent="0.25">
      <c r="A495" s="1" t="s">
        <v>1927</v>
      </c>
      <c r="B495" s="1" t="s">
        <v>132</v>
      </c>
      <c r="C495" s="1" t="s">
        <v>80</v>
      </c>
      <c r="D495" s="2"/>
      <c r="E495" s="1" t="s">
        <v>207</v>
      </c>
      <c r="F495" s="1"/>
      <c r="G495" s="1" t="s">
        <v>35</v>
      </c>
      <c r="H495" s="2"/>
      <c r="I495">
        <v>1</v>
      </c>
      <c r="J495" s="1" t="s">
        <v>2017</v>
      </c>
      <c r="K495" s="1" t="s">
        <v>878</v>
      </c>
      <c r="L495">
        <v>2.3274547492583073</v>
      </c>
      <c r="M495" s="1" t="s">
        <v>210</v>
      </c>
      <c r="N495" s="1" t="s">
        <v>235</v>
      </c>
    </row>
    <row r="496" spans="1:14" x14ac:dyDescent="0.25">
      <c r="A496" s="1" t="s">
        <v>1928</v>
      </c>
      <c r="B496" s="1" t="s">
        <v>132</v>
      </c>
      <c r="C496" s="1" t="s">
        <v>80</v>
      </c>
      <c r="D496" s="2"/>
      <c r="E496" s="1" t="s">
        <v>207</v>
      </c>
      <c r="F496" s="1"/>
      <c r="G496" s="1" t="s">
        <v>35</v>
      </c>
      <c r="H496" s="2"/>
      <c r="I496">
        <v>1</v>
      </c>
      <c r="J496" s="1" t="s">
        <v>2017</v>
      </c>
      <c r="K496" s="1" t="s">
        <v>878</v>
      </c>
      <c r="L496">
        <v>4.1945692826547196</v>
      </c>
      <c r="M496" s="1" t="s">
        <v>210</v>
      </c>
      <c r="N496" s="1" t="s">
        <v>235</v>
      </c>
    </row>
    <row r="497" spans="1:14" x14ac:dyDescent="0.25">
      <c r="A497" s="1" t="s">
        <v>2020</v>
      </c>
      <c r="B497" s="1" t="s">
        <v>2019</v>
      </c>
      <c r="C497" s="1" t="s">
        <v>82</v>
      </c>
      <c r="D497" s="2"/>
      <c r="E497" s="1" t="s">
        <v>207</v>
      </c>
      <c r="F497" s="1"/>
      <c r="G497" s="1" t="s">
        <v>35</v>
      </c>
      <c r="H497" s="2"/>
      <c r="I497">
        <v>1</v>
      </c>
      <c r="J497" s="1" t="s">
        <v>2018</v>
      </c>
      <c r="K497" s="1" t="s">
        <v>878</v>
      </c>
      <c r="M497" s="1" t="s">
        <v>210</v>
      </c>
      <c r="N497" s="1" t="s">
        <v>235</v>
      </c>
    </row>
    <row r="498" spans="1:14" x14ac:dyDescent="0.25">
      <c r="A498" s="1" t="s">
        <v>2021</v>
      </c>
      <c r="B498" s="1" t="s">
        <v>2019</v>
      </c>
      <c r="C498" s="1" t="s">
        <v>81</v>
      </c>
      <c r="D498" s="2"/>
      <c r="E498" s="1" t="s">
        <v>207</v>
      </c>
      <c r="F498" s="1"/>
      <c r="G498" s="1" t="s">
        <v>35</v>
      </c>
      <c r="H498" s="2"/>
      <c r="I498">
        <v>1</v>
      </c>
      <c r="J498" s="1" t="s">
        <v>2017</v>
      </c>
      <c r="K498" s="1" t="s">
        <v>878</v>
      </c>
      <c r="M498" s="1" t="s">
        <v>210</v>
      </c>
      <c r="N498" s="1" t="s">
        <v>235</v>
      </c>
    </row>
    <row r="499" spans="1:14" x14ac:dyDescent="0.25">
      <c r="A499" s="1" t="s">
        <v>2022</v>
      </c>
      <c r="B499" s="1" t="s">
        <v>2019</v>
      </c>
      <c r="C499" s="1" t="s">
        <v>81</v>
      </c>
      <c r="D499" s="2"/>
      <c r="E499" s="1" t="s">
        <v>207</v>
      </c>
      <c r="F499" s="1"/>
      <c r="G499" s="1" t="s">
        <v>35</v>
      </c>
      <c r="H499" s="2"/>
      <c r="I499">
        <v>1</v>
      </c>
      <c r="J499" s="1" t="s">
        <v>2017</v>
      </c>
      <c r="K499" s="1" t="s">
        <v>878</v>
      </c>
      <c r="M499" s="1" t="s">
        <v>210</v>
      </c>
      <c r="N499" s="1" t="s">
        <v>235</v>
      </c>
    </row>
    <row r="500" spans="1:14" x14ac:dyDescent="0.25">
      <c r="A500" s="1" t="s">
        <v>2023</v>
      </c>
      <c r="B500" s="1" t="s">
        <v>2019</v>
      </c>
      <c r="C500" s="1" t="s">
        <v>81</v>
      </c>
      <c r="D500" s="2"/>
      <c r="E500" s="1" t="s">
        <v>207</v>
      </c>
      <c r="F500" s="1"/>
      <c r="G500" s="1" t="s">
        <v>35</v>
      </c>
      <c r="H500" s="2"/>
      <c r="I500">
        <v>1</v>
      </c>
      <c r="J500" s="1" t="s">
        <v>2018</v>
      </c>
      <c r="K500" s="1" t="s">
        <v>878</v>
      </c>
      <c r="M500" s="1" t="s">
        <v>210</v>
      </c>
      <c r="N500" s="1" t="s">
        <v>235</v>
      </c>
    </row>
    <row r="501" spans="1:14" x14ac:dyDescent="0.25">
      <c r="A501" s="1" t="s">
        <v>2024</v>
      </c>
      <c r="B501" s="1" t="s">
        <v>2019</v>
      </c>
      <c r="C501" s="1" t="s">
        <v>81</v>
      </c>
      <c r="D501" s="2"/>
      <c r="E501" s="1" t="s">
        <v>207</v>
      </c>
      <c r="F501" s="1"/>
      <c r="G501" s="1" t="s">
        <v>35</v>
      </c>
      <c r="H501" s="2"/>
      <c r="I501">
        <v>1</v>
      </c>
      <c r="J501" s="1" t="s">
        <v>2017</v>
      </c>
      <c r="K501" s="1" t="s">
        <v>878</v>
      </c>
      <c r="M501" s="1" t="s">
        <v>210</v>
      </c>
      <c r="N501" s="1" t="s">
        <v>235</v>
      </c>
    </row>
    <row r="502" spans="1:14" x14ac:dyDescent="0.25">
      <c r="A502" s="1" t="s">
        <v>2023</v>
      </c>
      <c r="B502" s="1" t="s">
        <v>2019</v>
      </c>
      <c r="C502" s="1" t="s">
        <v>81</v>
      </c>
      <c r="D502" s="2"/>
      <c r="E502" s="1" t="s">
        <v>207</v>
      </c>
      <c r="F502" s="1"/>
      <c r="G502" s="1" t="s">
        <v>35</v>
      </c>
      <c r="H502" s="2"/>
      <c r="I502">
        <v>1</v>
      </c>
      <c r="J502" s="1" t="s">
        <v>2017</v>
      </c>
      <c r="K502" s="1" t="s">
        <v>878</v>
      </c>
      <c r="M502" s="1" t="s">
        <v>210</v>
      </c>
      <c r="N502" s="1" t="s">
        <v>235</v>
      </c>
    </row>
    <row r="503" spans="1:14" x14ac:dyDescent="0.25">
      <c r="A503" s="1" t="s">
        <v>2024</v>
      </c>
      <c r="B503" s="1" t="s">
        <v>2019</v>
      </c>
      <c r="C503" s="1" t="s">
        <v>81</v>
      </c>
      <c r="D503" s="2"/>
      <c r="E503" s="1" t="s">
        <v>207</v>
      </c>
      <c r="F503" s="1"/>
      <c r="G503" s="1" t="s">
        <v>35</v>
      </c>
      <c r="H503" s="2"/>
      <c r="I503">
        <v>1</v>
      </c>
      <c r="J503" s="1" t="s">
        <v>2018</v>
      </c>
      <c r="K503" s="1" t="s">
        <v>878</v>
      </c>
      <c r="M503" s="1" t="s">
        <v>210</v>
      </c>
      <c r="N503" s="1" t="s">
        <v>235</v>
      </c>
    </row>
    <row r="504" spans="1:14" x14ac:dyDescent="0.25">
      <c r="A504" s="1" t="s">
        <v>2025</v>
      </c>
      <c r="B504" s="1" t="s">
        <v>2019</v>
      </c>
      <c r="C504" s="1" t="s">
        <v>80</v>
      </c>
      <c r="D504" s="2"/>
      <c r="E504" s="1" t="s">
        <v>207</v>
      </c>
      <c r="F504" s="1"/>
      <c r="G504" s="1" t="s">
        <v>35</v>
      </c>
      <c r="H504" s="2"/>
      <c r="I504">
        <v>1</v>
      </c>
      <c r="J504" s="1" t="s">
        <v>2017</v>
      </c>
      <c r="K504" s="1" t="s">
        <v>878</v>
      </c>
      <c r="M504" s="1" t="s">
        <v>210</v>
      </c>
      <c r="N504" s="1" t="s">
        <v>235</v>
      </c>
    </row>
    <row r="505" spans="1:14" x14ac:dyDescent="0.25">
      <c r="A505" s="1" t="s">
        <v>2026</v>
      </c>
      <c r="B505" s="1" t="s">
        <v>2019</v>
      </c>
      <c r="C505" s="1" t="s">
        <v>80</v>
      </c>
      <c r="D505" s="2"/>
      <c r="E505" s="1" t="s">
        <v>207</v>
      </c>
      <c r="F505" s="1"/>
      <c r="G505" s="1" t="s">
        <v>35</v>
      </c>
      <c r="H505" s="2"/>
      <c r="I505">
        <v>1</v>
      </c>
      <c r="J505" s="1" t="s">
        <v>2017</v>
      </c>
      <c r="K505" s="1" t="s">
        <v>878</v>
      </c>
      <c r="M505" s="1" t="s">
        <v>210</v>
      </c>
      <c r="N505" s="1" t="s">
        <v>235</v>
      </c>
    </row>
    <row r="506" spans="1:14" x14ac:dyDescent="0.25">
      <c r="A506" s="1" t="s">
        <v>2027</v>
      </c>
      <c r="B506" s="1" t="s">
        <v>2019</v>
      </c>
      <c r="C506" s="1" t="s">
        <v>80</v>
      </c>
      <c r="D506" s="2"/>
      <c r="E506" s="1" t="s">
        <v>207</v>
      </c>
      <c r="F506" s="1"/>
      <c r="G506" s="1" t="s">
        <v>35</v>
      </c>
      <c r="H506" s="2"/>
      <c r="I506">
        <v>1</v>
      </c>
      <c r="J506" s="1" t="s">
        <v>2018</v>
      </c>
      <c r="K506" s="1" t="s">
        <v>878</v>
      </c>
      <c r="M506" s="1" t="s">
        <v>210</v>
      </c>
      <c r="N506" s="1" t="s">
        <v>235</v>
      </c>
    </row>
    <row r="507" spans="1:14" x14ac:dyDescent="0.25">
      <c r="A507" s="1" t="s">
        <v>2028</v>
      </c>
      <c r="B507" s="1" t="s">
        <v>2019</v>
      </c>
      <c r="C507" s="1" t="s">
        <v>82</v>
      </c>
      <c r="D507" s="2"/>
      <c r="E507" s="1" t="s">
        <v>207</v>
      </c>
      <c r="F507" s="1"/>
      <c r="G507" s="1" t="s">
        <v>35</v>
      </c>
      <c r="H507" s="2"/>
      <c r="I507">
        <v>1</v>
      </c>
      <c r="J507" s="1" t="s">
        <v>2017</v>
      </c>
      <c r="K507" s="1" t="s">
        <v>878</v>
      </c>
      <c r="M507" s="1" t="s">
        <v>210</v>
      </c>
      <c r="N507" s="1" t="s">
        <v>235</v>
      </c>
    </row>
    <row r="508" spans="1:14" x14ac:dyDescent="0.25">
      <c r="A508" s="1" t="s">
        <v>2029</v>
      </c>
      <c r="B508" s="1" t="s">
        <v>2019</v>
      </c>
      <c r="C508" s="1" t="s">
        <v>82</v>
      </c>
      <c r="D508" s="2"/>
      <c r="E508" s="1" t="s">
        <v>207</v>
      </c>
      <c r="F508" s="1"/>
      <c r="G508" s="1" t="s">
        <v>35</v>
      </c>
      <c r="H508" s="2"/>
      <c r="I508">
        <v>1</v>
      </c>
      <c r="J508" s="1" t="s">
        <v>2017</v>
      </c>
      <c r="K508" s="1" t="s">
        <v>878</v>
      </c>
      <c r="M508" s="1" t="s">
        <v>210</v>
      </c>
      <c r="N508" s="1" t="s">
        <v>235</v>
      </c>
    </row>
    <row r="509" spans="1:14" x14ac:dyDescent="0.25">
      <c r="A509" s="1" t="s">
        <v>2030</v>
      </c>
      <c r="B509" s="1" t="s">
        <v>2019</v>
      </c>
      <c r="C509" s="1" t="s">
        <v>82</v>
      </c>
      <c r="D509" s="2"/>
      <c r="E509" s="1" t="s">
        <v>207</v>
      </c>
      <c r="F509" s="1"/>
      <c r="G509" s="1" t="s">
        <v>35</v>
      </c>
      <c r="H509" s="2"/>
      <c r="I509">
        <v>1</v>
      </c>
      <c r="J509" s="1" t="s">
        <v>2018</v>
      </c>
      <c r="K509" s="1" t="s">
        <v>878</v>
      </c>
      <c r="M509" s="1" t="s">
        <v>210</v>
      </c>
      <c r="N509" s="1" t="s">
        <v>235</v>
      </c>
    </row>
    <row r="510" spans="1:14" x14ac:dyDescent="0.25">
      <c r="A510" s="1" t="s">
        <v>2031</v>
      </c>
      <c r="B510" s="1" t="s">
        <v>2019</v>
      </c>
      <c r="C510" s="1" t="s">
        <v>82</v>
      </c>
      <c r="D510" s="2"/>
      <c r="E510" s="1" t="s">
        <v>207</v>
      </c>
      <c r="F510" s="1"/>
      <c r="G510" s="1" t="s">
        <v>35</v>
      </c>
      <c r="H510" s="2"/>
      <c r="I510">
        <v>1</v>
      </c>
      <c r="J510" s="1" t="s">
        <v>2017</v>
      </c>
      <c r="K510" s="1" t="s">
        <v>878</v>
      </c>
      <c r="M510" s="1" t="s">
        <v>210</v>
      </c>
      <c r="N510" s="1" t="s">
        <v>235</v>
      </c>
    </row>
    <row r="511" spans="1:14" x14ac:dyDescent="0.25">
      <c r="A511" s="1" t="s">
        <v>2032</v>
      </c>
      <c r="B511" s="1" t="s">
        <v>2019</v>
      </c>
      <c r="C511" s="1" t="s">
        <v>82</v>
      </c>
      <c r="D511" s="2"/>
      <c r="E511" s="1" t="s">
        <v>207</v>
      </c>
      <c r="F511" s="1"/>
      <c r="G511" s="1" t="s">
        <v>35</v>
      </c>
      <c r="H511" s="2"/>
      <c r="I511">
        <v>1</v>
      </c>
      <c r="J511" s="1" t="s">
        <v>2017</v>
      </c>
      <c r="K511" s="1" t="s">
        <v>878</v>
      </c>
      <c r="M511" s="1" t="s">
        <v>210</v>
      </c>
      <c r="N511" s="1" t="s">
        <v>235</v>
      </c>
    </row>
    <row r="512" spans="1:14" x14ac:dyDescent="0.25">
      <c r="A512" s="1" t="s">
        <v>506</v>
      </c>
      <c r="B512" s="1" t="s">
        <v>507</v>
      </c>
      <c r="C512" s="1" t="s">
        <v>80</v>
      </c>
      <c r="D512" s="2"/>
      <c r="E512" s="1" t="s">
        <v>207</v>
      </c>
      <c r="F512" s="1"/>
      <c r="G512" s="1" t="s">
        <v>35</v>
      </c>
      <c r="H512" s="2"/>
      <c r="I512">
        <v>1</v>
      </c>
      <c r="J512" s="1" t="s">
        <v>234</v>
      </c>
      <c r="K512" s="1" t="s">
        <v>879</v>
      </c>
      <c r="M512" s="1" t="s">
        <v>234</v>
      </c>
      <c r="N512" s="1" t="s">
        <v>235</v>
      </c>
    </row>
    <row r="513" spans="1:14" x14ac:dyDescent="0.25">
      <c r="A513" s="1" t="s">
        <v>508</v>
      </c>
      <c r="B513" s="1" t="s">
        <v>507</v>
      </c>
      <c r="C513" s="1" t="s">
        <v>80</v>
      </c>
      <c r="D513" s="2"/>
      <c r="E513" s="1" t="s">
        <v>207</v>
      </c>
      <c r="F513" s="1"/>
      <c r="G513" s="1" t="s">
        <v>35</v>
      </c>
      <c r="H513" s="2"/>
      <c r="I513">
        <v>1</v>
      </c>
      <c r="J513" s="1" t="s">
        <v>234</v>
      </c>
      <c r="K513" s="1" t="s">
        <v>879</v>
      </c>
      <c r="M513" s="1" t="s">
        <v>234</v>
      </c>
      <c r="N513" s="1" t="s">
        <v>235</v>
      </c>
    </row>
    <row r="514" spans="1:14" x14ac:dyDescent="0.25">
      <c r="A514" s="1" t="s">
        <v>509</v>
      </c>
      <c r="B514" s="1" t="s">
        <v>507</v>
      </c>
      <c r="C514" s="1" t="s">
        <v>80</v>
      </c>
      <c r="D514" s="2"/>
      <c r="E514" s="1" t="s">
        <v>207</v>
      </c>
      <c r="F514" s="1"/>
      <c r="G514" s="1" t="s">
        <v>35</v>
      </c>
      <c r="H514" s="2"/>
      <c r="I514">
        <v>1</v>
      </c>
      <c r="J514" s="1" t="s">
        <v>234</v>
      </c>
      <c r="K514" s="1" t="s">
        <v>879</v>
      </c>
      <c r="M514" s="1" t="s">
        <v>234</v>
      </c>
      <c r="N514" s="1" t="s">
        <v>235</v>
      </c>
    </row>
    <row r="515" spans="1:14" x14ac:dyDescent="0.25">
      <c r="A515" s="1" t="s">
        <v>510</v>
      </c>
      <c r="B515" s="1" t="s">
        <v>507</v>
      </c>
      <c r="C515" s="1" t="s">
        <v>80</v>
      </c>
      <c r="D515" s="2"/>
      <c r="E515" s="1" t="s">
        <v>207</v>
      </c>
      <c r="F515" s="1"/>
      <c r="G515" s="1" t="s">
        <v>35</v>
      </c>
      <c r="H515" s="2"/>
      <c r="I515">
        <v>1</v>
      </c>
      <c r="J515" s="1" t="s">
        <v>234</v>
      </c>
      <c r="K515" s="1" t="s">
        <v>879</v>
      </c>
      <c r="M515" s="1" t="s">
        <v>234</v>
      </c>
      <c r="N515" s="1" t="s">
        <v>235</v>
      </c>
    </row>
    <row r="516" spans="1:14" x14ac:dyDescent="0.25">
      <c r="A516" s="1" t="s">
        <v>511</v>
      </c>
      <c r="B516" s="1" t="s">
        <v>507</v>
      </c>
      <c r="C516" s="1" t="s">
        <v>80</v>
      </c>
      <c r="D516" s="2"/>
      <c r="E516" s="1" t="s">
        <v>207</v>
      </c>
      <c r="F516" s="1"/>
      <c r="G516" s="1" t="s">
        <v>35</v>
      </c>
      <c r="H516" s="2"/>
      <c r="I516">
        <v>1</v>
      </c>
      <c r="J516" s="1" t="s">
        <v>234</v>
      </c>
      <c r="K516" s="1" t="s">
        <v>879</v>
      </c>
      <c r="M516" s="1" t="s">
        <v>234</v>
      </c>
      <c r="N516" s="1" t="s">
        <v>235</v>
      </c>
    </row>
    <row r="517" spans="1:14" x14ac:dyDescent="0.25">
      <c r="A517" s="1" t="s">
        <v>512</v>
      </c>
      <c r="B517" s="1" t="s">
        <v>507</v>
      </c>
      <c r="C517" s="1" t="s">
        <v>80</v>
      </c>
      <c r="D517" s="2"/>
      <c r="E517" s="1" t="s">
        <v>207</v>
      </c>
      <c r="F517" s="1"/>
      <c r="G517" s="1" t="s">
        <v>35</v>
      </c>
      <c r="H517" s="2"/>
      <c r="I517">
        <v>1</v>
      </c>
      <c r="J517" s="1" t="s">
        <v>234</v>
      </c>
      <c r="K517" s="1" t="s">
        <v>879</v>
      </c>
      <c r="M517" s="1" t="s">
        <v>234</v>
      </c>
      <c r="N517" s="1" t="s">
        <v>235</v>
      </c>
    </row>
    <row r="518" spans="1:14" x14ac:dyDescent="0.25">
      <c r="A518" s="1" t="s">
        <v>513</v>
      </c>
      <c r="B518" s="1" t="s">
        <v>507</v>
      </c>
      <c r="C518" s="1" t="s">
        <v>80</v>
      </c>
      <c r="D518" s="2"/>
      <c r="E518" s="1" t="s">
        <v>207</v>
      </c>
      <c r="F518" s="1"/>
      <c r="G518" s="1" t="s">
        <v>35</v>
      </c>
      <c r="H518" s="2"/>
      <c r="I518">
        <v>1</v>
      </c>
      <c r="J518" s="1" t="s">
        <v>234</v>
      </c>
      <c r="K518" s="1" t="s">
        <v>879</v>
      </c>
      <c r="M518" s="1" t="s">
        <v>234</v>
      </c>
      <c r="N518" s="1" t="s">
        <v>235</v>
      </c>
    </row>
    <row r="519" spans="1:14" x14ac:dyDescent="0.25">
      <c r="A519" s="1" t="s">
        <v>514</v>
      </c>
      <c r="B519" s="1" t="s">
        <v>507</v>
      </c>
      <c r="C519" s="1" t="s">
        <v>80</v>
      </c>
      <c r="D519" s="2"/>
      <c r="E519" s="1" t="s">
        <v>207</v>
      </c>
      <c r="F519" s="1"/>
      <c r="G519" s="1" t="s">
        <v>35</v>
      </c>
      <c r="H519" s="2"/>
      <c r="I519">
        <v>1</v>
      </c>
      <c r="J519" s="1" t="s">
        <v>234</v>
      </c>
      <c r="K519" s="1" t="s">
        <v>879</v>
      </c>
      <c r="M519" s="1" t="s">
        <v>234</v>
      </c>
      <c r="N519" s="1" t="s">
        <v>235</v>
      </c>
    </row>
    <row r="520" spans="1:14" x14ac:dyDescent="0.25">
      <c r="A520" s="1" t="s">
        <v>515</v>
      </c>
      <c r="B520" s="1" t="s">
        <v>507</v>
      </c>
      <c r="C520" s="1" t="s">
        <v>80</v>
      </c>
      <c r="D520" s="2"/>
      <c r="E520" s="1" t="s">
        <v>207</v>
      </c>
      <c r="F520" s="1"/>
      <c r="G520" s="1" t="s">
        <v>35</v>
      </c>
      <c r="H520" s="2"/>
      <c r="I520">
        <v>1</v>
      </c>
      <c r="J520" s="1" t="s">
        <v>234</v>
      </c>
      <c r="K520" s="1" t="s">
        <v>879</v>
      </c>
      <c r="M520" s="1" t="s">
        <v>234</v>
      </c>
      <c r="N520" s="1" t="s">
        <v>235</v>
      </c>
    </row>
    <row r="521" spans="1:14" x14ac:dyDescent="0.25">
      <c r="A521" s="1" t="s">
        <v>516</v>
      </c>
      <c r="B521" s="1" t="s">
        <v>507</v>
      </c>
      <c r="C521" s="1" t="s">
        <v>80</v>
      </c>
      <c r="D521" s="2"/>
      <c r="E521" s="1" t="s">
        <v>207</v>
      </c>
      <c r="F521" s="1"/>
      <c r="G521" s="1" t="s">
        <v>35</v>
      </c>
      <c r="H521" s="2"/>
      <c r="I521">
        <v>1</v>
      </c>
      <c r="J521" s="1" t="s">
        <v>234</v>
      </c>
      <c r="K521" s="1" t="s">
        <v>879</v>
      </c>
      <c r="M521" s="1" t="s">
        <v>234</v>
      </c>
      <c r="N521" s="1" t="s">
        <v>235</v>
      </c>
    </row>
    <row r="522" spans="1:14" x14ac:dyDescent="0.25">
      <c r="A522" s="1" t="s">
        <v>517</v>
      </c>
      <c r="B522" s="1" t="s">
        <v>507</v>
      </c>
      <c r="C522" s="1" t="s">
        <v>80</v>
      </c>
      <c r="D522" s="2"/>
      <c r="E522" s="1" t="s">
        <v>207</v>
      </c>
      <c r="F522" s="1"/>
      <c r="G522" s="1" t="s">
        <v>35</v>
      </c>
      <c r="H522" s="2"/>
      <c r="I522">
        <v>1</v>
      </c>
      <c r="J522" s="1" t="s">
        <v>234</v>
      </c>
      <c r="K522" s="1" t="s">
        <v>879</v>
      </c>
      <c r="M522" s="1" t="s">
        <v>234</v>
      </c>
      <c r="N522" s="1" t="s">
        <v>235</v>
      </c>
    </row>
    <row r="523" spans="1:14" x14ac:dyDescent="0.25">
      <c r="A523" s="1" t="s">
        <v>518</v>
      </c>
      <c r="B523" s="1" t="s">
        <v>507</v>
      </c>
      <c r="C523" s="1" t="s">
        <v>80</v>
      </c>
      <c r="D523" s="2"/>
      <c r="E523" s="1" t="s">
        <v>207</v>
      </c>
      <c r="F523" s="1"/>
      <c r="G523" s="1" t="s">
        <v>35</v>
      </c>
      <c r="H523" s="2"/>
      <c r="I523">
        <v>1</v>
      </c>
      <c r="J523" s="1" t="s">
        <v>234</v>
      </c>
      <c r="K523" s="1" t="s">
        <v>879</v>
      </c>
      <c r="M523" s="1" t="s">
        <v>234</v>
      </c>
      <c r="N523" s="1" t="s">
        <v>235</v>
      </c>
    </row>
    <row r="524" spans="1:14" x14ac:dyDescent="0.25">
      <c r="A524" s="1" t="s">
        <v>519</v>
      </c>
      <c r="B524" s="1" t="s">
        <v>507</v>
      </c>
      <c r="C524" s="1" t="s">
        <v>80</v>
      </c>
      <c r="D524" s="2"/>
      <c r="E524" s="1" t="s">
        <v>207</v>
      </c>
      <c r="F524" s="1"/>
      <c r="G524" s="1" t="s">
        <v>35</v>
      </c>
      <c r="H524" s="2"/>
      <c r="I524">
        <v>1</v>
      </c>
      <c r="J524" s="1" t="s">
        <v>234</v>
      </c>
      <c r="K524" s="1" t="s">
        <v>879</v>
      </c>
      <c r="M524" s="1" t="s">
        <v>234</v>
      </c>
      <c r="N524" s="1" t="s">
        <v>235</v>
      </c>
    </row>
    <row r="525" spans="1:14" x14ac:dyDescent="0.25">
      <c r="A525" s="1" t="s">
        <v>520</v>
      </c>
      <c r="B525" s="1" t="s">
        <v>507</v>
      </c>
      <c r="C525" s="1" t="s">
        <v>80</v>
      </c>
      <c r="D525" s="2"/>
      <c r="E525" s="1" t="s">
        <v>207</v>
      </c>
      <c r="F525" s="1"/>
      <c r="G525" s="1" t="s">
        <v>35</v>
      </c>
      <c r="H525" s="2"/>
      <c r="I525">
        <v>1</v>
      </c>
      <c r="J525" s="1" t="s">
        <v>234</v>
      </c>
      <c r="K525" s="1" t="s">
        <v>879</v>
      </c>
      <c r="M525" s="1" t="s">
        <v>234</v>
      </c>
      <c r="N525" s="1" t="s">
        <v>235</v>
      </c>
    </row>
    <row r="526" spans="1:14" x14ac:dyDescent="0.25">
      <c r="A526" s="1" t="s">
        <v>521</v>
      </c>
      <c r="B526" s="1" t="s">
        <v>507</v>
      </c>
      <c r="C526" s="1" t="s">
        <v>80</v>
      </c>
      <c r="D526" s="2"/>
      <c r="E526" s="1" t="s">
        <v>207</v>
      </c>
      <c r="F526" s="1"/>
      <c r="G526" s="1" t="s">
        <v>35</v>
      </c>
      <c r="H526" s="2"/>
      <c r="I526">
        <v>1</v>
      </c>
      <c r="J526" s="1" t="s">
        <v>234</v>
      </c>
      <c r="K526" s="1" t="s">
        <v>879</v>
      </c>
      <c r="M526" s="1" t="s">
        <v>234</v>
      </c>
      <c r="N526" s="1" t="s">
        <v>235</v>
      </c>
    </row>
    <row r="527" spans="1:14" x14ac:dyDescent="0.25">
      <c r="A527" s="1" t="s">
        <v>522</v>
      </c>
      <c r="B527" s="1" t="s">
        <v>507</v>
      </c>
      <c r="C527" s="1" t="s">
        <v>80</v>
      </c>
      <c r="D527" s="2"/>
      <c r="E527" s="1" t="s">
        <v>207</v>
      </c>
      <c r="F527" s="1"/>
      <c r="G527" s="1" t="s">
        <v>35</v>
      </c>
      <c r="H527" s="2"/>
      <c r="I527">
        <v>1</v>
      </c>
      <c r="J527" s="1" t="s">
        <v>234</v>
      </c>
      <c r="K527" s="1" t="s">
        <v>879</v>
      </c>
      <c r="M527" s="1" t="s">
        <v>234</v>
      </c>
      <c r="N527" s="1" t="s">
        <v>235</v>
      </c>
    </row>
    <row r="528" spans="1:14" x14ac:dyDescent="0.25">
      <c r="A528" s="1" t="s">
        <v>523</v>
      </c>
      <c r="B528" s="1" t="s">
        <v>507</v>
      </c>
      <c r="C528" s="1" t="s">
        <v>80</v>
      </c>
      <c r="D528" s="2"/>
      <c r="E528" s="1" t="s">
        <v>207</v>
      </c>
      <c r="F528" s="1"/>
      <c r="G528" s="1" t="s">
        <v>35</v>
      </c>
      <c r="H528" s="2"/>
      <c r="I528">
        <v>1</v>
      </c>
      <c r="J528" s="1" t="s">
        <v>234</v>
      </c>
      <c r="K528" s="1" t="s">
        <v>879</v>
      </c>
      <c r="M528" s="1" t="s">
        <v>234</v>
      </c>
      <c r="N528" s="1" t="s">
        <v>235</v>
      </c>
    </row>
    <row r="529" spans="1:14" x14ac:dyDescent="0.25">
      <c r="A529" s="1" t="s">
        <v>524</v>
      </c>
      <c r="B529" s="1" t="s">
        <v>507</v>
      </c>
      <c r="C529" s="1" t="s">
        <v>80</v>
      </c>
      <c r="D529" s="2"/>
      <c r="E529" s="1" t="s">
        <v>207</v>
      </c>
      <c r="F529" s="1"/>
      <c r="G529" s="1" t="s">
        <v>35</v>
      </c>
      <c r="H529" s="2"/>
      <c r="I529">
        <v>1</v>
      </c>
      <c r="J529" s="1" t="s">
        <v>234</v>
      </c>
      <c r="K529" s="1" t="s">
        <v>879</v>
      </c>
      <c r="M529" s="1" t="s">
        <v>234</v>
      </c>
      <c r="N529" s="1" t="s">
        <v>235</v>
      </c>
    </row>
    <row r="530" spans="1:14" x14ac:dyDescent="0.25">
      <c r="A530" s="1" t="s">
        <v>525</v>
      </c>
      <c r="B530" s="1" t="s">
        <v>507</v>
      </c>
      <c r="C530" s="1" t="s">
        <v>80</v>
      </c>
      <c r="D530" s="2"/>
      <c r="E530" s="1" t="s">
        <v>207</v>
      </c>
      <c r="F530" s="1"/>
      <c r="G530" s="1" t="s">
        <v>35</v>
      </c>
      <c r="H530" s="2"/>
      <c r="I530">
        <v>1</v>
      </c>
      <c r="J530" s="1" t="s">
        <v>234</v>
      </c>
      <c r="K530" s="1" t="s">
        <v>879</v>
      </c>
      <c r="M530" s="1" t="s">
        <v>234</v>
      </c>
      <c r="N530" s="1" t="s">
        <v>235</v>
      </c>
    </row>
    <row r="531" spans="1:14" x14ac:dyDescent="0.25">
      <c r="A531" s="1" t="s">
        <v>526</v>
      </c>
      <c r="B531" s="1" t="s">
        <v>507</v>
      </c>
      <c r="C531" s="1" t="s">
        <v>80</v>
      </c>
      <c r="D531" s="2"/>
      <c r="E531" s="1" t="s">
        <v>207</v>
      </c>
      <c r="F531" s="1"/>
      <c r="G531" s="1" t="s">
        <v>35</v>
      </c>
      <c r="H531" s="2"/>
      <c r="I531">
        <v>1</v>
      </c>
      <c r="J531" s="1" t="s">
        <v>234</v>
      </c>
      <c r="K531" s="1" t="s">
        <v>879</v>
      </c>
      <c r="M531" s="1" t="s">
        <v>234</v>
      </c>
      <c r="N531" s="1" t="s">
        <v>235</v>
      </c>
    </row>
    <row r="532" spans="1:14" x14ac:dyDescent="0.25">
      <c r="A532" s="1" t="s">
        <v>527</v>
      </c>
      <c r="B532" s="1" t="s">
        <v>507</v>
      </c>
      <c r="C532" s="1" t="s">
        <v>80</v>
      </c>
      <c r="D532" s="2"/>
      <c r="E532" s="1" t="s">
        <v>207</v>
      </c>
      <c r="F532" s="1"/>
      <c r="G532" s="1" t="s">
        <v>35</v>
      </c>
      <c r="H532" s="2"/>
      <c r="I532">
        <v>1</v>
      </c>
      <c r="J532" s="1" t="s">
        <v>234</v>
      </c>
      <c r="K532" s="1" t="s">
        <v>879</v>
      </c>
      <c r="M532" s="1" t="s">
        <v>234</v>
      </c>
      <c r="N532" s="1" t="s">
        <v>235</v>
      </c>
    </row>
    <row r="533" spans="1:14" x14ac:dyDescent="0.25">
      <c r="A533" s="1" t="s">
        <v>528</v>
      </c>
      <c r="B533" s="1" t="s">
        <v>507</v>
      </c>
      <c r="C533" s="1" t="s">
        <v>80</v>
      </c>
      <c r="D533" s="2"/>
      <c r="E533" s="1" t="s">
        <v>207</v>
      </c>
      <c r="F533" s="1"/>
      <c r="G533" s="1" t="s">
        <v>35</v>
      </c>
      <c r="H533" s="2"/>
      <c r="I533">
        <v>1</v>
      </c>
      <c r="J533" s="1" t="s">
        <v>234</v>
      </c>
      <c r="K533" s="1" t="s">
        <v>879</v>
      </c>
      <c r="M533" s="1" t="s">
        <v>234</v>
      </c>
      <c r="N533" s="1" t="s">
        <v>235</v>
      </c>
    </row>
    <row r="534" spans="1:14" x14ac:dyDescent="0.25">
      <c r="A534" s="1" t="s">
        <v>529</v>
      </c>
      <c r="B534" s="1" t="s">
        <v>507</v>
      </c>
      <c r="C534" s="1" t="s">
        <v>80</v>
      </c>
      <c r="D534" s="2"/>
      <c r="E534" s="1" t="s">
        <v>207</v>
      </c>
      <c r="F534" s="1"/>
      <c r="G534" s="1" t="s">
        <v>35</v>
      </c>
      <c r="H534" s="2"/>
      <c r="I534">
        <v>1</v>
      </c>
      <c r="J534" s="1" t="s">
        <v>234</v>
      </c>
      <c r="K534" s="1" t="s">
        <v>879</v>
      </c>
      <c r="M534" s="1" t="s">
        <v>234</v>
      </c>
      <c r="N534" s="1" t="s">
        <v>235</v>
      </c>
    </row>
    <row r="535" spans="1:14" x14ac:dyDescent="0.25">
      <c r="A535" s="1" t="s">
        <v>530</v>
      </c>
      <c r="B535" s="1" t="s">
        <v>507</v>
      </c>
      <c r="C535" s="1" t="s">
        <v>80</v>
      </c>
      <c r="D535" s="2"/>
      <c r="E535" s="1" t="s">
        <v>207</v>
      </c>
      <c r="F535" s="1"/>
      <c r="G535" s="1" t="s">
        <v>35</v>
      </c>
      <c r="H535" s="2"/>
      <c r="I535">
        <v>1</v>
      </c>
      <c r="J535" s="1" t="s">
        <v>234</v>
      </c>
      <c r="K535" s="1" t="s">
        <v>879</v>
      </c>
      <c r="M535" s="1" t="s">
        <v>234</v>
      </c>
      <c r="N535" s="1" t="s">
        <v>235</v>
      </c>
    </row>
    <row r="536" spans="1:14" x14ac:dyDescent="0.25">
      <c r="A536" s="1" t="s">
        <v>531</v>
      </c>
      <c r="B536" s="1" t="s">
        <v>507</v>
      </c>
      <c r="C536" s="1" t="s">
        <v>80</v>
      </c>
      <c r="D536" s="2"/>
      <c r="E536" s="1" t="s">
        <v>207</v>
      </c>
      <c r="F536" s="1"/>
      <c r="G536" s="1" t="s">
        <v>35</v>
      </c>
      <c r="H536" s="2"/>
      <c r="I536">
        <v>1</v>
      </c>
      <c r="J536" s="1" t="s">
        <v>234</v>
      </c>
      <c r="K536" s="1" t="s">
        <v>879</v>
      </c>
      <c r="M536" s="1" t="s">
        <v>234</v>
      </c>
      <c r="N536" s="1" t="s">
        <v>235</v>
      </c>
    </row>
    <row r="537" spans="1:14" x14ac:dyDescent="0.25">
      <c r="A537" s="1" t="s">
        <v>532</v>
      </c>
      <c r="B537" s="1" t="s">
        <v>507</v>
      </c>
      <c r="C537" s="1" t="s">
        <v>80</v>
      </c>
      <c r="D537" s="2"/>
      <c r="E537" s="1" t="s">
        <v>207</v>
      </c>
      <c r="F537" s="1"/>
      <c r="G537" s="1" t="s">
        <v>35</v>
      </c>
      <c r="H537" s="2"/>
      <c r="I537">
        <v>1</v>
      </c>
      <c r="J537" s="1" t="s">
        <v>234</v>
      </c>
      <c r="K537" s="1" t="s">
        <v>879</v>
      </c>
      <c r="M537" s="1" t="s">
        <v>234</v>
      </c>
      <c r="N537" s="1" t="s">
        <v>235</v>
      </c>
    </row>
    <row r="538" spans="1:14" x14ac:dyDescent="0.25">
      <c r="A538" s="1" t="s">
        <v>533</v>
      </c>
      <c r="B538" s="1" t="s">
        <v>507</v>
      </c>
      <c r="C538" s="1" t="s">
        <v>80</v>
      </c>
      <c r="D538" s="2"/>
      <c r="E538" s="1" t="s">
        <v>207</v>
      </c>
      <c r="F538" s="1"/>
      <c r="G538" s="1" t="s">
        <v>35</v>
      </c>
      <c r="H538" s="2"/>
      <c r="I538">
        <v>1</v>
      </c>
      <c r="J538" s="1" t="s">
        <v>234</v>
      </c>
      <c r="K538" s="1" t="s">
        <v>879</v>
      </c>
      <c r="M538" s="1" t="s">
        <v>234</v>
      </c>
      <c r="N538" s="1" t="s">
        <v>235</v>
      </c>
    </row>
    <row r="539" spans="1:14" x14ac:dyDescent="0.25">
      <c r="A539" s="1" t="s">
        <v>534</v>
      </c>
      <c r="B539" s="1" t="s">
        <v>507</v>
      </c>
      <c r="C539" s="1" t="s">
        <v>80</v>
      </c>
      <c r="D539" s="2"/>
      <c r="E539" s="1" t="s">
        <v>207</v>
      </c>
      <c r="F539" s="1"/>
      <c r="G539" s="1" t="s">
        <v>35</v>
      </c>
      <c r="H539" s="2"/>
      <c r="I539">
        <v>1</v>
      </c>
      <c r="J539" s="1" t="s">
        <v>234</v>
      </c>
      <c r="K539" s="1" t="s">
        <v>879</v>
      </c>
      <c r="M539" s="1" t="s">
        <v>234</v>
      </c>
      <c r="N539" s="1" t="s">
        <v>235</v>
      </c>
    </row>
    <row r="540" spans="1:14" x14ac:dyDescent="0.25">
      <c r="A540" s="1" t="s">
        <v>535</v>
      </c>
      <c r="B540" s="1" t="s">
        <v>507</v>
      </c>
      <c r="C540" s="1" t="s">
        <v>80</v>
      </c>
      <c r="D540" s="2"/>
      <c r="E540" s="1" t="s">
        <v>207</v>
      </c>
      <c r="F540" s="1"/>
      <c r="G540" s="1" t="s">
        <v>35</v>
      </c>
      <c r="H540" s="2"/>
      <c r="I540">
        <v>1</v>
      </c>
      <c r="J540" s="1" t="s">
        <v>234</v>
      </c>
      <c r="K540" s="1" t="s">
        <v>879</v>
      </c>
      <c r="M540" s="1" t="s">
        <v>234</v>
      </c>
      <c r="N540" s="1" t="s">
        <v>235</v>
      </c>
    </row>
    <row r="541" spans="1:14" x14ac:dyDescent="0.25">
      <c r="A541" s="1" t="s">
        <v>536</v>
      </c>
      <c r="B541" s="1" t="s">
        <v>507</v>
      </c>
      <c r="C541" s="1" t="s">
        <v>80</v>
      </c>
      <c r="D541" s="2"/>
      <c r="E541" s="1" t="s">
        <v>207</v>
      </c>
      <c r="F541" s="1"/>
      <c r="G541" s="1" t="s">
        <v>35</v>
      </c>
      <c r="H541" s="2"/>
      <c r="I541">
        <v>1</v>
      </c>
      <c r="J541" s="1" t="s">
        <v>234</v>
      </c>
      <c r="K541" s="1" t="s">
        <v>879</v>
      </c>
      <c r="M541" s="1" t="s">
        <v>234</v>
      </c>
      <c r="N541" s="1" t="s">
        <v>235</v>
      </c>
    </row>
    <row r="542" spans="1:14" x14ac:dyDescent="0.25">
      <c r="A542" s="1" t="s">
        <v>537</v>
      </c>
      <c r="B542" s="1" t="s">
        <v>507</v>
      </c>
      <c r="C542" s="1" t="s">
        <v>80</v>
      </c>
      <c r="D542" s="2"/>
      <c r="E542" s="1" t="s">
        <v>207</v>
      </c>
      <c r="F542" s="1"/>
      <c r="G542" s="1" t="s">
        <v>35</v>
      </c>
      <c r="H542" s="2"/>
      <c r="I542">
        <v>1</v>
      </c>
      <c r="J542" s="1" t="s">
        <v>234</v>
      </c>
      <c r="K542" s="1" t="s">
        <v>879</v>
      </c>
      <c r="M542" s="1" t="s">
        <v>234</v>
      </c>
      <c r="N542" s="1" t="s">
        <v>235</v>
      </c>
    </row>
    <row r="543" spans="1:14" x14ac:dyDescent="0.25">
      <c r="A543" s="1" t="s">
        <v>538</v>
      </c>
      <c r="B543" s="1" t="s">
        <v>507</v>
      </c>
      <c r="C543" s="1" t="s">
        <v>80</v>
      </c>
      <c r="D543" s="2"/>
      <c r="E543" s="1" t="s">
        <v>207</v>
      </c>
      <c r="F543" s="1"/>
      <c r="G543" s="1" t="s">
        <v>35</v>
      </c>
      <c r="H543" s="2"/>
      <c r="I543">
        <v>1</v>
      </c>
      <c r="J543" s="1" t="s">
        <v>234</v>
      </c>
      <c r="K543" s="1" t="s">
        <v>879</v>
      </c>
      <c r="M543" s="1" t="s">
        <v>234</v>
      </c>
      <c r="N543" s="1" t="s">
        <v>235</v>
      </c>
    </row>
    <row r="544" spans="1:14" x14ac:dyDescent="0.25">
      <c r="A544" s="1" t="s">
        <v>539</v>
      </c>
      <c r="B544" s="1" t="s">
        <v>507</v>
      </c>
      <c r="C544" s="1" t="s">
        <v>80</v>
      </c>
      <c r="D544" s="2"/>
      <c r="E544" s="1" t="s">
        <v>207</v>
      </c>
      <c r="F544" s="1"/>
      <c r="G544" s="1" t="s">
        <v>35</v>
      </c>
      <c r="H544" s="2"/>
      <c r="I544">
        <v>1</v>
      </c>
      <c r="J544" s="1" t="s">
        <v>234</v>
      </c>
      <c r="K544" s="1" t="s">
        <v>879</v>
      </c>
      <c r="M544" s="1" t="s">
        <v>234</v>
      </c>
      <c r="N544" s="1" t="s">
        <v>235</v>
      </c>
    </row>
    <row r="545" spans="1:14" x14ac:dyDescent="0.25">
      <c r="A545" s="1" t="s">
        <v>540</v>
      </c>
      <c r="B545" s="1" t="s">
        <v>507</v>
      </c>
      <c r="C545" s="1" t="s">
        <v>80</v>
      </c>
      <c r="D545" s="2"/>
      <c r="E545" s="1" t="s">
        <v>207</v>
      </c>
      <c r="F545" s="1"/>
      <c r="G545" s="1" t="s">
        <v>35</v>
      </c>
      <c r="H545" s="2"/>
      <c r="I545">
        <v>1</v>
      </c>
      <c r="J545" s="1" t="s">
        <v>234</v>
      </c>
      <c r="K545" s="1" t="s">
        <v>879</v>
      </c>
      <c r="M545" s="1" t="s">
        <v>234</v>
      </c>
      <c r="N545" s="1" t="s">
        <v>235</v>
      </c>
    </row>
    <row r="546" spans="1:14" x14ac:dyDescent="0.25">
      <c r="A546" s="1" t="s">
        <v>541</v>
      </c>
      <c r="B546" s="1" t="s">
        <v>507</v>
      </c>
      <c r="C546" s="1" t="s">
        <v>80</v>
      </c>
      <c r="D546" s="2"/>
      <c r="E546" s="1" t="s">
        <v>207</v>
      </c>
      <c r="F546" s="1"/>
      <c r="G546" s="1" t="s">
        <v>35</v>
      </c>
      <c r="H546" s="2"/>
      <c r="I546">
        <v>1</v>
      </c>
      <c r="J546" s="1" t="s">
        <v>234</v>
      </c>
      <c r="K546" s="1" t="s">
        <v>879</v>
      </c>
      <c r="M546" s="1" t="s">
        <v>234</v>
      </c>
      <c r="N546" s="1" t="s">
        <v>235</v>
      </c>
    </row>
    <row r="547" spans="1:14" x14ac:dyDescent="0.25">
      <c r="A547" s="1" t="s">
        <v>542</v>
      </c>
      <c r="B547" s="1" t="s">
        <v>507</v>
      </c>
      <c r="C547" s="1" t="s">
        <v>80</v>
      </c>
      <c r="D547" s="2"/>
      <c r="E547" s="1" t="s">
        <v>207</v>
      </c>
      <c r="F547" s="1"/>
      <c r="G547" s="1" t="s">
        <v>35</v>
      </c>
      <c r="H547" s="2"/>
      <c r="I547">
        <v>1</v>
      </c>
      <c r="J547" s="1" t="s">
        <v>234</v>
      </c>
      <c r="K547" s="1" t="s">
        <v>879</v>
      </c>
      <c r="M547" s="1" t="s">
        <v>234</v>
      </c>
      <c r="N547" s="1" t="s">
        <v>235</v>
      </c>
    </row>
    <row r="548" spans="1:14" x14ac:dyDescent="0.25">
      <c r="A548" s="1" t="s">
        <v>543</v>
      </c>
      <c r="B548" s="1" t="s">
        <v>507</v>
      </c>
      <c r="C548" s="1" t="s">
        <v>80</v>
      </c>
      <c r="D548" s="2"/>
      <c r="E548" s="1" t="s">
        <v>207</v>
      </c>
      <c r="F548" s="1"/>
      <c r="G548" s="1" t="s">
        <v>35</v>
      </c>
      <c r="H548" s="2"/>
      <c r="I548">
        <v>1</v>
      </c>
      <c r="J548" s="1" t="s">
        <v>234</v>
      </c>
      <c r="K548" s="1" t="s">
        <v>879</v>
      </c>
      <c r="M548" s="1" t="s">
        <v>234</v>
      </c>
      <c r="N548" s="1" t="s">
        <v>235</v>
      </c>
    </row>
    <row r="549" spans="1:14" x14ac:dyDescent="0.25">
      <c r="A549" s="1" t="s">
        <v>544</v>
      </c>
      <c r="B549" s="1" t="s">
        <v>507</v>
      </c>
      <c r="C549" s="1" t="s">
        <v>80</v>
      </c>
      <c r="D549" s="2"/>
      <c r="E549" s="1" t="s">
        <v>207</v>
      </c>
      <c r="F549" s="1"/>
      <c r="G549" s="1" t="s">
        <v>35</v>
      </c>
      <c r="H549" s="2"/>
      <c r="I549">
        <v>1</v>
      </c>
      <c r="J549" s="1" t="s">
        <v>234</v>
      </c>
      <c r="K549" s="1" t="s">
        <v>879</v>
      </c>
      <c r="M549" s="1" t="s">
        <v>234</v>
      </c>
      <c r="N549" s="1" t="s">
        <v>235</v>
      </c>
    </row>
    <row r="550" spans="1:14" x14ac:dyDescent="0.25">
      <c r="A550" s="1" t="s">
        <v>545</v>
      </c>
      <c r="B550" s="1" t="s">
        <v>507</v>
      </c>
      <c r="C550" s="1" t="s">
        <v>80</v>
      </c>
      <c r="D550" s="2"/>
      <c r="E550" s="1" t="s">
        <v>207</v>
      </c>
      <c r="F550" s="1"/>
      <c r="G550" s="1" t="s">
        <v>35</v>
      </c>
      <c r="H550" s="2"/>
      <c r="I550">
        <v>1</v>
      </c>
      <c r="J550" s="1" t="s">
        <v>234</v>
      </c>
      <c r="K550" s="1" t="s">
        <v>879</v>
      </c>
      <c r="M550" s="1" t="s">
        <v>234</v>
      </c>
      <c r="N550" s="1" t="s">
        <v>235</v>
      </c>
    </row>
    <row r="551" spans="1:14" x14ac:dyDescent="0.25">
      <c r="A551" s="1" t="s">
        <v>546</v>
      </c>
      <c r="B551" s="1" t="s">
        <v>507</v>
      </c>
      <c r="C551" s="1" t="s">
        <v>80</v>
      </c>
      <c r="D551" s="2"/>
      <c r="E551" s="1" t="s">
        <v>207</v>
      </c>
      <c r="F551" s="1"/>
      <c r="G551" s="1" t="s">
        <v>35</v>
      </c>
      <c r="H551" s="2"/>
      <c r="I551">
        <v>1</v>
      </c>
      <c r="J551" s="1" t="s">
        <v>234</v>
      </c>
      <c r="K551" s="1" t="s">
        <v>879</v>
      </c>
      <c r="M551" s="1" t="s">
        <v>234</v>
      </c>
      <c r="N551" s="1" t="s">
        <v>235</v>
      </c>
    </row>
    <row r="552" spans="1:14" x14ac:dyDescent="0.25">
      <c r="A552" s="1" t="s">
        <v>547</v>
      </c>
      <c r="B552" s="1" t="s">
        <v>507</v>
      </c>
      <c r="C552" s="1" t="s">
        <v>80</v>
      </c>
      <c r="D552" s="2"/>
      <c r="E552" s="1" t="s">
        <v>207</v>
      </c>
      <c r="F552" s="1"/>
      <c r="G552" s="1" t="s">
        <v>35</v>
      </c>
      <c r="H552" s="2"/>
      <c r="I552">
        <v>1</v>
      </c>
      <c r="J552" s="1" t="s">
        <v>234</v>
      </c>
      <c r="K552" s="1" t="s">
        <v>879</v>
      </c>
      <c r="M552" s="1" t="s">
        <v>234</v>
      </c>
      <c r="N552" s="1" t="s">
        <v>235</v>
      </c>
    </row>
    <row r="553" spans="1:14" x14ac:dyDescent="0.25">
      <c r="A553" s="1" t="s">
        <v>548</v>
      </c>
      <c r="B553" s="1" t="s">
        <v>507</v>
      </c>
      <c r="C553" s="1" t="s">
        <v>80</v>
      </c>
      <c r="D553" s="2"/>
      <c r="E553" s="1" t="s">
        <v>207</v>
      </c>
      <c r="F553" s="1"/>
      <c r="G553" s="1" t="s">
        <v>35</v>
      </c>
      <c r="H553" s="2"/>
      <c r="I553">
        <v>1</v>
      </c>
      <c r="J553" s="1" t="s">
        <v>234</v>
      </c>
      <c r="K553" s="1" t="s">
        <v>879</v>
      </c>
      <c r="M553" s="1" t="s">
        <v>234</v>
      </c>
      <c r="N553" s="1" t="s">
        <v>235</v>
      </c>
    </row>
    <row r="554" spans="1:14" x14ac:dyDescent="0.25">
      <c r="A554" s="1" t="s">
        <v>549</v>
      </c>
      <c r="B554" s="1" t="s">
        <v>507</v>
      </c>
      <c r="C554" s="1" t="s">
        <v>80</v>
      </c>
      <c r="D554" s="2"/>
      <c r="E554" s="1" t="s">
        <v>207</v>
      </c>
      <c r="F554" s="1"/>
      <c r="G554" s="1" t="s">
        <v>35</v>
      </c>
      <c r="H554" s="2"/>
      <c r="I554">
        <v>1</v>
      </c>
      <c r="J554" s="1" t="s">
        <v>234</v>
      </c>
      <c r="K554" s="1" t="s">
        <v>879</v>
      </c>
      <c r="M554" s="1" t="s">
        <v>234</v>
      </c>
      <c r="N554" s="1" t="s">
        <v>235</v>
      </c>
    </row>
    <row r="555" spans="1:14" x14ac:dyDescent="0.25">
      <c r="A555" s="1" t="s">
        <v>550</v>
      </c>
      <c r="B555" s="1" t="s">
        <v>507</v>
      </c>
      <c r="C555" s="1" t="s">
        <v>80</v>
      </c>
      <c r="D555" s="2"/>
      <c r="E555" s="1" t="s">
        <v>207</v>
      </c>
      <c r="F555" s="1"/>
      <c r="G555" s="1" t="s">
        <v>35</v>
      </c>
      <c r="H555" s="2"/>
      <c r="I555">
        <v>1</v>
      </c>
      <c r="J555" s="1" t="s">
        <v>234</v>
      </c>
      <c r="K555" s="1" t="s">
        <v>879</v>
      </c>
      <c r="M555" s="1" t="s">
        <v>234</v>
      </c>
      <c r="N555" s="1" t="s">
        <v>235</v>
      </c>
    </row>
    <row r="556" spans="1:14" x14ac:dyDescent="0.25">
      <c r="A556" s="1" t="s">
        <v>551</v>
      </c>
      <c r="B556" s="1" t="s">
        <v>507</v>
      </c>
      <c r="C556" s="1" t="s">
        <v>80</v>
      </c>
      <c r="D556" s="2"/>
      <c r="E556" s="1" t="s">
        <v>207</v>
      </c>
      <c r="F556" s="1"/>
      <c r="G556" s="1" t="s">
        <v>35</v>
      </c>
      <c r="H556" s="2"/>
      <c r="I556">
        <v>1</v>
      </c>
      <c r="J556" s="1" t="s">
        <v>234</v>
      </c>
      <c r="K556" s="1" t="s">
        <v>879</v>
      </c>
      <c r="M556" s="1" t="s">
        <v>234</v>
      </c>
      <c r="N556" s="1" t="s">
        <v>235</v>
      </c>
    </row>
    <row r="557" spans="1:14" x14ac:dyDescent="0.25">
      <c r="A557" s="1" t="s">
        <v>552</v>
      </c>
      <c r="B557" s="1" t="s">
        <v>507</v>
      </c>
      <c r="C557" s="1" t="s">
        <v>80</v>
      </c>
      <c r="D557" s="2"/>
      <c r="E557" s="1" t="s">
        <v>207</v>
      </c>
      <c r="F557" s="1"/>
      <c r="G557" s="1" t="s">
        <v>35</v>
      </c>
      <c r="H557" s="2"/>
      <c r="I557">
        <v>1</v>
      </c>
      <c r="J557" s="1" t="s">
        <v>234</v>
      </c>
      <c r="K557" s="1" t="s">
        <v>879</v>
      </c>
      <c r="M557" s="1" t="s">
        <v>234</v>
      </c>
      <c r="N557" s="1" t="s">
        <v>235</v>
      </c>
    </row>
    <row r="558" spans="1:14" x14ac:dyDescent="0.25">
      <c r="A558" s="1" t="s">
        <v>553</v>
      </c>
      <c r="B558" s="1" t="s">
        <v>507</v>
      </c>
      <c r="C558" s="1" t="s">
        <v>80</v>
      </c>
      <c r="D558" s="2"/>
      <c r="E558" s="1" t="s">
        <v>207</v>
      </c>
      <c r="F558" s="1"/>
      <c r="G558" s="1" t="s">
        <v>35</v>
      </c>
      <c r="H558" s="2"/>
      <c r="I558">
        <v>1</v>
      </c>
      <c r="J558" s="1" t="s">
        <v>234</v>
      </c>
      <c r="K558" s="1" t="s">
        <v>879</v>
      </c>
      <c r="M558" s="1" t="s">
        <v>234</v>
      </c>
      <c r="N558" s="1" t="s">
        <v>235</v>
      </c>
    </row>
    <row r="559" spans="1:14" x14ac:dyDescent="0.25">
      <c r="A559" s="1" t="s">
        <v>554</v>
      </c>
      <c r="B559" s="1" t="s">
        <v>507</v>
      </c>
      <c r="C559" s="1" t="s">
        <v>80</v>
      </c>
      <c r="D559" s="2"/>
      <c r="E559" s="1" t="s">
        <v>207</v>
      </c>
      <c r="F559" s="1"/>
      <c r="G559" s="1" t="s">
        <v>35</v>
      </c>
      <c r="H559" s="2"/>
      <c r="I559">
        <v>1</v>
      </c>
      <c r="J559" s="1" t="s">
        <v>234</v>
      </c>
      <c r="K559" s="1" t="s">
        <v>879</v>
      </c>
      <c r="M559" s="1" t="s">
        <v>234</v>
      </c>
      <c r="N559" s="1" t="s">
        <v>235</v>
      </c>
    </row>
    <row r="560" spans="1:14" x14ac:dyDescent="0.25">
      <c r="A560" s="1" t="s">
        <v>555</v>
      </c>
      <c r="B560" s="1" t="s">
        <v>507</v>
      </c>
      <c r="C560" s="1" t="s">
        <v>80</v>
      </c>
      <c r="D560" s="2"/>
      <c r="E560" s="1" t="s">
        <v>207</v>
      </c>
      <c r="F560" s="1"/>
      <c r="G560" s="1" t="s">
        <v>35</v>
      </c>
      <c r="H560" s="2"/>
      <c r="I560">
        <v>1</v>
      </c>
      <c r="J560" s="1" t="s">
        <v>234</v>
      </c>
      <c r="K560" s="1" t="s">
        <v>879</v>
      </c>
      <c r="M560" s="1" t="s">
        <v>234</v>
      </c>
      <c r="N560" s="1" t="s">
        <v>235</v>
      </c>
    </row>
    <row r="561" spans="1:14" x14ac:dyDescent="0.25">
      <c r="A561" s="1" t="s">
        <v>556</v>
      </c>
      <c r="B561" s="1" t="s">
        <v>507</v>
      </c>
      <c r="C561" s="1" t="s">
        <v>80</v>
      </c>
      <c r="D561" s="2"/>
      <c r="E561" s="1" t="s">
        <v>207</v>
      </c>
      <c r="F561" s="1"/>
      <c r="G561" s="1" t="s">
        <v>35</v>
      </c>
      <c r="H561" s="2"/>
      <c r="I561">
        <v>1</v>
      </c>
      <c r="J561" s="1" t="s">
        <v>234</v>
      </c>
      <c r="K561" s="1" t="s">
        <v>879</v>
      </c>
      <c r="M561" s="1" t="s">
        <v>234</v>
      </c>
      <c r="N561" s="1" t="s">
        <v>235</v>
      </c>
    </row>
    <row r="562" spans="1:14" x14ac:dyDescent="0.25">
      <c r="A562" s="1" t="s">
        <v>557</v>
      </c>
      <c r="B562" s="1" t="s">
        <v>507</v>
      </c>
      <c r="C562" s="1" t="s">
        <v>80</v>
      </c>
      <c r="D562" s="2"/>
      <c r="E562" s="1" t="s">
        <v>207</v>
      </c>
      <c r="F562" s="1"/>
      <c r="G562" s="1" t="s">
        <v>35</v>
      </c>
      <c r="H562" s="2"/>
      <c r="I562">
        <v>1</v>
      </c>
      <c r="J562" s="1" t="s">
        <v>234</v>
      </c>
      <c r="K562" s="1" t="s">
        <v>879</v>
      </c>
      <c r="M562" s="1" t="s">
        <v>234</v>
      </c>
      <c r="N562" s="1" t="s">
        <v>235</v>
      </c>
    </row>
    <row r="563" spans="1:14" x14ac:dyDescent="0.25">
      <c r="A563" s="1" t="s">
        <v>558</v>
      </c>
      <c r="B563" s="1" t="s">
        <v>507</v>
      </c>
      <c r="C563" s="1" t="s">
        <v>80</v>
      </c>
      <c r="D563" s="2"/>
      <c r="E563" s="1" t="s">
        <v>207</v>
      </c>
      <c r="F563" s="1"/>
      <c r="G563" s="1" t="s">
        <v>35</v>
      </c>
      <c r="H563" s="2"/>
      <c r="I563">
        <v>1</v>
      </c>
      <c r="J563" s="1" t="s">
        <v>234</v>
      </c>
      <c r="K563" s="1" t="s">
        <v>879</v>
      </c>
      <c r="M563" s="1" t="s">
        <v>234</v>
      </c>
      <c r="N563" s="1" t="s">
        <v>235</v>
      </c>
    </row>
    <row r="564" spans="1:14" x14ac:dyDescent="0.25">
      <c r="A564" s="1" t="s">
        <v>559</v>
      </c>
      <c r="B564" s="1" t="s">
        <v>507</v>
      </c>
      <c r="C564" s="1" t="s">
        <v>80</v>
      </c>
      <c r="D564" s="2"/>
      <c r="E564" s="1" t="s">
        <v>207</v>
      </c>
      <c r="F564" s="1"/>
      <c r="G564" s="1" t="s">
        <v>35</v>
      </c>
      <c r="H564" s="2"/>
      <c r="I564">
        <v>1</v>
      </c>
      <c r="J564" s="1" t="s">
        <v>234</v>
      </c>
      <c r="K564" s="1" t="s">
        <v>879</v>
      </c>
      <c r="M564" s="1" t="s">
        <v>234</v>
      </c>
      <c r="N564" s="1" t="s">
        <v>235</v>
      </c>
    </row>
    <row r="565" spans="1:14" x14ac:dyDescent="0.25">
      <c r="A565" s="1" t="s">
        <v>560</v>
      </c>
      <c r="B565" s="1" t="s">
        <v>507</v>
      </c>
      <c r="C565" s="1" t="s">
        <v>80</v>
      </c>
      <c r="D565" s="2"/>
      <c r="E565" s="1" t="s">
        <v>207</v>
      </c>
      <c r="F565" s="1"/>
      <c r="G565" s="1" t="s">
        <v>35</v>
      </c>
      <c r="H565" s="2"/>
      <c r="I565">
        <v>1</v>
      </c>
      <c r="J565" s="1" t="s">
        <v>234</v>
      </c>
      <c r="K565" s="1" t="s">
        <v>879</v>
      </c>
      <c r="M565" s="1" t="s">
        <v>234</v>
      </c>
      <c r="N565" s="1" t="s">
        <v>235</v>
      </c>
    </row>
    <row r="566" spans="1:14" x14ac:dyDescent="0.25">
      <c r="A566" s="1" t="s">
        <v>561</v>
      </c>
      <c r="B566" s="1" t="s">
        <v>507</v>
      </c>
      <c r="C566" s="1" t="s">
        <v>80</v>
      </c>
      <c r="D566" s="2"/>
      <c r="E566" s="1" t="s">
        <v>207</v>
      </c>
      <c r="F566" s="1"/>
      <c r="G566" s="1" t="s">
        <v>35</v>
      </c>
      <c r="H566" s="2"/>
      <c r="I566">
        <v>1</v>
      </c>
      <c r="J566" s="1" t="s">
        <v>234</v>
      </c>
      <c r="K566" s="1" t="s">
        <v>879</v>
      </c>
      <c r="M566" s="1" t="s">
        <v>234</v>
      </c>
      <c r="N566" s="1" t="s">
        <v>235</v>
      </c>
    </row>
    <row r="567" spans="1:14" x14ac:dyDescent="0.25">
      <c r="A567" s="1" t="s">
        <v>562</v>
      </c>
      <c r="B567" s="1" t="s">
        <v>507</v>
      </c>
      <c r="C567" s="1" t="s">
        <v>80</v>
      </c>
      <c r="D567" s="2"/>
      <c r="E567" s="1" t="s">
        <v>207</v>
      </c>
      <c r="F567" s="1"/>
      <c r="G567" s="1" t="s">
        <v>35</v>
      </c>
      <c r="H567" s="2"/>
      <c r="I567">
        <v>1</v>
      </c>
      <c r="J567" s="1" t="s">
        <v>234</v>
      </c>
      <c r="K567" s="1" t="s">
        <v>879</v>
      </c>
      <c r="M567" s="1" t="s">
        <v>234</v>
      </c>
      <c r="N567" s="1" t="s">
        <v>235</v>
      </c>
    </row>
    <row r="568" spans="1:14" x14ac:dyDescent="0.25">
      <c r="A568" s="1" t="s">
        <v>563</v>
      </c>
      <c r="B568" s="1" t="s">
        <v>507</v>
      </c>
      <c r="C568" s="1" t="s">
        <v>80</v>
      </c>
      <c r="D568" s="2"/>
      <c r="E568" s="1" t="s">
        <v>207</v>
      </c>
      <c r="F568" s="1"/>
      <c r="G568" s="1" t="s">
        <v>35</v>
      </c>
      <c r="H568" s="2"/>
      <c r="I568">
        <v>1</v>
      </c>
      <c r="J568" s="1" t="s">
        <v>234</v>
      </c>
      <c r="K568" s="1" t="s">
        <v>879</v>
      </c>
      <c r="M568" s="1" t="s">
        <v>234</v>
      </c>
      <c r="N568" s="1" t="s">
        <v>235</v>
      </c>
    </row>
    <row r="569" spans="1:14" x14ac:dyDescent="0.25">
      <c r="A569" s="1" t="s">
        <v>564</v>
      </c>
      <c r="B569" s="1" t="s">
        <v>507</v>
      </c>
      <c r="C569" s="1" t="s">
        <v>80</v>
      </c>
      <c r="D569" s="2"/>
      <c r="E569" s="1" t="s">
        <v>207</v>
      </c>
      <c r="F569" s="1"/>
      <c r="G569" s="1" t="s">
        <v>35</v>
      </c>
      <c r="H569" s="2"/>
      <c r="I569">
        <v>1</v>
      </c>
      <c r="J569" s="1" t="s">
        <v>234</v>
      </c>
      <c r="K569" s="1" t="s">
        <v>879</v>
      </c>
      <c r="M569" s="1" t="s">
        <v>234</v>
      </c>
      <c r="N569" s="1" t="s">
        <v>235</v>
      </c>
    </row>
    <row r="570" spans="1:14" x14ac:dyDescent="0.25">
      <c r="A570" s="1" t="s">
        <v>565</v>
      </c>
      <c r="B570" s="1" t="s">
        <v>507</v>
      </c>
      <c r="C570" s="1" t="s">
        <v>80</v>
      </c>
      <c r="D570" s="2"/>
      <c r="E570" s="1" t="s">
        <v>207</v>
      </c>
      <c r="F570" s="1"/>
      <c r="G570" s="1" t="s">
        <v>35</v>
      </c>
      <c r="H570" s="2"/>
      <c r="I570">
        <v>1</v>
      </c>
      <c r="J570" s="1" t="s">
        <v>234</v>
      </c>
      <c r="K570" s="1" t="s">
        <v>879</v>
      </c>
      <c r="M570" s="1" t="s">
        <v>234</v>
      </c>
      <c r="N570" s="1" t="s">
        <v>235</v>
      </c>
    </row>
    <row r="571" spans="1:14" x14ac:dyDescent="0.25">
      <c r="A571" s="1" t="s">
        <v>566</v>
      </c>
      <c r="B571" s="1" t="s">
        <v>507</v>
      </c>
      <c r="C571" s="1" t="s">
        <v>80</v>
      </c>
      <c r="D571" s="2"/>
      <c r="E571" s="1" t="s">
        <v>207</v>
      </c>
      <c r="F571" s="1"/>
      <c r="G571" s="1" t="s">
        <v>35</v>
      </c>
      <c r="H571" s="2"/>
      <c r="I571">
        <v>1</v>
      </c>
      <c r="J571" s="1" t="s">
        <v>234</v>
      </c>
      <c r="K571" s="1" t="s">
        <v>879</v>
      </c>
      <c r="M571" s="1" t="s">
        <v>234</v>
      </c>
      <c r="N571" s="1" t="s">
        <v>235</v>
      </c>
    </row>
    <row r="572" spans="1:14" x14ac:dyDescent="0.25">
      <c r="A572" s="1" t="s">
        <v>567</v>
      </c>
      <c r="B572" s="1" t="s">
        <v>507</v>
      </c>
      <c r="C572" s="1" t="s">
        <v>80</v>
      </c>
      <c r="D572" s="2"/>
      <c r="E572" s="1" t="s">
        <v>207</v>
      </c>
      <c r="F572" s="1"/>
      <c r="G572" s="1" t="s">
        <v>35</v>
      </c>
      <c r="H572" s="2"/>
      <c r="I572">
        <v>1</v>
      </c>
      <c r="J572" s="1" t="s">
        <v>234</v>
      </c>
      <c r="K572" s="1" t="s">
        <v>879</v>
      </c>
      <c r="M572" s="1" t="s">
        <v>234</v>
      </c>
      <c r="N572" s="1" t="s">
        <v>235</v>
      </c>
    </row>
    <row r="573" spans="1:14" x14ac:dyDescent="0.25">
      <c r="A573" s="1" t="s">
        <v>568</v>
      </c>
      <c r="B573" s="1" t="s">
        <v>507</v>
      </c>
      <c r="C573" s="1" t="s">
        <v>80</v>
      </c>
      <c r="D573" s="2"/>
      <c r="E573" s="1" t="s">
        <v>207</v>
      </c>
      <c r="F573" s="1"/>
      <c r="G573" s="1" t="s">
        <v>35</v>
      </c>
      <c r="H573" s="2"/>
      <c r="I573">
        <v>1</v>
      </c>
      <c r="J573" s="1" t="s">
        <v>234</v>
      </c>
      <c r="K573" s="1" t="s">
        <v>879</v>
      </c>
      <c r="M573" s="1" t="s">
        <v>234</v>
      </c>
      <c r="N573" s="1" t="s">
        <v>235</v>
      </c>
    </row>
    <row r="574" spans="1:14" x14ac:dyDescent="0.25">
      <c r="A574" s="1" t="s">
        <v>569</v>
      </c>
      <c r="B574" s="1" t="s">
        <v>507</v>
      </c>
      <c r="C574" s="1" t="s">
        <v>80</v>
      </c>
      <c r="D574" s="2"/>
      <c r="E574" s="1" t="s">
        <v>207</v>
      </c>
      <c r="F574" s="1"/>
      <c r="G574" s="1" t="s">
        <v>35</v>
      </c>
      <c r="H574" s="2"/>
      <c r="I574">
        <v>1</v>
      </c>
      <c r="J574" s="1" t="s">
        <v>234</v>
      </c>
      <c r="K574" s="1" t="s">
        <v>879</v>
      </c>
      <c r="M574" s="1" t="s">
        <v>234</v>
      </c>
      <c r="N574" s="1" t="s">
        <v>235</v>
      </c>
    </row>
    <row r="575" spans="1:14" x14ac:dyDescent="0.25">
      <c r="A575" s="1" t="s">
        <v>570</v>
      </c>
      <c r="B575" s="1" t="s">
        <v>507</v>
      </c>
      <c r="C575" s="1" t="s">
        <v>80</v>
      </c>
      <c r="D575" s="2"/>
      <c r="E575" s="1" t="s">
        <v>207</v>
      </c>
      <c r="F575" s="1"/>
      <c r="G575" s="1" t="s">
        <v>35</v>
      </c>
      <c r="H575" s="2"/>
      <c r="I575">
        <v>1</v>
      </c>
      <c r="J575" s="1" t="s">
        <v>234</v>
      </c>
      <c r="K575" s="1" t="s">
        <v>879</v>
      </c>
      <c r="M575" s="1" t="s">
        <v>234</v>
      </c>
      <c r="N575" s="1" t="s">
        <v>235</v>
      </c>
    </row>
    <row r="576" spans="1:14" x14ac:dyDescent="0.25">
      <c r="A576" s="1" t="s">
        <v>571</v>
      </c>
      <c r="B576" s="1" t="s">
        <v>507</v>
      </c>
      <c r="C576" s="1" t="s">
        <v>80</v>
      </c>
      <c r="D576" s="2"/>
      <c r="E576" s="1" t="s">
        <v>207</v>
      </c>
      <c r="F576" s="1"/>
      <c r="G576" s="1" t="s">
        <v>35</v>
      </c>
      <c r="H576" s="2"/>
      <c r="I576">
        <v>1</v>
      </c>
      <c r="J576" s="1" t="s">
        <v>234</v>
      </c>
      <c r="K576" s="1" t="s">
        <v>879</v>
      </c>
      <c r="M576" s="1" t="s">
        <v>234</v>
      </c>
      <c r="N576" s="1" t="s">
        <v>235</v>
      </c>
    </row>
    <row r="577" spans="1:14" x14ac:dyDescent="0.25">
      <c r="A577" s="1" t="s">
        <v>572</v>
      </c>
      <c r="B577" s="1" t="s">
        <v>507</v>
      </c>
      <c r="C577" s="1" t="s">
        <v>80</v>
      </c>
      <c r="D577" s="2"/>
      <c r="E577" s="1" t="s">
        <v>207</v>
      </c>
      <c r="F577" s="1"/>
      <c r="G577" s="1" t="s">
        <v>35</v>
      </c>
      <c r="H577" s="2"/>
      <c r="I577">
        <v>1</v>
      </c>
      <c r="J577" s="1" t="s">
        <v>234</v>
      </c>
      <c r="K577" s="1" t="s">
        <v>879</v>
      </c>
      <c r="M577" s="1" t="s">
        <v>234</v>
      </c>
      <c r="N577" s="1" t="s">
        <v>235</v>
      </c>
    </row>
    <row r="578" spans="1:14" x14ac:dyDescent="0.25">
      <c r="A578" s="1" t="s">
        <v>573</v>
      </c>
      <c r="B578" s="1" t="s">
        <v>507</v>
      </c>
      <c r="C578" s="1" t="s">
        <v>80</v>
      </c>
      <c r="D578" s="2"/>
      <c r="E578" s="1" t="s">
        <v>207</v>
      </c>
      <c r="F578" s="1"/>
      <c r="G578" s="1" t="s">
        <v>35</v>
      </c>
      <c r="H578" s="2"/>
      <c r="I578">
        <v>1</v>
      </c>
      <c r="J578" s="1" t="s">
        <v>234</v>
      </c>
      <c r="K578" s="1" t="s">
        <v>879</v>
      </c>
      <c r="M578" s="1" t="s">
        <v>234</v>
      </c>
      <c r="N578" s="1" t="s">
        <v>235</v>
      </c>
    </row>
    <row r="579" spans="1:14" x14ac:dyDescent="0.25">
      <c r="A579" s="1" t="s">
        <v>574</v>
      </c>
      <c r="B579" s="1" t="s">
        <v>507</v>
      </c>
      <c r="C579" s="1" t="s">
        <v>80</v>
      </c>
      <c r="D579" s="2"/>
      <c r="E579" s="1" t="s">
        <v>207</v>
      </c>
      <c r="F579" s="1"/>
      <c r="G579" s="1" t="s">
        <v>35</v>
      </c>
      <c r="H579" s="2"/>
      <c r="I579">
        <v>1</v>
      </c>
      <c r="J579" s="1" t="s">
        <v>234</v>
      </c>
      <c r="K579" s="1" t="s">
        <v>879</v>
      </c>
      <c r="M579" s="1" t="s">
        <v>234</v>
      </c>
      <c r="N579" s="1" t="s">
        <v>235</v>
      </c>
    </row>
    <row r="580" spans="1:14" x14ac:dyDescent="0.25">
      <c r="A580" s="1" t="s">
        <v>575</v>
      </c>
      <c r="B580" s="1" t="s">
        <v>507</v>
      </c>
      <c r="C580" s="1" t="s">
        <v>80</v>
      </c>
      <c r="D580" s="2"/>
      <c r="E580" s="1" t="s">
        <v>207</v>
      </c>
      <c r="F580" s="1"/>
      <c r="G580" s="1" t="s">
        <v>35</v>
      </c>
      <c r="H580" s="2"/>
      <c r="I580">
        <v>1</v>
      </c>
      <c r="J580" s="1" t="s">
        <v>234</v>
      </c>
      <c r="K580" s="1" t="s">
        <v>879</v>
      </c>
      <c r="M580" s="1" t="s">
        <v>234</v>
      </c>
      <c r="N580" s="1" t="s">
        <v>235</v>
      </c>
    </row>
    <row r="581" spans="1:14" x14ac:dyDescent="0.25">
      <c r="A581" s="1" t="s">
        <v>576</v>
      </c>
      <c r="B581" s="1" t="s">
        <v>507</v>
      </c>
      <c r="C581" s="1" t="s">
        <v>80</v>
      </c>
      <c r="D581" s="2"/>
      <c r="E581" s="1" t="s">
        <v>207</v>
      </c>
      <c r="F581" s="1"/>
      <c r="G581" s="1" t="s">
        <v>35</v>
      </c>
      <c r="H581" s="2"/>
      <c r="I581">
        <v>1</v>
      </c>
      <c r="J581" s="1" t="s">
        <v>234</v>
      </c>
      <c r="K581" s="1" t="s">
        <v>879</v>
      </c>
      <c r="M581" s="1" t="s">
        <v>234</v>
      </c>
      <c r="N581" s="1" t="s">
        <v>235</v>
      </c>
    </row>
    <row r="582" spans="1:14" x14ac:dyDescent="0.25">
      <c r="A582" s="1" t="s">
        <v>577</v>
      </c>
      <c r="B582" s="1" t="s">
        <v>507</v>
      </c>
      <c r="C582" s="1" t="s">
        <v>80</v>
      </c>
      <c r="D582" s="2"/>
      <c r="E582" s="1" t="s">
        <v>207</v>
      </c>
      <c r="F582" s="1"/>
      <c r="G582" s="1" t="s">
        <v>35</v>
      </c>
      <c r="H582" s="2"/>
      <c r="I582">
        <v>1</v>
      </c>
      <c r="J582" s="1" t="s">
        <v>234</v>
      </c>
      <c r="K582" s="1" t="s">
        <v>879</v>
      </c>
      <c r="M582" s="1" t="s">
        <v>234</v>
      </c>
      <c r="N582" s="1" t="s">
        <v>235</v>
      </c>
    </row>
    <row r="583" spans="1:14" x14ac:dyDescent="0.25">
      <c r="A583" s="1" t="s">
        <v>578</v>
      </c>
      <c r="B583" s="1" t="s">
        <v>507</v>
      </c>
      <c r="C583" s="1" t="s">
        <v>80</v>
      </c>
      <c r="D583" s="2"/>
      <c r="E583" s="1" t="s">
        <v>207</v>
      </c>
      <c r="F583" s="1"/>
      <c r="G583" s="1" t="s">
        <v>35</v>
      </c>
      <c r="H583" s="2"/>
      <c r="I583">
        <v>1</v>
      </c>
      <c r="J583" s="1" t="s">
        <v>234</v>
      </c>
      <c r="K583" s="1" t="s">
        <v>879</v>
      </c>
      <c r="M583" s="1" t="s">
        <v>234</v>
      </c>
      <c r="N583" s="1" t="s">
        <v>235</v>
      </c>
    </row>
    <row r="584" spans="1:14" x14ac:dyDescent="0.25">
      <c r="A584" s="1" t="s">
        <v>579</v>
      </c>
      <c r="B584" s="1" t="s">
        <v>507</v>
      </c>
      <c r="C584" s="1" t="s">
        <v>80</v>
      </c>
      <c r="D584" s="2"/>
      <c r="E584" s="1" t="s">
        <v>207</v>
      </c>
      <c r="F584" s="1"/>
      <c r="G584" s="1" t="s">
        <v>35</v>
      </c>
      <c r="H584" s="2"/>
      <c r="I584">
        <v>1</v>
      </c>
      <c r="J584" s="1" t="s">
        <v>234</v>
      </c>
      <c r="K584" s="1" t="s">
        <v>879</v>
      </c>
      <c r="M584" s="1" t="s">
        <v>234</v>
      </c>
      <c r="N584" s="1" t="s">
        <v>235</v>
      </c>
    </row>
    <row r="585" spans="1:14" x14ac:dyDescent="0.25">
      <c r="A585" s="1" t="s">
        <v>580</v>
      </c>
      <c r="B585" s="1" t="s">
        <v>507</v>
      </c>
      <c r="C585" s="1" t="s">
        <v>80</v>
      </c>
      <c r="D585" s="2"/>
      <c r="E585" s="1" t="s">
        <v>207</v>
      </c>
      <c r="F585" s="1"/>
      <c r="G585" s="1" t="s">
        <v>35</v>
      </c>
      <c r="H585" s="2"/>
      <c r="I585">
        <v>1</v>
      </c>
      <c r="J585" s="1" t="s">
        <v>234</v>
      </c>
      <c r="K585" s="1" t="s">
        <v>879</v>
      </c>
      <c r="M585" s="1" t="s">
        <v>234</v>
      </c>
      <c r="N585" s="1" t="s">
        <v>235</v>
      </c>
    </row>
    <row r="586" spans="1:14" x14ac:dyDescent="0.25">
      <c r="A586" s="1" t="s">
        <v>581</v>
      </c>
      <c r="B586" s="1" t="s">
        <v>507</v>
      </c>
      <c r="C586" s="1" t="s">
        <v>80</v>
      </c>
      <c r="D586" s="2"/>
      <c r="E586" s="1" t="s">
        <v>207</v>
      </c>
      <c r="F586" s="1"/>
      <c r="G586" s="1" t="s">
        <v>35</v>
      </c>
      <c r="H586" s="2"/>
      <c r="I586">
        <v>1</v>
      </c>
      <c r="J586" s="1" t="s">
        <v>234</v>
      </c>
      <c r="K586" s="1" t="s">
        <v>879</v>
      </c>
      <c r="M586" s="1" t="s">
        <v>234</v>
      </c>
      <c r="N586" s="1" t="s">
        <v>235</v>
      </c>
    </row>
    <row r="587" spans="1:14" x14ac:dyDescent="0.25">
      <c r="A587" s="1" t="s">
        <v>582</v>
      </c>
      <c r="B587" s="1" t="s">
        <v>507</v>
      </c>
      <c r="C587" s="1" t="s">
        <v>80</v>
      </c>
      <c r="D587" s="2"/>
      <c r="E587" s="1" t="s">
        <v>207</v>
      </c>
      <c r="F587" s="1"/>
      <c r="G587" s="1" t="s">
        <v>35</v>
      </c>
      <c r="H587" s="2"/>
      <c r="I587">
        <v>1</v>
      </c>
      <c r="J587" s="1" t="s">
        <v>234</v>
      </c>
      <c r="K587" s="1" t="s">
        <v>879</v>
      </c>
      <c r="M587" s="1" t="s">
        <v>234</v>
      </c>
      <c r="N587" s="1" t="s">
        <v>235</v>
      </c>
    </row>
    <row r="588" spans="1:14" x14ac:dyDescent="0.25">
      <c r="A588" s="1" t="s">
        <v>583</v>
      </c>
      <c r="B588" s="1" t="s">
        <v>507</v>
      </c>
      <c r="C588" s="1" t="s">
        <v>80</v>
      </c>
      <c r="D588" s="2"/>
      <c r="E588" s="1" t="s">
        <v>207</v>
      </c>
      <c r="F588" s="1"/>
      <c r="G588" s="1" t="s">
        <v>35</v>
      </c>
      <c r="H588" s="2"/>
      <c r="I588">
        <v>1</v>
      </c>
      <c r="J588" s="1" t="s">
        <v>234</v>
      </c>
      <c r="K588" s="1" t="s">
        <v>879</v>
      </c>
      <c r="M588" s="1" t="s">
        <v>234</v>
      </c>
      <c r="N588" s="1" t="s">
        <v>235</v>
      </c>
    </row>
    <row r="589" spans="1:14" x14ac:dyDescent="0.25">
      <c r="A589" s="1" t="s">
        <v>584</v>
      </c>
      <c r="B589" s="1" t="s">
        <v>507</v>
      </c>
      <c r="C589" s="1" t="s">
        <v>80</v>
      </c>
      <c r="D589" s="2"/>
      <c r="E589" s="1" t="s">
        <v>207</v>
      </c>
      <c r="F589" s="1"/>
      <c r="G589" s="1" t="s">
        <v>35</v>
      </c>
      <c r="H589" s="2"/>
      <c r="I589">
        <v>1</v>
      </c>
      <c r="J589" s="1" t="s">
        <v>234</v>
      </c>
      <c r="K589" s="1" t="s">
        <v>879</v>
      </c>
      <c r="M589" s="1" t="s">
        <v>234</v>
      </c>
      <c r="N589" s="1" t="s">
        <v>235</v>
      </c>
    </row>
    <row r="590" spans="1:14" x14ac:dyDescent="0.25">
      <c r="A590" s="1" t="s">
        <v>585</v>
      </c>
      <c r="B590" s="1" t="s">
        <v>507</v>
      </c>
      <c r="C590" s="1" t="s">
        <v>80</v>
      </c>
      <c r="D590" s="2"/>
      <c r="E590" s="1" t="s">
        <v>207</v>
      </c>
      <c r="F590" s="1"/>
      <c r="G590" s="1" t="s">
        <v>35</v>
      </c>
      <c r="H590" s="2"/>
      <c r="I590">
        <v>1</v>
      </c>
      <c r="J590" s="1" t="s">
        <v>234</v>
      </c>
      <c r="K590" s="1" t="s">
        <v>879</v>
      </c>
      <c r="M590" s="1" t="s">
        <v>234</v>
      </c>
      <c r="N590" s="1" t="s">
        <v>235</v>
      </c>
    </row>
    <row r="591" spans="1:14" x14ac:dyDescent="0.25">
      <c r="A591" s="1" t="s">
        <v>586</v>
      </c>
      <c r="B591" s="1" t="s">
        <v>507</v>
      </c>
      <c r="C591" s="1" t="s">
        <v>80</v>
      </c>
      <c r="D591" s="2"/>
      <c r="E591" s="1" t="s">
        <v>207</v>
      </c>
      <c r="F591" s="1"/>
      <c r="G591" s="1" t="s">
        <v>35</v>
      </c>
      <c r="H591" s="2"/>
      <c r="I591">
        <v>1</v>
      </c>
      <c r="J591" s="1" t="s">
        <v>234</v>
      </c>
      <c r="K591" s="1" t="s">
        <v>879</v>
      </c>
      <c r="M591" s="1" t="s">
        <v>234</v>
      </c>
      <c r="N591" s="1" t="s">
        <v>235</v>
      </c>
    </row>
    <row r="592" spans="1:14" x14ac:dyDescent="0.25">
      <c r="A592" s="1" t="s">
        <v>587</v>
      </c>
      <c r="B592" s="1" t="s">
        <v>507</v>
      </c>
      <c r="C592" s="1" t="s">
        <v>80</v>
      </c>
      <c r="D592" s="2"/>
      <c r="E592" s="1" t="s">
        <v>207</v>
      </c>
      <c r="F592" s="1"/>
      <c r="G592" s="1" t="s">
        <v>35</v>
      </c>
      <c r="H592" s="2"/>
      <c r="I592">
        <v>1</v>
      </c>
      <c r="J592" s="1" t="s">
        <v>234</v>
      </c>
      <c r="K592" s="1" t="s">
        <v>879</v>
      </c>
      <c r="M592" s="1" t="s">
        <v>234</v>
      </c>
      <c r="N592" s="1" t="s">
        <v>235</v>
      </c>
    </row>
    <row r="593" spans="1:14" x14ac:dyDescent="0.25">
      <c r="A593" s="1" t="s">
        <v>588</v>
      </c>
      <c r="B593" s="1" t="s">
        <v>507</v>
      </c>
      <c r="C593" s="1" t="s">
        <v>80</v>
      </c>
      <c r="D593" s="2"/>
      <c r="E593" s="1" t="s">
        <v>207</v>
      </c>
      <c r="F593" s="1"/>
      <c r="G593" s="1" t="s">
        <v>35</v>
      </c>
      <c r="H593" s="2"/>
      <c r="I593">
        <v>1</v>
      </c>
      <c r="J593" s="1" t="s">
        <v>234</v>
      </c>
      <c r="K593" s="1" t="s">
        <v>879</v>
      </c>
      <c r="M593" s="1" t="s">
        <v>234</v>
      </c>
      <c r="N593" s="1" t="s">
        <v>235</v>
      </c>
    </row>
    <row r="594" spans="1:14" x14ac:dyDescent="0.25">
      <c r="A594" s="1" t="s">
        <v>589</v>
      </c>
      <c r="B594" s="1" t="s">
        <v>507</v>
      </c>
      <c r="C594" s="1" t="s">
        <v>80</v>
      </c>
      <c r="D594" s="2"/>
      <c r="E594" s="1" t="s">
        <v>207</v>
      </c>
      <c r="F594" s="1"/>
      <c r="G594" s="1" t="s">
        <v>35</v>
      </c>
      <c r="H594" s="2"/>
      <c r="I594">
        <v>1</v>
      </c>
      <c r="J594" s="1" t="s">
        <v>234</v>
      </c>
      <c r="K594" s="1" t="s">
        <v>879</v>
      </c>
      <c r="M594" s="1" t="s">
        <v>234</v>
      </c>
      <c r="N594" s="1" t="s">
        <v>235</v>
      </c>
    </row>
    <row r="595" spans="1:14" x14ac:dyDescent="0.25">
      <c r="A595" s="1" t="s">
        <v>590</v>
      </c>
      <c r="B595" s="1" t="s">
        <v>507</v>
      </c>
      <c r="C595" s="1" t="s">
        <v>80</v>
      </c>
      <c r="D595" s="2"/>
      <c r="E595" s="1" t="s">
        <v>207</v>
      </c>
      <c r="F595" s="1"/>
      <c r="G595" s="1" t="s">
        <v>35</v>
      </c>
      <c r="H595" s="2"/>
      <c r="I595">
        <v>1</v>
      </c>
      <c r="J595" s="1" t="s">
        <v>234</v>
      </c>
      <c r="K595" s="1" t="s">
        <v>879</v>
      </c>
      <c r="M595" s="1" t="s">
        <v>234</v>
      </c>
      <c r="N595" s="1" t="s">
        <v>235</v>
      </c>
    </row>
    <row r="596" spans="1:14" x14ac:dyDescent="0.25">
      <c r="A596" s="1" t="s">
        <v>591</v>
      </c>
      <c r="B596" s="1" t="s">
        <v>507</v>
      </c>
      <c r="C596" s="1" t="s">
        <v>80</v>
      </c>
      <c r="D596" s="2"/>
      <c r="E596" s="1" t="s">
        <v>207</v>
      </c>
      <c r="F596" s="1"/>
      <c r="G596" s="1" t="s">
        <v>35</v>
      </c>
      <c r="H596" s="2"/>
      <c r="I596">
        <v>1</v>
      </c>
      <c r="J596" s="1" t="s">
        <v>234</v>
      </c>
      <c r="K596" s="1" t="s">
        <v>879</v>
      </c>
      <c r="M596" s="1" t="s">
        <v>234</v>
      </c>
      <c r="N596" s="1" t="s">
        <v>235</v>
      </c>
    </row>
    <row r="597" spans="1:14" x14ac:dyDescent="0.25">
      <c r="A597" s="1" t="s">
        <v>592</v>
      </c>
      <c r="B597" s="1" t="s">
        <v>507</v>
      </c>
      <c r="C597" s="1" t="s">
        <v>80</v>
      </c>
      <c r="D597" s="2"/>
      <c r="E597" s="1" t="s">
        <v>207</v>
      </c>
      <c r="F597" s="1"/>
      <c r="G597" s="1" t="s">
        <v>35</v>
      </c>
      <c r="H597" s="2"/>
      <c r="I597">
        <v>1</v>
      </c>
      <c r="J597" s="1" t="s">
        <v>234</v>
      </c>
      <c r="K597" s="1" t="s">
        <v>879</v>
      </c>
      <c r="M597" s="1" t="s">
        <v>234</v>
      </c>
      <c r="N597" s="1" t="s">
        <v>235</v>
      </c>
    </row>
    <row r="598" spans="1:14" x14ac:dyDescent="0.25">
      <c r="A598" s="1" t="s">
        <v>593</v>
      </c>
      <c r="B598" s="1" t="s">
        <v>507</v>
      </c>
      <c r="C598" s="1" t="s">
        <v>80</v>
      </c>
      <c r="D598" s="2"/>
      <c r="E598" s="1" t="s">
        <v>207</v>
      </c>
      <c r="F598" s="1"/>
      <c r="G598" s="1" t="s">
        <v>35</v>
      </c>
      <c r="H598" s="2"/>
      <c r="I598">
        <v>1</v>
      </c>
      <c r="J598" s="1" t="s">
        <v>234</v>
      </c>
      <c r="K598" s="1" t="s">
        <v>879</v>
      </c>
      <c r="M598" s="1" t="s">
        <v>234</v>
      </c>
      <c r="N598" s="1" t="s">
        <v>235</v>
      </c>
    </row>
    <row r="599" spans="1:14" x14ac:dyDescent="0.25">
      <c r="A599" s="1" t="s">
        <v>594</v>
      </c>
      <c r="B599" s="1" t="s">
        <v>507</v>
      </c>
      <c r="C599" s="1" t="s">
        <v>80</v>
      </c>
      <c r="D599" s="2"/>
      <c r="E599" s="1" t="s">
        <v>207</v>
      </c>
      <c r="F599" s="1"/>
      <c r="G599" s="1" t="s">
        <v>35</v>
      </c>
      <c r="H599" s="2"/>
      <c r="I599">
        <v>1</v>
      </c>
      <c r="J599" s="1" t="s">
        <v>234</v>
      </c>
      <c r="K599" s="1" t="s">
        <v>879</v>
      </c>
      <c r="M599" s="1" t="s">
        <v>234</v>
      </c>
      <c r="N599" s="1" t="s">
        <v>235</v>
      </c>
    </row>
    <row r="600" spans="1:14" x14ac:dyDescent="0.25">
      <c r="A600" s="1" t="s">
        <v>595</v>
      </c>
      <c r="B600" s="1" t="s">
        <v>507</v>
      </c>
      <c r="C600" s="1" t="s">
        <v>80</v>
      </c>
      <c r="D600" s="2"/>
      <c r="E600" s="1" t="s">
        <v>207</v>
      </c>
      <c r="F600" s="1"/>
      <c r="G600" s="1" t="s">
        <v>35</v>
      </c>
      <c r="H600" s="2"/>
      <c r="I600">
        <v>1</v>
      </c>
      <c r="J600" s="1" t="s">
        <v>234</v>
      </c>
      <c r="K600" s="1" t="s">
        <v>879</v>
      </c>
      <c r="M600" s="1" t="s">
        <v>234</v>
      </c>
      <c r="N600" s="1" t="s">
        <v>235</v>
      </c>
    </row>
    <row r="601" spans="1:14" x14ac:dyDescent="0.25">
      <c r="A601" s="1" t="s">
        <v>596</v>
      </c>
      <c r="B601" s="1" t="s">
        <v>507</v>
      </c>
      <c r="C601" s="1" t="s">
        <v>80</v>
      </c>
      <c r="D601" s="2"/>
      <c r="E601" s="1" t="s">
        <v>207</v>
      </c>
      <c r="F601" s="1"/>
      <c r="G601" s="1" t="s">
        <v>35</v>
      </c>
      <c r="H601" s="2"/>
      <c r="I601">
        <v>1</v>
      </c>
      <c r="J601" s="1" t="s">
        <v>234</v>
      </c>
      <c r="K601" s="1" t="s">
        <v>879</v>
      </c>
      <c r="M601" s="1" t="s">
        <v>234</v>
      </c>
      <c r="N601" s="1" t="s">
        <v>235</v>
      </c>
    </row>
    <row r="602" spans="1:14" x14ac:dyDescent="0.25">
      <c r="A602" s="1" t="s">
        <v>597</v>
      </c>
      <c r="B602" s="1" t="s">
        <v>507</v>
      </c>
      <c r="C602" s="1" t="s">
        <v>80</v>
      </c>
      <c r="D602" s="2"/>
      <c r="E602" s="1" t="s">
        <v>207</v>
      </c>
      <c r="F602" s="1"/>
      <c r="G602" s="1" t="s">
        <v>35</v>
      </c>
      <c r="H602" s="2"/>
      <c r="I602">
        <v>1</v>
      </c>
      <c r="J602" s="1" t="s">
        <v>234</v>
      </c>
      <c r="K602" s="1" t="s">
        <v>879</v>
      </c>
      <c r="M602" s="1" t="s">
        <v>234</v>
      </c>
      <c r="N602" s="1" t="s">
        <v>235</v>
      </c>
    </row>
    <row r="603" spans="1:14" x14ac:dyDescent="0.25">
      <c r="A603" s="1" t="s">
        <v>598</v>
      </c>
      <c r="B603" s="1" t="s">
        <v>507</v>
      </c>
      <c r="C603" s="1" t="s">
        <v>80</v>
      </c>
      <c r="D603" s="2"/>
      <c r="E603" s="1" t="s">
        <v>207</v>
      </c>
      <c r="F603" s="1"/>
      <c r="G603" s="1" t="s">
        <v>35</v>
      </c>
      <c r="H603" s="2"/>
      <c r="I603">
        <v>1</v>
      </c>
      <c r="J603" s="1" t="s">
        <v>234</v>
      </c>
      <c r="K603" s="1" t="s">
        <v>879</v>
      </c>
      <c r="M603" s="1" t="s">
        <v>234</v>
      </c>
      <c r="N603" s="1" t="s">
        <v>235</v>
      </c>
    </row>
    <row r="604" spans="1:14" x14ac:dyDescent="0.25">
      <c r="A604" s="1" t="s">
        <v>599</v>
      </c>
      <c r="B604" s="1" t="s">
        <v>507</v>
      </c>
      <c r="C604" s="1" t="s">
        <v>80</v>
      </c>
      <c r="D604" s="2"/>
      <c r="E604" s="1" t="s">
        <v>207</v>
      </c>
      <c r="F604" s="1"/>
      <c r="G604" s="1" t="s">
        <v>35</v>
      </c>
      <c r="H604" s="2"/>
      <c r="I604">
        <v>1</v>
      </c>
      <c r="J604" s="1" t="s">
        <v>234</v>
      </c>
      <c r="K604" s="1" t="s">
        <v>879</v>
      </c>
      <c r="M604" s="1" t="s">
        <v>234</v>
      </c>
      <c r="N604" s="1" t="s">
        <v>235</v>
      </c>
    </row>
    <row r="605" spans="1:14" x14ac:dyDescent="0.25">
      <c r="A605" s="1" t="s">
        <v>600</v>
      </c>
      <c r="B605" s="1" t="s">
        <v>507</v>
      </c>
      <c r="C605" s="1" t="s">
        <v>80</v>
      </c>
      <c r="D605" s="2"/>
      <c r="E605" s="1" t="s">
        <v>207</v>
      </c>
      <c r="F605" s="1"/>
      <c r="G605" s="1" t="s">
        <v>35</v>
      </c>
      <c r="H605" s="2"/>
      <c r="I605">
        <v>1</v>
      </c>
      <c r="J605" s="1" t="s">
        <v>234</v>
      </c>
      <c r="K605" s="1" t="s">
        <v>879</v>
      </c>
      <c r="M605" s="1" t="s">
        <v>234</v>
      </c>
      <c r="N605" s="1" t="s">
        <v>235</v>
      </c>
    </row>
    <row r="606" spans="1:14" x14ac:dyDescent="0.25">
      <c r="A606" s="1" t="s">
        <v>601</v>
      </c>
      <c r="B606" s="1" t="s">
        <v>507</v>
      </c>
      <c r="C606" s="1" t="s">
        <v>80</v>
      </c>
      <c r="D606" s="2"/>
      <c r="E606" s="1" t="s">
        <v>207</v>
      </c>
      <c r="F606" s="1"/>
      <c r="G606" s="1" t="s">
        <v>35</v>
      </c>
      <c r="H606" s="2"/>
      <c r="I606">
        <v>1</v>
      </c>
      <c r="J606" s="1" t="s">
        <v>234</v>
      </c>
      <c r="K606" s="1" t="s">
        <v>879</v>
      </c>
      <c r="M606" s="1" t="s">
        <v>234</v>
      </c>
      <c r="N606" s="1" t="s">
        <v>235</v>
      </c>
    </row>
    <row r="607" spans="1:14" x14ac:dyDescent="0.25">
      <c r="A607" s="1" t="s">
        <v>602</v>
      </c>
      <c r="B607" s="1" t="s">
        <v>507</v>
      </c>
      <c r="C607" s="1" t="s">
        <v>80</v>
      </c>
      <c r="D607" s="2"/>
      <c r="E607" s="1" t="s">
        <v>207</v>
      </c>
      <c r="F607" s="1"/>
      <c r="G607" s="1" t="s">
        <v>35</v>
      </c>
      <c r="H607" s="2"/>
      <c r="I607">
        <v>1</v>
      </c>
      <c r="J607" s="1" t="s">
        <v>234</v>
      </c>
      <c r="K607" s="1" t="s">
        <v>879</v>
      </c>
      <c r="M607" s="1" t="s">
        <v>234</v>
      </c>
      <c r="N607" s="1" t="s">
        <v>235</v>
      </c>
    </row>
    <row r="608" spans="1:14" x14ac:dyDescent="0.25">
      <c r="A608" s="1" t="s">
        <v>603</v>
      </c>
      <c r="B608" s="1" t="s">
        <v>507</v>
      </c>
      <c r="C608" s="1" t="s">
        <v>80</v>
      </c>
      <c r="D608" s="2"/>
      <c r="E608" s="1" t="s">
        <v>207</v>
      </c>
      <c r="F608" s="1"/>
      <c r="G608" s="1" t="s">
        <v>35</v>
      </c>
      <c r="H608" s="2"/>
      <c r="I608">
        <v>1</v>
      </c>
      <c r="J608" s="1" t="s">
        <v>234</v>
      </c>
      <c r="K608" s="1" t="s">
        <v>879</v>
      </c>
      <c r="M608" s="1" t="s">
        <v>234</v>
      </c>
      <c r="N608" s="1" t="s">
        <v>235</v>
      </c>
    </row>
    <row r="609" spans="1:14" x14ac:dyDescent="0.25">
      <c r="A609" s="1" t="s">
        <v>604</v>
      </c>
      <c r="B609" s="1" t="s">
        <v>507</v>
      </c>
      <c r="C609" s="1" t="s">
        <v>80</v>
      </c>
      <c r="D609" s="2"/>
      <c r="E609" s="1" t="s">
        <v>207</v>
      </c>
      <c r="F609" s="1"/>
      <c r="G609" s="1" t="s">
        <v>35</v>
      </c>
      <c r="H609" s="2"/>
      <c r="I609">
        <v>1</v>
      </c>
      <c r="J609" s="1" t="s">
        <v>234</v>
      </c>
      <c r="K609" s="1" t="s">
        <v>879</v>
      </c>
      <c r="M609" s="1" t="s">
        <v>234</v>
      </c>
      <c r="N609" s="1" t="s">
        <v>235</v>
      </c>
    </row>
    <row r="610" spans="1:14" x14ac:dyDescent="0.25">
      <c r="A610" s="1" t="s">
        <v>605</v>
      </c>
      <c r="B610" s="1" t="s">
        <v>507</v>
      </c>
      <c r="C610" s="1" t="s">
        <v>80</v>
      </c>
      <c r="D610" s="2"/>
      <c r="E610" s="1" t="s">
        <v>207</v>
      </c>
      <c r="F610" s="1"/>
      <c r="G610" s="1" t="s">
        <v>35</v>
      </c>
      <c r="H610" s="2"/>
      <c r="I610">
        <v>1</v>
      </c>
      <c r="J610" s="1" t="s">
        <v>234</v>
      </c>
      <c r="K610" s="1" t="s">
        <v>879</v>
      </c>
      <c r="M610" s="1" t="s">
        <v>234</v>
      </c>
      <c r="N610" s="1" t="s">
        <v>235</v>
      </c>
    </row>
    <row r="611" spans="1:14" x14ac:dyDescent="0.25">
      <c r="A611" s="1" t="s">
        <v>606</v>
      </c>
      <c r="B611" s="1" t="s">
        <v>507</v>
      </c>
      <c r="C611" s="1" t="s">
        <v>80</v>
      </c>
      <c r="D611" s="2"/>
      <c r="E611" s="1" t="s">
        <v>207</v>
      </c>
      <c r="F611" s="1"/>
      <c r="G611" s="1" t="s">
        <v>35</v>
      </c>
      <c r="H611" s="2"/>
      <c r="I611">
        <v>1</v>
      </c>
      <c r="J611" s="1" t="s">
        <v>234</v>
      </c>
      <c r="K611" s="1" t="s">
        <v>879</v>
      </c>
      <c r="M611" s="1" t="s">
        <v>234</v>
      </c>
      <c r="N611" s="1" t="s">
        <v>235</v>
      </c>
    </row>
    <row r="612" spans="1:14" x14ac:dyDescent="0.25">
      <c r="A612" s="1" t="s">
        <v>607</v>
      </c>
      <c r="B612" s="1" t="s">
        <v>507</v>
      </c>
      <c r="C612" s="1" t="s">
        <v>80</v>
      </c>
      <c r="D612" s="2"/>
      <c r="E612" s="1" t="s">
        <v>207</v>
      </c>
      <c r="F612" s="1"/>
      <c r="G612" s="1" t="s">
        <v>35</v>
      </c>
      <c r="H612" s="2"/>
      <c r="I612">
        <v>1</v>
      </c>
      <c r="J612" s="1" t="s">
        <v>234</v>
      </c>
      <c r="K612" s="1" t="s">
        <v>879</v>
      </c>
      <c r="M612" s="1" t="s">
        <v>234</v>
      </c>
      <c r="N612" s="1" t="s">
        <v>235</v>
      </c>
    </row>
    <row r="613" spans="1:14" x14ac:dyDescent="0.25">
      <c r="A613" s="1" t="s">
        <v>608</v>
      </c>
      <c r="B613" s="1" t="s">
        <v>507</v>
      </c>
      <c r="C613" s="1" t="s">
        <v>80</v>
      </c>
      <c r="D613" s="2"/>
      <c r="E613" s="1" t="s">
        <v>207</v>
      </c>
      <c r="F613" s="1"/>
      <c r="G613" s="1" t="s">
        <v>35</v>
      </c>
      <c r="H613" s="2"/>
      <c r="I613">
        <v>1</v>
      </c>
      <c r="J613" s="1" t="s">
        <v>234</v>
      </c>
      <c r="K613" s="1" t="s">
        <v>879</v>
      </c>
      <c r="M613" s="1" t="s">
        <v>234</v>
      </c>
      <c r="N613" s="1" t="s">
        <v>235</v>
      </c>
    </row>
    <row r="614" spans="1:14" x14ac:dyDescent="0.25">
      <c r="A614" s="1" t="s">
        <v>609</v>
      </c>
      <c r="B614" s="1" t="s">
        <v>507</v>
      </c>
      <c r="C614" s="1" t="s">
        <v>80</v>
      </c>
      <c r="D614" s="2"/>
      <c r="E614" s="1" t="s">
        <v>207</v>
      </c>
      <c r="F614" s="1"/>
      <c r="G614" s="1" t="s">
        <v>35</v>
      </c>
      <c r="H614" s="2"/>
      <c r="I614">
        <v>1</v>
      </c>
      <c r="J614" s="1" t="s">
        <v>234</v>
      </c>
      <c r="K614" s="1" t="s">
        <v>879</v>
      </c>
      <c r="M614" s="1" t="s">
        <v>234</v>
      </c>
      <c r="N614" s="1" t="s">
        <v>235</v>
      </c>
    </row>
    <row r="615" spans="1:14" x14ac:dyDescent="0.25">
      <c r="A615" s="1" t="s">
        <v>610</v>
      </c>
      <c r="B615" s="1" t="s">
        <v>507</v>
      </c>
      <c r="C615" s="1" t="s">
        <v>80</v>
      </c>
      <c r="D615" s="2"/>
      <c r="E615" s="1" t="s">
        <v>207</v>
      </c>
      <c r="F615" s="1"/>
      <c r="G615" s="1" t="s">
        <v>35</v>
      </c>
      <c r="H615" s="2"/>
      <c r="I615">
        <v>1</v>
      </c>
      <c r="J615" s="1" t="s">
        <v>234</v>
      </c>
      <c r="K615" s="1" t="s">
        <v>879</v>
      </c>
      <c r="M615" s="1" t="s">
        <v>234</v>
      </c>
      <c r="N615" s="1" t="s">
        <v>235</v>
      </c>
    </row>
    <row r="616" spans="1:14" x14ac:dyDescent="0.25">
      <c r="A616" s="1" t="s">
        <v>611</v>
      </c>
      <c r="B616" s="1" t="s">
        <v>507</v>
      </c>
      <c r="C616" s="1" t="s">
        <v>80</v>
      </c>
      <c r="D616" s="2"/>
      <c r="E616" s="1" t="s">
        <v>207</v>
      </c>
      <c r="F616" s="1"/>
      <c r="G616" s="1" t="s">
        <v>35</v>
      </c>
      <c r="H616" s="2"/>
      <c r="I616">
        <v>1</v>
      </c>
      <c r="J616" s="1" t="s">
        <v>234</v>
      </c>
      <c r="K616" s="1" t="s">
        <v>879</v>
      </c>
      <c r="M616" s="1" t="s">
        <v>234</v>
      </c>
      <c r="N616" s="1" t="s">
        <v>235</v>
      </c>
    </row>
    <row r="617" spans="1:14" x14ac:dyDescent="0.25">
      <c r="A617" s="1" t="s">
        <v>612</v>
      </c>
      <c r="B617" s="1" t="s">
        <v>507</v>
      </c>
      <c r="C617" s="1" t="s">
        <v>80</v>
      </c>
      <c r="D617" s="2"/>
      <c r="E617" s="1" t="s">
        <v>207</v>
      </c>
      <c r="F617" s="1"/>
      <c r="G617" s="1" t="s">
        <v>35</v>
      </c>
      <c r="H617" s="2"/>
      <c r="I617">
        <v>1</v>
      </c>
      <c r="J617" s="1" t="s">
        <v>234</v>
      </c>
      <c r="K617" s="1" t="s">
        <v>879</v>
      </c>
      <c r="M617" s="1" t="s">
        <v>234</v>
      </c>
      <c r="N617" s="1" t="s">
        <v>235</v>
      </c>
    </row>
    <row r="618" spans="1:14" x14ac:dyDescent="0.25">
      <c r="A618" s="1" t="s">
        <v>613</v>
      </c>
      <c r="B618" s="1" t="s">
        <v>507</v>
      </c>
      <c r="C618" s="1" t="s">
        <v>80</v>
      </c>
      <c r="D618" s="2"/>
      <c r="E618" s="1" t="s">
        <v>207</v>
      </c>
      <c r="F618" s="1"/>
      <c r="G618" s="1" t="s">
        <v>35</v>
      </c>
      <c r="H618" s="2"/>
      <c r="I618">
        <v>1</v>
      </c>
      <c r="J618" s="1" t="s">
        <v>234</v>
      </c>
      <c r="K618" s="1" t="s">
        <v>879</v>
      </c>
      <c r="M618" s="1" t="s">
        <v>234</v>
      </c>
      <c r="N618" s="1" t="s">
        <v>235</v>
      </c>
    </row>
    <row r="619" spans="1:14" x14ac:dyDescent="0.25">
      <c r="A619" s="1" t="s">
        <v>614</v>
      </c>
      <c r="B619" s="1" t="s">
        <v>507</v>
      </c>
      <c r="C619" s="1" t="s">
        <v>80</v>
      </c>
      <c r="D619" s="2"/>
      <c r="E619" s="1" t="s">
        <v>207</v>
      </c>
      <c r="F619" s="1"/>
      <c r="G619" s="1" t="s">
        <v>35</v>
      </c>
      <c r="H619" s="2"/>
      <c r="I619">
        <v>1</v>
      </c>
      <c r="J619" s="1" t="s">
        <v>234</v>
      </c>
      <c r="K619" s="1" t="s">
        <v>879</v>
      </c>
      <c r="M619" s="1" t="s">
        <v>234</v>
      </c>
      <c r="N619" s="1" t="s">
        <v>235</v>
      </c>
    </row>
    <row r="620" spans="1:14" x14ac:dyDescent="0.25">
      <c r="A620" s="1" t="s">
        <v>615</v>
      </c>
      <c r="B620" s="1" t="s">
        <v>507</v>
      </c>
      <c r="C620" s="1" t="s">
        <v>80</v>
      </c>
      <c r="D620" s="2"/>
      <c r="E620" s="1" t="s">
        <v>207</v>
      </c>
      <c r="F620" s="1"/>
      <c r="G620" s="1" t="s">
        <v>35</v>
      </c>
      <c r="H620" s="2"/>
      <c r="I620">
        <v>1</v>
      </c>
      <c r="J620" s="1" t="s">
        <v>234</v>
      </c>
      <c r="K620" s="1" t="s">
        <v>879</v>
      </c>
      <c r="M620" s="1" t="s">
        <v>234</v>
      </c>
      <c r="N620" s="1" t="s">
        <v>235</v>
      </c>
    </row>
    <row r="621" spans="1:14" x14ac:dyDescent="0.25">
      <c r="A621" s="1" t="s">
        <v>616</v>
      </c>
      <c r="B621" s="1" t="s">
        <v>507</v>
      </c>
      <c r="C621" s="1" t="s">
        <v>80</v>
      </c>
      <c r="D621" s="2"/>
      <c r="E621" s="1" t="s">
        <v>207</v>
      </c>
      <c r="F621" s="1"/>
      <c r="G621" s="1" t="s">
        <v>35</v>
      </c>
      <c r="H621" s="2"/>
      <c r="I621">
        <v>1</v>
      </c>
      <c r="J621" s="1" t="s">
        <v>234</v>
      </c>
      <c r="K621" s="1" t="s">
        <v>879</v>
      </c>
      <c r="M621" s="1" t="s">
        <v>234</v>
      </c>
      <c r="N621" s="1" t="s">
        <v>235</v>
      </c>
    </row>
    <row r="622" spans="1:14" x14ac:dyDescent="0.25">
      <c r="A622" s="1" t="s">
        <v>617</v>
      </c>
      <c r="B622" s="1" t="s">
        <v>618</v>
      </c>
      <c r="C622" s="1" t="s">
        <v>80</v>
      </c>
      <c r="D622" s="2"/>
      <c r="E622" s="1" t="s">
        <v>207</v>
      </c>
      <c r="F622" s="1"/>
      <c r="G622" s="1" t="s">
        <v>35</v>
      </c>
      <c r="H622" s="2"/>
      <c r="I622">
        <v>1</v>
      </c>
      <c r="J622" s="1" t="s">
        <v>234</v>
      </c>
      <c r="K622" s="1" t="s">
        <v>879</v>
      </c>
      <c r="M622" s="1" t="s">
        <v>234</v>
      </c>
      <c r="N622" s="1" t="s">
        <v>235</v>
      </c>
    </row>
    <row r="623" spans="1:14" x14ac:dyDescent="0.25">
      <c r="A623" s="1" t="s">
        <v>619</v>
      </c>
      <c r="B623" s="1" t="s">
        <v>618</v>
      </c>
      <c r="C623" s="1" t="s">
        <v>80</v>
      </c>
      <c r="D623" s="2"/>
      <c r="E623" s="1" t="s">
        <v>207</v>
      </c>
      <c r="F623" s="1"/>
      <c r="G623" s="1" t="s">
        <v>35</v>
      </c>
      <c r="H623" s="2"/>
      <c r="I623">
        <v>1</v>
      </c>
      <c r="J623" s="1" t="s">
        <v>234</v>
      </c>
      <c r="K623" s="1" t="s">
        <v>879</v>
      </c>
      <c r="M623" s="1" t="s">
        <v>234</v>
      </c>
      <c r="N623" s="1" t="s">
        <v>235</v>
      </c>
    </row>
    <row r="624" spans="1:14" x14ac:dyDescent="0.25">
      <c r="A624" s="1" t="s">
        <v>620</v>
      </c>
      <c r="B624" s="1" t="s">
        <v>618</v>
      </c>
      <c r="C624" s="1" t="s">
        <v>80</v>
      </c>
      <c r="D624" s="2"/>
      <c r="E624" s="1" t="s">
        <v>207</v>
      </c>
      <c r="F624" s="1"/>
      <c r="G624" s="1" t="s">
        <v>35</v>
      </c>
      <c r="H624" s="2"/>
      <c r="I624">
        <v>1</v>
      </c>
      <c r="J624" s="1" t="s">
        <v>234</v>
      </c>
      <c r="K624" s="1" t="s">
        <v>879</v>
      </c>
      <c r="M624" s="1" t="s">
        <v>234</v>
      </c>
      <c r="N624" s="1" t="s">
        <v>235</v>
      </c>
    </row>
    <row r="625" spans="1:14" x14ac:dyDescent="0.25">
      <c r="A625" s="1" t="s">
        <v>621</v>
      </c>
      <c r="B625" s="1" t="s">
        <v>618</v>
      </c>
      <c r="C625" s="1" t="s">
        <v>80</v>
      </c>
      <c r="D625" s="2"/>
      <c r="E625" s="1" t="s">
        <v>207</v>
      </c>
      <c r="F625" s="1"/>
      <c r="G625" s="1" t="s">
        <v>35</v>
      </c>
      <c r="H625" s="2"/>
      <c r="I625">
        <v>1</v>
      </c>
      <c r="J625" s="1" t="s">
        <v>234</v>
      </c>
      <c r="K625" s="1" t="s">
        <v>879</v>
      </c>
      <c r="M625" s="1" t="s">
        <v>234</v>
      </c>
      <c r="N625" s="1" t="s">
        <v>235</v>
      </c>
    </row>
    <row r="626" spans="1:14" x14ac:dyDescent="0.25">
      <c r="A626" s="1" t="s">
        <v>622</v>
      </c>
      <c r="B626" s="1" t="s">
        <v>618</v>
      </c>
      <c r="C626" s="1" t="s">
        <v>80</v>
      </c>
      <c r="D626" s="2"/>
      <c r="E626" s="1" t="s">
        <v>207</v>
      </c>
      <c r="F626" s="1"/>
      <c r="G626" s="1" t="s">
        <v>35</v>
      </c>
      <c r="H626" s="2"/>
      <c r="I626">
        <v>1</v>
      </c>
      <c r="J626" s="1" t="s">
        <v>234</v>
      </c>
      <c r="K626" s="1" t="s">
        <v>879</v>
      </c>
      <c r="M626" s="1" t="s">
        <v>234</v>
      </c>
      <c r="N626" s="1" t="s">
        <v>235</v>
      </c>
    </row>
    <row r="627" spans="1:14" x14ac:dyDescent="0.25">
      <c r="A627" s="1" t="s">
        <v>623</v>
      </c>
      <c r="B627" s="1" t="s">
        <v>618</v>
      </c>
      <c r="C627" s="1" t="s">
        <v>80</v>
      </c>
      <c r="D627" s="2"/>
      <c r="E627" s="1" t="s">
        <v>207</v>
      </c>
      <c r="F627" s="1"/>
      <c r="G627" s="1" t="s">
        <v>35</v>
      </c>
      <c r="H627" s="2"/>
      <c r="I627">
        <v>1</v>
      </c>
      <c r="J627" s="1" t="s">
        <v>234</v>
      </c>
      <c r="K627" s="1" t="s">
        <v>879</v>
      </c>
      <c r="M627" s="1" t="s">
        <v>234</v>
      </c>
      <c r="N627" s="1" t="s">
        <v>235</v>
      </c>
    </row>
    <row r="628" spans="1:14" x14ac:dyDescent="0.25">
      <c r="A628" s="1" t="s">
        <v>624</v>
      </c>
      <c r="B628" s="1" t="s">
        <v>618</v>
      </c>
      <c r="C628" s="1" t="s">
        <v>80</v>
      </c>
      <c r="D628" s="2"/>
      <c r="E628" s="1" t="s">
        <v>207</v>
      </c>
      <c r="F628" s="1"/>
      <c r="G628" s="1" t="s">
        <v>35</v>
      </c>
      <c r="H628" s="2"/>
      <c r="I628">
        <v>1</v>
      </c>
      <c r="J628" s="1" t="s">
        <v>234</v>
      </c>
      <c r="K628" s="1" t="s">
        <v>879</v>
      </c>
      <c r="M628" s="1" t="s">
        <v>234</v>
      </c>
      <c r="N628" s="1" t="s">
        <v>235</v>
      </c>
    </row>
    <row r="629" spans="1:14" x14ac:dyDescent="0.25">
      <c r="A629" s="1" t="s">
        <v>625</v>
      </c>
      <c r="B629" s="1" t="s">
        <v>618</v>
      </c>
      <c r="C629" s="1" t="s">
        <v>80</v>
      </c>
      <c r="D629" s="2"/>
      <c r="E629" s="1" t="s">
        <v>207</v>
      </c>
      <c r="F629" s="1"/>
      <c r="G629" s="1" t="s">
        <v>35</v>
      </c>
      <c r="H629" s="2"/>
      <c r="I629">
        <v>1</v>
      </c>
      <c r="J629" s="1" t="s">
        <v>234</v>
      </c>
      <c r="K629" s="1" t="s">
        <v>879</v>
      </c>
      <c r="M629" s="1" t="s">
        <v>234</v>
      </c>
      <c r="N629" s="1" t="s">
        <v>235</v>
      </c>
    </row>
    <row r="630" spans="1:14" x14ac:dyDescent="0.25">
      <c r="A630" s="1" t="s">
        <v>626</v>
      </c>
      <c r="B630" s="1" t="s">
        <v>618</v>
      </c>
      <c r="C630" s="1" t="s">
        <v>80</v>
      </c>
      <c r="D630" s="2"/>
      <c r="E630" s="1" t="s">
        <v>207</v>
      </c>
      <c r="F630" s="1"/>
      <c r="G630" s="1" t="s">
        <v>35</v>
      </c>
      <c r="H630" s="2"/>
      <c r="I630">
        <v>1</v>
      </c>
      <c r="J630" s="1" t="s">
        <v>234</v>
      </c>
      <c r="K630" s="1" t="s">
        <v>879</v>
      </c>
      <c r="M630" s="1" t="s">
        <v>234</v>
      </c>
      <c r="N630" s="1" t="s">
        <v>235</v>
      </c>
    </row>
    <row r="631" spans="1:14" x14ac:dyDescent="0.25">
      <c r="A631" s="1" t="s">
        <v>627</v>
      </c>
      <c r="B631" s="1" t="s">
        <v>618</v>
      </c>
      <c r="C631" s="1" t="s">
        <v>80</v>
      </c>
      <c r="D631" s="2"/>
      <c r="E631" s="1" t="s">
        <v>207</v>
      </c>
      <c r="F631" s="1"/>
      <c r="G631" s="1" t="s">
        <v>35</v>
      </c>
      <c r="H631" s="2"/>
      <c r="I631">
        <v>1</v>
      </c>
      <c r="J631" s="1" t="s">
        <v>234</v>
      </c>
      <c r="K631" s="1" t="s">
        <v>879</v>
      </c>
      <c r="M631" s="1" t="s">
        <v>234</v>
      </c>
      <c r="N631" s="1" t="s">
        <v>235</v>
      </c>
    </row>
    <row r="632" spans="1:14" x14ac:dyDescent="0.25">
      <c r="A632" s="1" t="s">
        <v>628</v>
      </c>
      <c r="B632" s="1" t="s">
        <v>618</v>
      </c>
      <c r="C632" s="1" t="s">
        <v>80</v>
      </c>
      <c r="D632" s="2"/>
      <c r="E632" s="1" t="s">
        <v>207</v>
      </c>
      <c r="F632" s="1"/>
      <c r="G632" s="1" t="s">
        <v>35</v>
      </c>
      <c r="H632" s="2"/>
      <c r="I632">
        <v>1</v>
      </c>
      <c r="J632" s="1" t="s">
        <v>234</v>
      </c>
      <c r="K632" s="1" t="s">
        <v>879</v>
      </c>
      <c r="M632" s="1" t="s">
        <v>234</v>
      </c>
      <c r="N632" s="1" t="s">
        <v>235</v>
      </c>
    </row>
    <row r="633" spans="1:14" x14ac:dyDescent="0.25">
      <c r="A633" s="1" t="s">
        <v>629</v>
      </c>
      <c r="B633" s="1" t="s">
        <v>618</v>
      </c>
      <c r="C633" s="1" t="s">
        <v>80</v>
      </c>
      <c r="D633" s="2"/>
      <c r="E633" s="1" t="s">
        <v>207</v>
      </c>
      <c r="F633" s="1"/>
      <c r="G633" s="1" t="s">
        <v>35</v>
      </c>
      <c r="H633" s="2"/>
      <c r="I633">
        <v>1</v>
      </c>
      <c r="J633" s="1" t="s">
        <v>234</v>
      </c>
      <c r="K633" s="1" t="s">
        <v>879</v>
      </c>
      <c r="M633" s="1" t="s">
        <v>234</v>
      </c>
      <c r="N633" s="1" t="s">
        <v>235</v>
      </c>
    </row>
    <row r="634" spans="1:14" x14ac:dyDescent="0.25">
      <c r="A634" s="1" t="s">
        <v>630</v>
      </c>
      <c r="B634" s="1" t="s">
        <v>618</v>
      </c>
      <c r="C634" s="1" t="s">
        <v>80</v>
      </c>
      <c r="D634" s="2"/>
      <c r="E634" s="1" t="s">
        <v>207</v>
      </c>
      <c r="F634" s="1"/>
      <c r="G634" s="1" t="s">
        <v>35</v>
      </c>
      <c r="H634" s="2"/>
      <c r="I634">
        <v>1</v>
      </c>
      <c r="J634" s="1" t="s">
        <v>234</v>
      </c>
      <c r="K634" s="1" t="s">
        <v>879</v>
      </c>
      <c r="M634" s="1" t="s">
        <v>234</v>
      </c>
      <c r="N634" s="1" t="s">
        <v>235</v>
      </c>
    </row>
    <row r="635" spans="1:14" x14ac:dyDescent="0.25">
      <c r="A635" s="1" t="s">
        <v>631</v>
      </c>
      <c r="B635" s="1" t="s">
        <v>618</v>
      </c>
      <c r="C635" s="1" t="s">
        <v>80</v>
      </c>
      <c r="D635" s="2"/>
      <c r="E635" s="1" t="s">
        <v>207</v>
      </c>
      <c r="F635" s="1"/>
      <c r="G635" s="1" t="s">
        <v>35</v>
      </c>
      <c r="H635" s="2"/>
      <c r="I635">
        <v>1</v>
      </c>
      <c r="J635" s="1" t="s">
        <v>234</v>
      </c>
      <c r="K635" s="1" t="s">
        <v>879</v>
      </c>
      <c r="M635" s="1" t="s">
        <v>234</v>
      </c>
      <c r="N635" s="1" t="s">
        <v>235</v>
      </c>
    </row>
    <row r="636" spans="1:14" x14ac:dyDescent="0.25">
      <c r="A636" s="1" t="s">
        <v>632</v>
      </c>
      <c r="B636" s="1" t="s">
        <v>618</v>
      </c>
      <c r="C636" s="1" t="s">
        <v>80</v>
      </c>
      <c r="D636" s="2"/>
      <c r="E636" s="1" t="s">
        <v>207</v>
      </c>
      <c r="F636" s="1"/>
      <c r="G636" s="1" t="s">
        <v>35</v>
      </c>
      <c r="H636" s="2"/>
      <c r="I636">
        <v>1</v>
      </c>
      <c r="J636" s="1" t="s">
        <v>234</v>
      </c>
      <c r="K636" s="1" t="s">
        <v>879</v>
      </c>
      <c r="M636" s="1" t="s">
        <v>234</v>
      </c>
      <c r="N636" s="1" t="s">
        <v>235</v>
      </c>
    </row>
    <row r="637" spans="1:14" x14ac:dyDescent="0.25">
      <c r="A637" s="1" t="s">
        <v>633</v>
      </c>
      <c r="B637" s="1" t="s">
        <v>618</v>
      </c>
      <c r="C637" s="1" t="s">
        <v>80</v>
      </c>
      <c r="D637" s="2"/>
      <c r="E637" s="1" t="s">
        <v>207</v>
      </c>
      <c r="F637" s="1"/>
      <c r="G637" s="1" t="s">
        <v>35</v>
      </c>
      <c r="H637" s="2"/>
      <c r="I637">
        <v>1</v>
      </c>
      <c r="J637" s="1" t="s">
        <v>234</v>
      </c>
      <c r="K637" s="1" t="s">
        <v>879</v>
      </c>
      <c r="M637" s="1" t="s">
        <v>234</v>
      </c>
      <c r="N637" s="1" t="s">
        <v>235</v>
      </c>
    </row>
    <row r="638" spans="1:14" x14ac:dyDescent="0.25">
      <c r="A638" s="1" t="s">
        <v>634</v>
      </c>
      <c r="B638" s="1" t="s">
        <v>618</v>
      </c>
      <c r="C638" s="1" t="s">
        <v>80</v>
      </c>
      <c r="D638" s="2"/>
      <c r="E638" s="1" t="s">
        <v>207</v>
      </c>
      <c r="F638" s="1"/>
      <c r="G638" s="1" t="s">
        <v>35</v>
      </c>
      <c r="H638" s="2"/>
      <c r="I638">
        <v>1</v>
      </c>
      <c r="J638" s="1" t="s">
        <v>234</v>
      </c>
      <c r="K638" s="1" t="s">
        <v>879</v>
      </c>
      <c r="M638" s="1" t="s">
        <v>234</v>
      </c>
      <c r="N638" s="1" t="s">
        <v>235</v>
      </c>
    </row>
    <row r="639" spans="1:14" x14ac:dyDescent="0.25">
      <c r="A639" s="1" t="s">
        <v>635</v>
      </c>
      <c r="B639" s="1" t="s">
        <v>618</v>
      </c>
      <c r="C639" s="1" t="s">
        <v>80</v>
      </c>
      <c r="D639" s="2"/>
      <c r="E639" s="1" t="s">
        <v>207</v>
      </c>
      <c r="F639" s="1"/>
      <c r="G639" s="1" t="s">
        <v>35</v>
      </c>
      <c r="H639" s="2"/>
      <c r="I639">
        <v>1</v>
      </c>
      <c r="J639" s="1" t="s">
        <v>234</v>
      </c>
      <c r="K639" s="1" t="s">
        <v>879</v>
      </c>
      <c r="M639" s="1" t="s">
        <v>234</v>
      </c>
      <c r="N639" s="1" t="s">
        <v>235</v>
      </c>
    </row>
    <row r="640" spans="1:14" x14ac:dyDescent="0.25">
      <c r="A640" s="1" t="s">
        <v>636</v>
      </c>
      <c r="B640" s="1" t="s">
        <v>618</v>
      </c>
      <c r="C640" s="1" t="s">
        <v>80</v>
      </c>
      <c r="D640" s="2"/>
      <c r="E640" s="1" t="s">
        <v>207</v>
      </c>
      <c r="F640" s="1"/>
      <c r="G640" s="1" t="s">
        <v>35</v>
      </c>
      <c r="H640" s="2"/>
      <c r="I640">
        <v>1</v>
      </c>
      <c r="J640" s="1" t="s">
        <v>234</v>
      </c>
      <c r="K640" s="1" t="s">
        <v>879</v>
      </c>
      <c r="M640" s="1" t="s">
        <v>234</v>
      </c>
      <c r="N640" s="1" t="s">
        <v>235</v>
      </c>
    </row>
    <row r="641" spans="1:14" x14ac:dyDescent="0.25">
      <c r="A641" s="1" t="s">
        <v>637</v>
      </c>
      <c r="B641" s="1" t="s">
        <v>618</v>
      </c>
      <c r="C641" s="1" t="s">
        <v>80</v>
      </c>
      <c r="D641" s="2"/>
      <c r="E641" s="1" t="s">
        <v>207</v>
      </c>
      <c r="F641" s="1"/>
      <c r="G641" s="1" t="s">
        <v>35</v>
      </c>
      <c r="H641" s="2"/>
      <c r="I641">
        <v>1</v>
      </c>
      <c r="J641" s="1" t="s">
        <v>234</v>
      </c>
      <c r="K641" s="1" t="s">
        <v>879</v>
      </c>
      <c r="M641" s="1" t="s">
        <v>234</v>
      </c>
      <c r="N641" s="1" t="s">
        <v>235</v>
      </c>
    </row>
    <row r="642" spans="1:14" x14ac:dyDescent="0.25">
      <c r="A642" s="1" t="s">
        <v>638</v>
      </c>
      <c r="B642" s="1" t="s">
        <v>618</v>
      </c>
      <c r="C642" s="1" t="s">
        <v>80</v>
      </c>
      <c r="D642" s="2"/>
      <c r="E642" s="1" t="s">
        <v>207</v>
      </c>
      <c r="F642" s="1"/>
      <c r="G642" s="1" t="s">
        <v>35</v>
      </c>
      <c r="H642" s="2"/>
      <c r="I642">
        <v>1</v>
      </c>
      <c r="J642" s="1" t="s">
        <v>234</v>
      </c>
      <c r="K642" s="1" t="s">
        <v>879</v>
      </c>
      <c r="M642" s="1" t="s">
        <v>234</v>
      </c>
      <c r="N642" s="1" t="s">
        <v>235</v>
      </c>
    </row>
    <row r="643" spans="1:14" x14ac:dyDescent="0.25">
      <c r="A643" s="1" t="s">
        <v>639</v>
      </c>
      <c r="B643" s="1" t="s">
        <v>618</v>
      </c>
      <c r="C643" s="1" t="s">
        <v>80</v>
      </c>
      <c r="D643" s="2"/>
      <c r="E643" s="1" t="s">
        <v>207</v>
      </c>
      <c r="F643" s="1"/>
      <c r="G643" s="1" t="s">
        <v>35</v>
      </c>
      <c r="H643" s="2"/>
      <c r="I643">
        <v>1</v>
      </c>
      <c r="J643" s="1" t="s">
        <v>234</v>
      </c>
      <c r="K643" s="1" t="s">
        <v>879</v>
      </c>
      <c r="M643" s="1" t="s">
        <v>234</v>
      </c>
      <c r="N643" s="1" t="s">
        <v>235</v>
      </c>
    </row>
    <row r="644" spans="1:14" x14ac:dyDescent="0.25">
      <c r="A644" s="1" t="s">
        <v>640</v>
      </c>
      <c r="B644" s="1" t="s">
        <v>618</v>
      </c>
      <c r="C644" s="1" t="s">
        <v>80</v>
      </c>
      <c r="D644" s="2"/>
      <c r="E644" s="1" t="s">
        <v>207</v>
      </c>
      <c r="F644" s="1"/>
      <c r="G644" s="1" t="s">
        <v>35</v>
      </c>
      <c r="H644" s="2"/>
      <c r="I644">
        <v>1</v>
      </c>
      <c r="J644" s="1" t="s">
        <v>234</v>
      </c>
      <c r="K644" s="1" t="s">
        <v>879</v>
      </c>
      <c r="M644" s="1" t="s">
        <v>234</v>
      </c>
      <c r="N644" s="1" t="s">
        <v>235</v>
      </c>
    </row>
    <row r="645" spans="1:14" x14ac:dyDescent="0.25">
      <c r="A645" s="1" t="s">
        <v>641</v>
      </c>
      <c r="B645" s="1" t="s">
        <v>618</v>
      </c>
      <c r="C645" s="1" t="s">
        <v>80</v>
      </c>
      <c r="D645" s="2"/>
      <c r="E645" s="1" t="s">
        <v>207</v>
      </c>
      <c r="F645" s="1"/>
      <c r="G645" s="1" t="s">
        <v>35</v>
      </c>
      <c r="H645" s="2"/>
      <c r="I645">
        <v>1</v>
      </c>
      <c r="J645" s="1" t="s">
        <v>234</v>
      </c>
      <c r="K645" s="1" t="s">
        <v>879</v>
      </c>
      <c r="M645" s="1" t="s">
        <v>234</v>
      </c>
      <c r="N645" s="1" t="s">
        <v>235</v>
      </c>
    </row>
    <row r="646" spans="1:14" x14ac:dyDescent="0.25">
      <c r="A646" s="1" t="s">
        <v>642</v>
      </c>
      <c r="B646" s="1" t="s">
        <v>618</v>
      </c>
      <c r="C646" s="1" t="s">
        <v>80</v>
      </c>
      <c r="D646" s="2"/>
      <c r="E646" s="1" t="s">
        <v>207</v>
      </c>
      <c r="F646" s="1"/>
      <c r="G646" s="1" t="s">
        <v>35</v>
      </c>
      <c r="H646" s="2"/>
      <c r="I646">
        <v>1</v>
      </c>
      <c r="J646" s="1" t="s">
        <v>234</v>
      </c>
      <c r="K646" s="1" t="s">
        <v>879</v>
      </c>
      <c r="M646" s="1" t="s">
        <v>234</v>
      </c>
      <c r="N646" s="1" t="s">
        <v>235</v>
      </c>
    </row>
    <row r="647" spans="1:14" x14ac:dyDescent="0.25">
      <c r="A647" s="1" t="s">
        <v>643</v>
      </c>
      <c r="B647" s="1" t="s">
        <v>618</v>
      </c>
      <c r="C647" s="1" t="s">
        <v>80</v>
      </c>
      <c r="D647" s="2"/>
      <c r="E647" s="1" t="s">
        <v>207</v>
      </c>
      <c r="F647" s="1"/>
      <c r="G647" s="1" t="s">
        <v>35</v>
      </c>
      <c r="H647" s="2"/>
      <c r="I647">
        <v>1</v>
      </c>
      <c r="J647" s="1" t="s">
        <v>234</v>
      </c>
      <c r="K647" s="1" t="s">
        <v>879</v>
      </c>
      <c r="M647" s="1" t="s">
        <v>234</v>
      </c>
      <c r="N647" s="1" t="s">
        <v>235</v>
      </c>
    </row>
    <row r="648" spans="1:14" x14ac:dyDescent="0.25">
      <c r="A648" s="1" t="s">
        <v>644</v>
      </c>
      <c r="B648" s="1" t="s">
        <v>618</v>
      </c>
      <c r="C648" s="1" t="s">
        <v>80</v>
      </c>
      <c r="D648" s="2"/>
      <c r="E648" s="1" t="s">
        <v>207</v>
      </c>
      <c r="F648" s="1"/>
      <c r="G648" s="1" t="s">
        <v>35</v>
      </c>
      <c r="H648" s="2"/>
      <c r="I648">
        <v>1</v>
      </c>
      <c r="J648" s="1" t="s">
        <v>234</v>
      </c>
      <c r="K648" s="1" t="s">
        <v>879</v>
      </c>
      <c r="M648" s="1" t="s">
        <v>234</v>
      </c>
      <c r="N648" s="1" t="s">
        <v>235</v>
      </c>
    </row>
    <row r="649" spans="1:14" x14ac:dyDescent="0.25">
      <c r="A649" s="1" t="s">
        <v>645</v>
      </c>
      <c r="B649" s="1" t="s">
        <v>618</v>
      </c>
      <c r="C649" s="1" t="s">
        <v>80</v>
      </c>
      <c r="D649" s="2"/>
      <c r="E649" s="1" t="s">
        <v>207</v>
      </c>
      <c r="F649" s="1"/>
      <c r="G649" s="1" t="s">
        <v>35</v>
      </c>
      <c r="H649" s="2"/>
      <c r="I649">
        <v>1</v>
      </c>
      <c r="J649" s="1" t="s">
        <v>234</v>
      </c>
      <c r="K649" s="1" t="s">
        <v>879</v>
      </c>
      <c r="M649" s="1" t="s">
        <v>234</v>
      </c>
      <c r="N649" s="1" t="s">
        <v>235</v>
      </c>
    </row>
    <row r="650" spans="1:14" x14ac:dyDescent="0.25">
      <c r="A650" s="1" t="s">
        <v>646</v>
      </c>
      <c r="B650" s="1" t="s">
        <v>618</v>
      </c>
      <c r="C650" s="1" t="s">
        <v>80</v>
      </c>
      <c r="D650" s="2"/>
      <c r="E650" s="1" t="s">
        <v>207</v>
      </c>
      <c r="F650" s="1"/>
      <c r="G650" s="1" t="s">
        <v>35</v>
      </c>
      <c r="H650" s="2"/>
      <c r="I650">
        <v>1</v>
      </c>
      <c r="J650" s="1" t="s">
        <v>234</v>
      </c>
      <c r="K650" s="1" t="s">
        <v>879</v>
      </c>
      <c r="M650" s="1" t="s">
        <v>234</v>
      </c>
      <c r="N650" s="1" t="s">
        <v>235</v>
      </c>
    </row>
    <row r="651" spans="1:14" x14ac:dyDescent="0.25">
      <c r="A651" s="1" t="s">
        <v>647</v>
      </c>
      <c r="B651" s="1" t="s">
        <v>618</v>
      </c>
      <c r="C651" s="1" t="s">
        <v>80</v>
      </c>
      <c r="D651" s="2"/>
      <c r="E651" s="1" t="s">
        <v>207</v>
      </c>
      <c r="F651" s="1"/>
      <c r="G651" s="1" t="s">
        <v>35</v>
      </c>
      <c r="H651" s="2"/>
      <c r="I651">
        <v>1</v>
      </c>
      <c r="J651" s="1" t="s">
        <v>234</v>
      </c>
      <c r="K651" s="1" t="s">
        <v>879</v>
      </c>
      <c r="M651" s="1" t="s">
        <v>234</v>
      </c>
      <c r="N651" s="1" t="s">
        <v>235</v>
      </c>
    </row>
    <row r="652" spans="1:14" x14ac:dyDescent="0.25">
      <c r="A652" s="1" t="s">
        <v>648</v>
      </c>
      <c r="B652" s="1" t="s">
        <v>618</v>
      </c>
      <c r="C652" s="1" t="s">
        <v>80</v>
      </c>
      <c r="D652" s="2"/>
      <c r="E652" s="1" t="s">
        <v>207</v>
      </c>
      <c r="F652" s="1"/>
      <c r="G652" s="1" t="s">
        <v>35</v>
      </c>
      <c r="H652" s="2"/>
      <c r="I652">
        <v>1</v>
      </c>
      <c r="J652" s="1" t="s">
        <v>234</v>
      </c>
      <c r="K652" s="1" t="s">
        <v>879</v>
      </c>
      <c r="M652" s="1" t="s">
        <v>234</v>
      </c>
      <c r="N652" s="1" t="s">
        <v>235</v>
      </c>
    </row>
    <row r="653" spans="1:14" x14ac:dyDescent="0.25">
      <c r="A653" s="1" t="s">
        <v>649</v>
      </c>
      <c r="B653" s="1" t="s">
        <v>618</v>
      </c>
      <c r="C653" s="1" t="s">
        <v>80</v>
      </c>
      <c r="D653" s="2"/>
      <c r="E653" s="1" t="s">
        <v>207</v>
      </c>
      <c r="F653" s="1"/>
      <c r="G653" s="1" t="s">
        <v>35</v>
      </c>
      <c r="H653" s="2"/>
      <c r="I653">
        <v>1</v>
      </c>
      <c r="J653" s="1" t="s">
        <v>234</v>
      </c>
      <c r="K653" s="1" t="s">
        <v>879</v>
      </c>
      <c r="M653" s="1" t="s">
        <v>234</v>
      </c>
      <c r="N653" s="1" t="s">
        <v>235</v>
      </c>
    </row>
    <row r="654" spans="1:14" x14ac:dyDescent="0.25">
      <c r="A654" s="1" t="s">
        <v>650</v>
      </c>
      <c r="B654" s="1" t="s">
        <v>618</v>
      </c>
      <c r="C654" s="1" t="s">
        <v>80</v>
      </c>
      <c r="D654" s="2"/>
      <c r="E654" s="1" t="s">
        <v>207</v>
      </c>
      <c r="F654" s="1"/>
      <c r="G654" s="1" t="s">
        <v>35</v>
      </c>
      <c r="H654" s="2"/>
      <c r="I654">
        <v>1</v>
      </c>
      <c r="J654" s="1" t="s">
        <v>234</v>
      </c>
      <c r="K654" s="1" t="s">
        <v>879</v>
      </c>
      <c r="M654" s="1" t="s">
        <v>234</v>
      </c>
      <c r="N654" s="1" t="s">
        <v>235</v>
      </c>
    </row>
    <row r="655" spans="1:14" x14ac:dyDescent="0.25">
      <c r="A655" s="1" t="s">
        <v>651</v>
      </c>
      <c r="B655" s="1" t="s">
        <v>618</v>
      </c>
      <c r="C655" s="1" t="s">
        <v>80</v>
      </c>
      <c r="D655" s="2"/>
      <c r="E655" s="1" t="s">
        <v>207</v>
      </c>
      <c r="F655" s="1"/>
      <c r="G655" s="1" t="s">
        <v>35</v>
      </c>
      <c r="H655" s="2"/>
      <c r="I655">
        <v>1</v>
      </c>
      <c r="J655" s="1" t="s">
        <v>234</v>
      </c>
      <c r="K655" s="1" t="s">
        <v>879</v>
      </c>
      <c r="M655" s="1" t="s">
        <v>234</v>
      </c>
      <c r="N655" s="1" t="s">
        <v>235</v>
      </c>
    </row>
    <row r="656" spans="1:14" x14ac:dyDescent="0.25">
      <c r="A656" s="1" t="s">
        <v>652</v>
      </c>
      <c r="B656" s="1" t="s">
        <v>618</v>
      </c>
      <c r="C656" s="1" t="s">
        <v>80</v>
      </c>
      <c r="D656" s="2"/>
      <c r="E656" s="1" t="s">
        <v>207</v>
      </c>
      <c r="F656" s="1"/>
      <c r="G656" s="1" t="s">
        <v>35</v>
      </c>
      <c r="H656" s="2"/>
      <c r="I656">
        <v>1</v>
      </c>
      <c r="J656" s="1" t="s">
        <v>234</v>
      </c>
      <c r="K656" s="1" t="s">
        <v>879</v>
      </c>
      <c r="M656" s="1" t="s">
        <v>234</v>
      </c>
      <c r="N656" s="1" t="s">
        <v>235</v>
      </c>
    </row>
    <row r="657" spans="1:14" x14ac:dyDescent="0.25">
      <c r="A657" s="1" t="s">
        <v>653</v>
      </c>
      <c r="B657" s="1" t="s">
        <v>618</v>
      </c>
      <c r="C657" s="1" t="s">
        <v>80</v>
      </c>
      <c r="D657" s="2"/>
      <c r="E657" s="1" t="s">
        <v>207</v>
      </c>
      <c r="F657" s="1"/>
      <c r="G657" s="1" t="s">
        <v>35</v>
      </c>
      <c r="H657" s="2"/>
      <c r="I657">
        <v>1</v>
      </c>
      <c r="J657" s="1" t="s">
        <v>234</v>
      </c>
      <c r="K657" s="1" t="s">
        <v>879</v>
      </c>
      <c r="M657" s="1" t="s">
        <v>234</v>
      </c>
      <c r="N657" s="1" t="s">
        <v>235</v>
      </c>
    </row>
    <row r="658" spans="1:14" x14ac:dyDescent="0.25">
      <c r="A658" s="1" t="s">
        <v>654</v>
      </c>
      <c r="B658" s="1" t="s">
        <v>507</v>
      </c>
      <c r="C658" s="1" t="s">
        <v>81</v>
      </c>
      <c r="D658" s="2"/>
      <c r="E658" s="1" t="s">
        <v>207</v>
      </c>
      <c r="F658" s="1"/>
      <c r="G658" s="1" t="s">
        <v>35</v>
      </c>
      <c r="H658" s="2"/>
      <c r="I658">
        <v>1</v>
      </c>
      <c r="J658" s="1" t="s">
        <v>234</v>
      </c>
      <c r="K658" s="1" t="s">
        <v>879</v>
      </c>
      <c r="M658" s="1" t="s">
        <v>234</v>
      </c>
      <c r="N658" s="1" t="s">
        <v>235</v>
      </c>
    </row>
    <row r="659" spans="1:14" x14ac:dyDescent="0.25">
      <c r="A659" s="1" t="s">
        <v>655</v>
      </c>
      <c r="B659" s="1" t="s">
        <v>507</v>
      </c>
      <c r="C659" s="1" t="s">
        <v>81</v>
      </c>
      <c r="D659" s="2"/>
      <c r="E659" s="1" t="s">
        <v>207</v>
      </c>
      <c r="F659" s="1"/>
      <c r="G659" s="1" t="s">
        <v>35</v>
      </c>
      <c r="H659" s="2"/>
      <c r="I659">
        <v>1</v>
      </c>
      <c r="J659" s="1" t="s">
        <v>234</v>
      </c>
      <c r="K659" s="1" t="s">
        <v>879</v>
      </c>
      <c r="M659" s="1" t="s">
        <v>234</v>
      </c>
      <c r="N659" s="1" t="s">
        <v>235</v>
      </c>
    </row>
    <row r="660" spans="1:14" x14ac:dyDescent="0.25">
      <c r="A660" s="1" t="s">
        <v>656</v>
      </c>
      <c r="B660" s="1" t="s">
        <v>507</v>
      </c>
      <c r="C660" s="1" t="s">
        <v>81</v>
      </c>
      <c r="D660" s="2"/>
      <c r="E660" s="1" t="s">
        <v>207</v>
      </c>
      <c r="F660" s="1"/>
      <c r="G660" s="1" t="s">
        <v>35</v>
      </c>
      <c r="H660" s="2"/>
      <c r="I660">
        <v>1</v>
      </c>
      <c r="J660" s="1" t="s">
        <v>234</v>
      </c>
      <c r="K660" s="1" t="s">
        <v>879</v>
      </c>
      <c r="M660" s="1" t="s">
        <v>234</v>
      </c>
      <c r="N660" s="1" t="s">
        <v>235</v>
      </c>
    </row>
    <row r="661" spans="1:14" x14ac:dyDescent="0.25">
      <c r="A661" s="1" t="s">
        <v>657</v>
      </c>
      <c r="B661" s="1" t="s">
        <v>507</v>
      </c>
      <c r="C661" s="1" t="s">
        <v>81</v>
      </c>
      <c r="D661" s="2"/>
      <c r="E661" s="1" t="s">
        <v>207</v>
      </c>
      <c r="F661" s="1"/>
      <c r="G661" s="1" t="s">
        <v>35</v>
      </c>
      <c r="H661" s="2"/>
      <c r="I661">
        <v>1</v>
      </c>
      <c r="J661" s="1" t="s">
        <v>234</v>
      </c>
      <c r="K661" s="1" t="s">
        <v>879</v>
      </c>
      <c r="M661" s="1" t="s">
        <v>234</v>
      </c>
      <c r="N661" s="1" t="s">
        <v>235</v>
      </c>
    </row>
    <row r="662" spans="1:14" x14ac:dyDescent="0.25">
      <c r="A662" s="1" t="s">
        <v>658</v>
      </c>
      <c r="B662" s="1" t="s">
        <v>507</v>
      </c>
      <c r="C662" s="1" t="s">
        <v>81</v>
      </c>
      <c r="D662" s="2"/>
      <c r="E662" s="1" t="s">
        <v>207</v>
      </c>
      <c r="F662" s="1"/>
      <c r="G662" s="1" t="s">
        <v>35</v>
      </c>
      <c r="H662" s="2"/>
      <c r="I662">
        <v>1</v>
      </c>
      <c r="J662" s="1" t="s">
        <v>234</v>
      </c>
      <c r="K662" s="1" t="s">
        <v>879</v>
      </c>
      <c r="M662" s="1" t="s">
        <v>234</v>
      </c>
      <c r="N662" s="1" t="s">
        <v>235</v>
      </c>
    </row>
    <row r="663" spans="1:14" x14ac:dyDescent="0.25">
      <c r="A663" s="1" t="s">
        <v>659</v>
      </c>
      <c r="B663" s="1" t="s">
        <v>507</v>
      </c>
      <c r="C663" s="1" t="s">
        <v>81</v>
      </c>
      <c r="D663" s="2"/>
      <c r="E663" s="1" t="s">
        <v>207</v>
      </c>
      <c r="F663" s="1"/>
      <c r="G663" s="1" t="s">
        <v>35</v>
      </c>
      <c r="H663" s="2"/>
      <c r="I663">
        <v>1</v>
      </c>
      <c r="J663" s="1" t="s">
        <v>234</v>
      </c>
      <c r="K663" s="1" t="s">
        <v>879</v>
      </c>
      <c r="M663" s="1" t="s">
        <v>234</v>
      </c>
      <c r="N663" s="1" t="s">
        <v>235</v>
      </c>
    </row>
    <row r="664" spans="1:14" x14ac:dyDescent="0.25">
      <c r="A664" s="1" t="s">
        <v>660</v>
      </c>
      <c r="B664" s="1" t="s">
        <v>507</v>
      </c>
      <c r="C664" s="1" t="s">
        <v>81</v>
      </c>
      <c r="D664" s="2"/>
      <c r="E664" s="1" t="s">
        <v>207</v>
      </c>
      <c r="F664" s="1"/>
      <c r="G664" s="1" t="s">
        <v>35</v>
      </c>
      <c r="H664" s="2"/>
      <c r="I664">
        <v>1</v>
      </c>
      <c r="J664" s="1" t="s">
        <v>234</v>
      </c>
      <c r="K664" s="1" t="s">
        <v>879</v>
      </c>
      <c r="M664" s="1" t="s">
        <v>234</v>
      </c>
      <c r="N664" s="1" t="s">
        <v>235</v>
      </c>
    </row>
    <row r="665" spans="1:14" x14ac:dyDescent="0.25">
      <c r="A665" s="1" t="s">
        <v>661</v>
      </c>
      <c r="B665" s="1" t="s">
        <v>507</v>
      </c>
      <c r="C665" s="1" t="s">
        <v>81</v>
      </c>
      <c r="D665" s="2"/>
      <c r="E665" s="1" t="s">
        <v>207</v>
      </c>
      <c r="F665" s="1"/>
      <c r="G665" s="1" t="s">
        <v>35</v>
      </c>
      <c r="H665" s="2"/>
      <c r="I665">
        <v>1</v>
      </c>
      <c r="J665" s="1" t="s">
        <v>234</v>
      </c>
      <c r="K665" s="1" t="s">
        <v>879</v>
      </c>
      <c r="M665" s="1" t="s">
        <v>234</v>
      </c>
      <c r="N665" s="1" t="s">
        <v>235</v>
      </c>
    </row>
    <row r="666" spans="1:14" x14ac:dyDescent="0.25">
      <c r="A666" s="1" t="s">
        <v>662</v>
      </c>
      <c r="B666" s="1" t="s">
        <v>507</v>
      </c>
      <c r="C666" s="1" t="s">
        <v>81</v>
      </c>
      <c r="D666" s="2"/>
      <c r="E666" s="1" t="s">
        <v>207</v>
      </c>
      <c r="F666" s="1"/>
      <c r="G666" s="1" t="s">
        <v>35</v>
      </c>
      <c r="H666" s="2"/>
      <c r="I666">
        <v>1</v>
      </c>
      <c r="J666" s="1" t="s">
        <v>234</v>
      </c>
      <c r="K666" s="1" t="s">
        <v>879</v>
      </c>
      <c r="M666" s="1" t="s">
        <v>234</v>
      </c>
      <c r="N666" s="1" t="s">
        <v>235</v>
      </c>
    </row>
    <row r="667" spans="1:14" x14ac:dyDescent="0.25">
      <c r="A667" s="1" t="s">
        <v>663</v>
      </c>
      <c r="B667" s="1" t="s">
        <v>507</v>
      </c>
      <c r="C667" s="1" t="s">
        <v>81</v>
      </c>
      <c r="D667" s="2"/>
      <c r="E667" s="1" t="s">
        <v>207</v>
      </c>
      <c r="F667" s="1"/>
      <c r="G667" s="1" t="s">
        <v>35</v>
      </c>
      <c r="H667" s="2"/>
      <c r="I667">
        <v>1</v>
      </c>
      <c r="J667" s="1" t="s">
        <v>234</v>
      </c>
      <c r="K667" s="1" t="s">
        <v>879</v>
      </c>
      <c r="M667" s="1" t="s">
        <v>234</v>
      </c>
      <c r="N667" s="1" t="s">
        <v>235</v>
      </c>
    </row>
    <row r="668" spans="1:14" x14ac:dyDescent="0.25">
      <c r="A668" s="1" t="s">
        <v>664</v>
      </c>
      <c r="B668" s="1" t="s">
        <v>507</v>
      </c>
      <c r="C668" s="1" t="s">
        <v>81</v>
      </c>
      <c r="D668" s="2"/>
      <c r="E668" s="1" t="s">
        <v>207</v>
      </c>
      <c r="F668" s="1"/>
      <c r="G668" s="1" t="s">
        <v>35</v>
      </c>
      <c r="H668" s="2"/>
      <c r="I668">
        <v>1</v>
      </c>
      <c r="J668" s="1" t="s">
        <v>234</v>
      </c>
      <c r="K668" s="1" t="s">
        <v>879</v>
      </c>
      <c r="M668" s="1" t="s">
        <v>234</v>
      </c>
      <c r="N668" s="1" t="s">
        <v>235</v>
      </c>
    </row>
    <row r="669" spans="1:14" x14ac:dyDescent="0.25">
      <c r="A669" s="1" t="s">
        <v>665</v>
      </c>
      <c r="B669" s="1" t="s">
        <v>507</v>
      </c>
      <c r="C669" s="1" t="s">
        <v>81</v>
      </c>
      <c r="D669" s="2"/>
      <c r="E669" s="1" t="s">
        <v>207</v>
      </c>
      <c r="F669" s="1"/>
      <c r="G669" s="1" t="s">
        <v>35</v>
      </c>
      <c r="H669" s="2"/>
      <c r="I669">
        <v>1</v>
      </c>
      <c r="J669" s="1" t="s">
        <v>234</v>
      </c>
      <c r="K669" s="1" t="s">
        <v>879</v>
      </c>
      <c r="M669" s="1" t="s">
        <v>234</v>
      </c>
      <c r="N669" s="1" t="s">
        <v>235</v>
      </c>
    </row>
    <row r="670" spans="1:14" x14ac:dyDescent="0.25">
      <c r="A670" s="1" t="s">
        <v>666</v>
      </c>
      <c r="B670" s="1" t="s">
        <v>507</v>
      </c>
      <c r="C670" s="1" t="s">
        <v>81</v>
      </c>
      <c r="D670" s="2"/>
      <c r="E670" s="1" t="s">
        <v>207</v>
      </c>
      <c r="F670" s="1"/>
      <c r="G670" s="1" t="s">
        <v>35</v>
      </c>
      <c r="H670" s="2"/>
      <c r="I670">
        <v>1</v>
      </c>
      <c r="J670" s="1" t="s">
        <v>234</v>
      </c>
      <c r="K670" s="1" t="s">
        <v>879</v>
      </c>
      <c r="M670" s="1" t="s">
        <v>234</v>
      </c>
      <c r="N670" s="1" t="s">
        <v>235</v>
      </c>
    </row>
    <row r="671" spans="1:14" x14ac:dyDescent="0.25">
      <c r="A671" s="1" t="s">
        <v>667</v>
      </c>
      <c r="B671" s="1" t="s">
        <v>507</v>
      </c>
      <c r="C671" s="1" t="s">
        <v>81</v>
      </c>
      <c r="D671" s="2"/>
      <c r="E671" s="1" t="s">
        <v>207</v>
      </c>
      <c r="F671" s="1"/>
      <c r="G671" s="1" t="s">
        <v>35</v>
      </c>
      <c r="H671" s="2"/>
      <c r="I671">
        <v>1</v>
      </c>
      <c r="J671" s="1" t="s">
        <v>234</v>
      </c>
      <c r="K671" s="1" t="s">
        <v>879</v>
      </c>
      <c r="M671" s="1" t="s">
        <v>234</v>
      </c>
      <c r="N671" s="1" t="s">
        <v>235</v>
      </c>
    </row>
    <row r="672" spans="1:14" x14ac:dyDescent="0.25">
      <c r="A672" s="1" t="s">
        <v>668</v>
      </c>
      <c r="B672" s="1" t="s">
        <v>507</v>
      </c>
      <c r="C672" s="1" t="s">
        <v>81</v>
      </c>
      <c r="D672" s="2"/>
      <c r="E672" s="1" t="s">
        <v>207</v>
      </c>
      <c r="F672" s="1"/>
      <c r="G672" s="1" t="s">
        <v>35</v>
      </c>
      <c r="H672" s="2"/>
      <c r="I672">
        <v>1</v>
      </c>
      <c r="J672" s="1" t="s">
        <v>234</v>
      </c>
      <c r="K672" s="1" t="s">
        <v>879</v>
      </c>
      <c r="M672" s="1" t="s">
        <v>234</v>
      </c>
      <c r="N672" s="1" t="s">
        <v>235</v>
      </c>
    </row>
    <row r="673" spans="1:14" x14ac:dyDescent="0.25">
      <c r="A673" s="1" t="s">
        <v>669</v>
      </c>
      <c r="B673" s="1" t="s">
        <v>507</v>
      </c>
      <c r="C673" s="1" t="s">
        <v>81</v>
      </c>
      <c r="D673" s="2"/>
      <c r="E673" s="1" t="s">
        <v>207</v>
      </c>
      <c r="F673" s="1"/>
      <c r="G673" s="1" t="s">
        <v>35</v>
      </c>
      <c r="H673" s="2"/>
      <c r="I673">
        <v>1</v>
      </c>
      <c r="J673" s="1" t="s">
        <v>234</v>
      </c>
      <c r="K673" s="1" t="s">
        <v>879</v>
      </c>
      <c r="M673" s="1" t="s">
        <v>234</v>
      </c>
      <c r="N673" s="1" t="s">
        <v>235</v>
      </c>
    </row>
    <row r="674" spans="1:14" x14ac:dyDescent="0.25">
      <c r="A674" s="1" t="s">
        <v>670</v>
      </c>
      <c r="B674" s="1" t="s">
        <v>507</v>
      </c>
      <c r="C674" s="1" t="s">
        <v>81</v>
      </c>
      <c r="D674" s="2"/>
      <c r="E674" s="1" t="s">
        <v>207</v>
      </c>
      <c r="F674" s="1"/>
      <c r="G674" s="1" t="s">
        <v>35</v>
      </c>
      <c r="H674" s="2"/>
      <c r="I674">
        <v>1</v>
      </c>
      <c r="J674" s="1" t="s">
        <v>234</v>
      </c>
      <c r="K674" s="1" t="s">
        <v>879</v>
      </c>
      <c r="M674" s="1" t="s">
        <v>234</v>
      </c>
      <c r="N674" s="1" t="s">
        <v>235</v>
      </c>
    </row>
    <row r="675" spans="1:14" x14ac:dyDescent="0.25">
      <c r="A675" s="1" t="s">
        <v>671</v>
      </c>
      <c r="B675" s="1" t="s">
        <v>507</v>
      </c>
      <c r="C675" s="1" t="s">
        <v>81</v>
      </c>
      <c r="D675" s="2"/>
      <c r="E675" s="1" t="s">
        <v>207</v>
      </c>
      <c r="F675" s="1"/>
      <c r="G675" s="1" t="s">
        <v>35</v>
      </c>
      <c r="H675" s="2"/>
      <c r="I675">
        <v>1</v>
      </c>
      <c r="J675" s="1" t="s">
        <v>234</v>
      </c>
      <c r="K675" s="1" t="s">
        <v>879</v>
      </c>
      <c r="M675" s="1" t="s">
        <v>234</v>
      </c>
      <c r="N675" s="1" t="s">
        <v>235</v>
      </c>
    </row>
    <row r="676" spans="1:14" x14ac:dyDescent="0.25">
      <c r="A676" s="1" t="s">
        <v>672</v>
      </c>
      <c r="B676" s="1" t="s">
        <v>507</v>
      </c>
      <c r="C676" s="1" t="s">
        <v>81</v>
      </c>
      <c r="D676" s="2"/>
      <c r="E676" s="1" t="s">
        <v>207</v>
      </c>
      <c r="F676" s="1"/>
      <c r="G676" s="1" t="s">
        <v>35</v>
      </c>
      <c r="H676" s="2"/>
      <c r="I676">
        <v>1</v>
      </c>
      <c r="J676" s="1" t="s">
        <v>234</v>
      </c>
      <c r="K676" s="1" t="s">
        <v>879</v>
      </c>
      <c r="M676" s="1" t="s">
        <v>234</v>
      </c>
      <c r="N676" s="1" t="s">
        <v>235</v>
      </c>
    </row>
    <row r="677" spans="1:14" x14ac:dyDescent="0.25">
      <c r="A677" s="1" t="s">
        <v>673</v>
      </c>
      <c r="B677" s="1" t="s">
        <v>507</v>
      </c>
      <c r="C677" s="1" t="s">
        <v>81</v>
      </c>
      <c r="D677" s="2"/>
      <c r="E677" s="1" t="s">
        <v>207</v>
      </c>
      <c r="F677" s="1"/>
      <c r="G677" s="1" t="s">
        <v>35</v>
      </c>
      <c r="H677" s="2"/>
      <c r="I677">
        <v>1</v>
      </c>
      <c r="J677" s="1" t="s">
        <v>234</v>
      </c>
      <c r="K677" s="1" t="s">
        <v>879</v>
      </c>
      <c r="M677" s="1" t="s">
        <v>234</v>
      </c>
      <c r="N677" s="1" t="s">
        <v>235</v>
      </c>
    </row>
    <row r="678" spans="1:14" x14ac:dyDescent="0.25">
      <c r="A678" s="1" t="s">
        <v>674</v>
      </c>
      <c r="B678" s="1" t="s">
        <v>507</v>
      </c>
      <c r="C678" s="1" t="s">
        <v>81</v>
      </c>
      <c r="D678" s="2"/>
      <c r="E678" s="1" t="s">
        <v>207</v>
      </c>
      <c r="F678" s="1"/>
      <c r="G678" s="1" t="s">
        <v>35</v>
      </c>
      <c r="H678" s="2"/>
      <c r="I678">
        <v>1</v>
      </c>
      <c r="J678" s="1" t="s">
        <v>234</v>
      </c>
      <c r="K678" s="1" t="s">
        <v>879</v>
      </c>
      <c r="M678" s="1" t="s">
        <v>234</v>
      </c>
      <c r="N678" s="1" t="s">
        <v>235</v>
      </c>
    </row>
    <row r="679" spans="1:14" x14ac:dyDescent="0.25">
      <c r="A679" s="1" t="s">
        <v>675</v>
      </c>
      <c r="B679" s="1" t="s">
        <v>507</v>
      </c>
      <c r="C679" s="1" t="s">
        <v>81</v>
      </c>
      <c r="D679" s="2"/>
      <c r="E679" s="1" t="s">
        <v>207</v>
      </c>
      <c r="F679" s="1"/>
      <c r="G679" s="1" t="s">
        <v>35</v>
      </c>
      <c r="H679" s="2"/>
      <c r="I679">
        <v>1</v>
      </c>
      <c r="J679" s="1" t="s">
        <v>234</v>
      </c>
      <c r="K679" s="1" t="s">
        <v>879</v>
      </c>
      <c r="M679" s="1" t="s">
        <v>234</v>
      </c>
      <c r="N679" s="1" t="s">
        <v>235</v>
      </c>
    </row>
    <row r="680" spans="1:14" x14ac:dyDescent="0.25">
      <c r="A680" s="1" t="s">
        <v>676</v>
      </c>
      <c r="B680" s="1" t="s">
        <v>507</v>
      </c>
      <c r="C680" s="1" t="s">
        <v>81</v>
      </c>
      <c r="D680" s="2"/>
      <c r="E680" s="1" t="s">
        <v>207</v>
      </c>
      <c r="F680" s="1"/>
      <c r="G680" s="1" t="s">
        <v>35</v>
      </c>
      <c r="H680" s="2"/>
      <c r="I680">
        <v>1</v>
      </c>
      <c r="J680" s="1" t="s">
        <v>234</v>
      </c>
      <c r="K680" s="1" t="s">
        <v>879</v>
      </c>
      <c r="M680" s="1" t="s">
        <v>234</v>
      </c>
      <c r="N680" s="1" t="s">
        <v>235</v>
      </c>
    </row>
    <row r="681" spans="1:14" x14ac:dyDescent="0.25">
      <c r="A681" s="1" t="s">
        <v>677</v>
      </c>
      <c r="B681" s="1" t="s">
        <v>507</v>
      </c>
      <c r="C681" s="1" t="s">
        <v>81</v>
      </c>
      <c r="D681" s="2"/>
      <c r="E681" s="1" t="s">
        <v>207</v>
      </c>
      <c r="F681" s="1"/>
      <c r="G681" s="1" t="s">
        <v>35</v>
      </c>
      <c r="H681" s="2"/>
      <c r="I681">
        <v>1</v>
      </c>
      <c r="J681" s="1" t="s">
        <v>234</v>
      </c>
      <c r="K681" s="1" t="s">
        <v>879</v>
      </c>
      <c r="M681" s="1" t="s">
        <v>234</v>
      </c>
      <c r="N681" s="1" t="s">
        <v>235</v>
      </c>
    </row>
    <row r="682" spans="1:14" x14ac:dyDescent="0.25">
      <c r="A682" s="1" t="s">
        <v>678</v>
      </c>
      <c r="B682" s="1" t="s">
        <v>507</v>
      </c>
      <c r="C682" s="1" t="s">
        <v>81</v>
      </c>
      <c r="D682" s="2"/>
      <c r="E682" s="1" t="s">
        <v>207</v>
      </c>
      <c r="F682" s="1"/>
      <c r="G682" s="1" t="s">
        <v>35</v>
      </c>
      <c r="H682" s="2"/>
      <c r="I682">
        <v>1</v>
      </c>
      <c r="J682" s="1" t="s">
        <v>234</v>
      </c>
      <c r="K682" s="1" t="s">
        <v>879</v>
      </c>
      <c r="M682" s="1" t="s">
        <v>234</v>
      </c>
      <c r="N682" s="1" t="s">
        <v>235</v>
      </c>
    </row>
    <row r="683" spans="1:14" x14ac:dyDescent="0.25">
      <c r="A683" s="1" t="s">
        <v>679</v>
      </c>
      <c r="B683" s="1" t="s">
        <v>507</v>
      </c>
      <c r="C683" s="1" t="s">
        <v>81</v>
      </c>
      <c r="D683" s="2"/>
      <c r="E683" s="1" t="s">
        <v>207</v>
      </c>
      <c r="F683" s="1"/>
      <c r="G683" s="1" t="s">
        <v>35</v>
      </c>
      <c r="H683" s="2"/>
      <c r="I683">
        <v>1</v>
      </c>
      <c r="J683" s="1" t="s">
        <v>234</v>
      </c>
      <c r="K683" s="1" t="s">
        <v>879</v>
      </c>
      <c r="M683" s="1" t="s">
        <v>234</v>
      </c>
      <c r="N683" s="1" t="s">
        <v>235</v>
      </c>
    </row>
    <row r="684" spans="1:14" x14ac:dyDescent="0.25">
      <c r="A684" s="1" t="s">
        <v>680</v>
      </c>
      <c r="B684" s="1" t="s">
        <v>507</v>
      </c>
      <c r="C684" s="1" t="s">
        <v>81</v>
      </c>
      <c r="D684" s="2"/>
      <c r="E684" s="1" t="s">
        <v>207</v>
      </c>
      <c r="F684" s="1"/>
      <c r="G684" s="1" t="s">
        <v>35</v>
      </c>
      <c r="H684" s="2"/>
      <c r="I684">
        <v>1</v>
      </c>
      <c r="J684" s="1" t="s">
        <v>234</v>
      </c>
      <c r="K684" s="1" t="s">
        <v>879</v>
      </c>
      <c r="M684" s="1" t="s">
        <v>234</v>
      </c>
      <c r="N684" s="1" t="s">
        <v>235</v>
      </c>
    </row>
    <row r="685" spans="1:14" x14ac:dyDescent="0.25">
      <c r="A685" s="1" t="s">
        <v>681</v>
      </c>
      <c r="B685" s="1" t="s">
        <v>507</v>
      </c>
      <c r="C685" s="1" t="s">
        <v>81</v>
      </c>
      <c r="D685" s="2"/>
      <c r="E685" s="1" t="s">
        <v>207</v>
      </c>
      <c r="F685" s="1"/>
      <c r="G685" s="1" t="s">
        <v>35</v>
      </c>
      <c r="H685" s="2"/>
      <c r="I685">
        <v>1</v>
      </c>
      <c r="J685" s="1" t="s">
        <v>234</v>
      </c>
      <c r="K685" s="1" t="s">
        <v>879</v>
      </c>
      <c r="M685" s="1" t="s">
        <v>234</v>
      </c>
      <c r="N685" s="1" t="s">
        <v>235</v>
      </c>
    </row>
    <row r="686" spans="1:14" x14ac:dyDescent="0.25">
      <c r="A686" s="1" t="s">
        <v>682</v>
      </c>
      <c r="B686" s="1" t="s">
        <v>507</v>
      </c>
      <c r="C686" s="1" t="s">
        <v>81</v>
      </c>
      <c r="D686" s="2"/>
      <c r="E686" s="1" t="s">
        <v>207</v>
      </c>
      <c r="F686" s="1"/>
      <c r="G686" s="1" t="s">
        <v>35</v>
      </c>
      <c r="H686" s="2"/>
      <c r="I686">
        <v>1</v>
      </c>
      <c r="J686" s="1" t="s">
        <v>234</v>
      </c>
      <c r="K686" s="1" t="s">
        <v>879</v>
      </c>
      <c r="M686" s="1" t="s">
        <v>234</v>
      </c>
      <c r="N686" s="1" t="s">
        <v>235</v>
      </c>
    </row>
    <row r="687" spans="1:14" x14ac:dyDescent="0.25">
      <c r="A687" s="1" t="s">
        <v>683</v>
      </c>
      <c r="B687" s="1" t="s">
        <v>507</v>
      </c>
      <c r="C687" s="1" t="s">
        <v>81</v>
      </c>
      <c r="D687" s="2"/>
      <c r="E687" s="1" t="s">
        <v>207</v>
      </c>
      <c r="F687" s="1"/>
      <c r="G687" s="1" t="s">
        <v>35</v>
      </c>
      <c r="H687" s="2"/>
      <c r="I687">
        <v>1</v>
      </c>
      <c r="J687" s="1" t="s">
        <v>234</v>
      </c>
      <c r="K687" s="1" t="s">
        <v>879</v>
      </c>
      <c r="M687" s="1" t="s">
        <v>234</v>
      </c>
      <c r="N687" s="1" t="s">
        <v>235</v>
      </c>
    </row>
    <row r="688" spans="1:14" x14ac:dyDescent="0.25">
      <c r="A688" s="1" t="s">
        <v>684</v>
      </c>
      <c r="B688" s="1" t="s">
        <v>507</v>
      </c>
      <c r="C688" s="1" t="s">
        <v>81</v>
      </c>
      <c r="D688" s="2"/>
      <c r="E688" s="1" t="s">
        <v>207</v>
      </c>
      <c r="F688" s="1"/>
      <c r="G688" s="1" t="s">
        <v>35</v>
      </c>
      <c r="H688" s="2"/>
      <c r="I688">
        <v>1</v>
      </c>
      <c r="J688" s="1" t="s">
        <v>234</v>
      </c>
      <c r="K688" s="1" t="s">
        <v>879</v>
      </c>
      <c r="M688" s="1" t="s">
        <v>234</v>
      </c>
      <c r="N688" s="1" t="s">
        <v>235</v>
      </c>
    </row>
    <row r="689" spans="1:14" x14ac:dyDescent="0.25">
      <c r="A689" s="1" t="s">
        <v>685</v>
      </c>
      <c r="B689" s="1" t="s">
        <v>507</v>
      </c>
      <c r="C689" s="1" t="s">
        <v>81</v>
      </c>
      <c r="D689" s="2"/>
      <c r="E689" s="1" t="s">
        <v>207</v>
      </c>
      <c r="F689" s="1"/>
      <c r="G689" s="1" t="s">
        <v>35</v>
      </c>
      <c r="H689" s="2"/>
      <c r="I689">
        <v>1</v>
      </c>
      <c r="J689" s="1" t="s">
        <v>234</v>
      </c>
      <c r="K689" s="1" t="s">
        <v>879</v>
      </c>
      <c r="M689" s="1" t="s">
        <v>234</v>
      </c>
      <c r="N689" s="1" t="s">
        <v>235</v>
      </c>
    </row>
    <row r="690" spans="1:14" x14ac:dyDescent="0.25">
      <c r="A690" s="1" t="s">
        <v>686</v>
      </c>
      <c r="B690" s="1" t="s">
        <v>507</v>
      </c>
      <c r="C690" s="1" t="s">
        <v>81</v>
      </c>
      <c r="D690" s="2"/>
      <c r="E690" s="1" t="s">
        <v>207</v>
      </c>
      <c r="F690" s="1"/>
      <c r="G690" s="1" t="s">
        <v>35</v>
      </c>
      <c r="H690" s="2"/>
      <c r="I690">
        <v>1</v>
      </c>
      <c r="J690" s="1" t="s">
        <v>234</v>
      </c>
      <c r="K690" s="1" t="s">
        <v>879</v>
      </c>
      <c r="M690" s="1" t="s">
        <v>234</v>
      </c>
      <c r="N690" s="1" t="s">
        <v>235</v>
      </c>
    </row>
    <row r="691" spans="1:14" x14ac:dyDescent="0.25">
      <c r="A691" s="1" t="s">
        <v>687</v>
      </c>
      <c r="B691" s="1" t="s">
        <v>507</v>
      </c>
      <c r="C691" s="1" t="s">
        <v>81</v>
      </c>
      <c r="D691" s="2"/>
      <c r="E691" s="1" t="s">
        <v>207</v>
      </c>
      <c r="F691" s="1"/>
      <c r="G691" s="1" t="s">
        <v>35</v>
      </c>
      <c r="H691" s="2"/>
      <c r="I691">
        <v>1</v>
      </c>
      <c r="J691" s="1" t="s">
        <v>234</v>
      </c>
      <c r="K691" s="1" t="s">
        <v>879</v>
      </c>
      <c r="M691" s="1" t="s">
        <v>234</v>
      </c>
      <c r="N691" s="1" t="s">
        <v>235</v>
      </c>
    </row>
    <row r="692" spans="1:14" x14ac:dyDescent="0.25">
      <c r="A692" s="1" t="s">
        <v>688</v>
      </c>
      <c r="B692" s="1" t="s">
        <v>507</v>
      </c>
      <c r="C692" s="1" t="s">
        <v>81</v>
      </c>
      <c r="D692" s="2"/>
      <c r="E692" s="1" t="s">
        <v>207</v>
      </c>
      <c r="F692" s="1"/>
      <c r="G692" s="1" t="s">
        <v>35</v>
      </c>
      <c r="H692" s="2"/>
      <c r="I692">
        <v>1</v>
      </c>
      <c r="J692" s="1" t="s">
        <v>234</v>
      </c>
      <c r="K692" s="1" t="s">
        <v>879</v>
      </c>
      <c r="M692" s="1" t="s">
        <v>234</v>
      </c>
      <c r="N692" s="1" t="s">
        <v>235</v>
      </c>
    </row>
    <row r="693" spans="1:14" x14ac:dyDescent="0.25">
      <c r="A693" s="1" t="s">
        <v>689</v>
      </c>
      <c r="B693" s="1" t="s">
        <v>507</v>
      </c>
      <c r="C693" s="1" t="s">
        <v>81</v>
      </c>
      <c r="D693" s="2"/>
      <c r="E693" s="1" t="s">
        <v>207</v>
      </c>
      <c r="F693" s="1"/>
      <c r="G693" s="1" t="s">
        <v>35</v>
      </c>
      <c r="H693" s="2"/>
      <c r="I693">
        <v>1</v>
      </c>
      <c r="J693" s="1" t="s">
        <v>234</v>
      </c>
      <c r="K693" s="1" t="s">
        <v>879</v>
      </c>
      <c r="M693" s="1" t="s">
        <v>234</v>
      </c>
      <c r="N693" s="1" t="s">
        <v>235</v>
      </c>
    </row>
    <row r="694" spans="1:14" x14ac:dyDescent="0.25">
      <c r="A694" s="1" t="s">
        <v>690</v>
      </c>
      <c r="B694" s="1" t="s">
        <v>507</v>
      </c>
      <c r="C694" s="1" t="s">
        <v>81</v>
      </c>
      <c r="D694" s="2"/>
      <c r="E694" s="1" t="s">
        <v>207</v>
      </c>
      <c r="F694" s="1"/>
      <c r="G694" s="1" t="s">
        <v>35</v>
      </c>
      <c r="H694" s="2"/>
      <c r="I694">
        <v>1</v>
      </c>
      <c r="J694" s="1" t="s">
        <v>234</v>
      </c>
      <c r="K694" s="1" t="s">
        <v>879</v>
      </c>
      <c r="M694" s="1" t="s">
        <v>234</v>
      </c>
      <c r="N694" s="1" t="s">
        <v>235</v>
      </c>
    </row>
    <row r="695" spans="1:14" x14ac:dyDescent="0.25">
      <c r="A695" s="1" t="s">
        <v>691</v>
      </c>
      <c r="B695" s="1" t="s">
        <v>507</v>
      </c>
      <c r="C695" s="1" t="s">
        <v>81</v>
      </c>
      <c r="D695" s="2"/>
      <c r="E695" s="1" t="s">
        <v>207</v>
      </c>
      <c r="F695" s="1"/>
      <c r="G695" s="1" t="s">
        <v>35</v>
      </c>
      <c r="H695" s="2"/>
      <c r="I695">
        <v>1</v>
      </c>
      <c r="J695" s="1" t="s">
        <v>234</v>
      </c>
      <c r="K695" s="1" t="s">
        <v>879</v>
      </c>
      <c r="M695" s="1" t="s">
        <v>234</v>
      </c>
      <c r="N695" s="1" t="s">
        <v>235</v>
      </c>
    </row>
    <row r="696" spans="1:14" x14ac:dyDescent="0.25">
      <c r="A696" s="1" t="s">
        <v>692</v>
      </c>
      <c r="B696" s="1" t="s">
        <v>507</v>
      </c>
      <c r="C696" s="1" t="s">
        <v>81</v>
      </c>
      <c r="D696" s="2"/>
      <c r="E696" s="1" t="s">
        <v>207</v>
      </c>
      <c r="F696" s="1"/>
      <c r="G696" s="1" t="s">
        <v>35</v>
      </c>
      <c r="H696" s="2"/>
      <c r="I696">
        <v>1</v>
      </c>
      <c r="J696" s="1" t="s">
        <v>234</v>
      </c>
      <c r="K696" s="1" t="s">
        <v>879</v>
      </c>
      <c r="M696" s="1" t="s">
        <v>234</v>
      </c>
      <c r="N696" s="1" t="s">
        <v>235</v>
      </c>
    </row>
    <row r="697" spans="1:14" x14ac:dyDescent="0.25">
      <c r="A697" s="1" t="s">
        <v>693</v>
      </c>
      <c r="B697" s="1" t="s">
        <v>507</v>
      </c>
      <c r="C697" s="1" t="s">
        <v>81</v>
      </c>
      <c r="D697" s="2"/>
      <c r="E697" s="1" t="s">
        <v>207</v>
      </c>
      <c r="F697" s="1"/>
      <c r="G697" s="1" t="s">
        <v>35</v>
      </c>
      <c r="H697" s="2"/>
      <c r="I697">
        <v>1</v>
      </c>
      <c r="J697" s="1" t="s">
        <v>234</v>
      </c>
      <c r="K697" s="1" t="s">
        <v>879</v>
      </c>
      <c r="M697" s="1" t="s">
        <v>234</v>
      </c>
      <c r="N697" s="1" t="s">
        <v>235</v>
      </c>
    </row>
    <row r="698" spans="1:14" x14ac:dyDescent="0.25">
      <c r="A698" s="1" t="s">
        <v>694</v>
      </c>
      <c r="B698" s="1" t="s">
        <v>507</v>
      </c>
      <c r="C698" s="1" t="s">
        <v>81</v>
      </c>
      <c r="D698" s="2"/>
      <c r="E698" s="1" t="s">
        <v>207</v>
      </c>
      <c r="F698" s="1"/>
      <c r="G698" s="1" t="s">
        <v>35</v>
      </c>
      <c r="H698" s="2"/>
      <c r="I698">
        <v>1</v>
      </c>
      <c r="J698" s="1" t="s">
        <v>234</v>
      </c>
      <c r="K698" s="1" t="s">
        <v>879</v>
      </c>
      <c r="M698" s="1" t="s">
        <v>234</v>
      </c>
      <c r="N698" s="1" t="s">
        <v>235</v>
      </c>
    </row>
    <row r="699" spans="1:14" x14ac:dyDescent="0.25">
      <c r="A699" s="1" t="s">
        <v>695</v>
      </c>
      <c r="B699" s="1" t="s">
        <v>507</v>
      </c>
      <c r="C699" s="1" t="s">
        <v>81</v>
      </c>
      <c r="D699" s="2"/>
      <c r="E699" s="1" t="s">
        <v>207</v>
      </c>
      <c r="F699" s="1"/>
      <c r="G699" s="1" t="s">
        <v>35</v>
      </c>
      <c r="H699" s="2"/>
      <c r="I699">
        <v>1</v>
      </c>
      <c r="J699" s="1" t="s">
        <v>234</v>
      </c>
      <c r="K699" s="1" t="s">
        <v>879</v>
      </c>
      <c r="M699" s="1" t="s">
        <v>234</v>
      </c>
      <c r="N699" s="1" t="s">
        <v>235</v>
      </c>
    </row>
    <row r="700" spans="1:14" x14ac:dyDescent="0.25">
      <c r="A700" s="1" t="s">
        <v>696</v>
      </c>
      <c r="B700" s="1" t="s">
        <v>507</v>
      </c>
      <c r="C700" s="1" t="s">
        <v>81</v>
      </c>
      <c r="D700" s="2"/>
      <c r="E700" s="1" t="s">
        <v>207</v>
      </c>
      <c r="F700" s="1"/>
      <c r="G700" s="1" t="s">
        <v>35</v>
      </c>
      <c r="H700" s="2"/>
      <c r="I700">
        <v>1</v>
      </c>
      <c r="J700" s="1" t="s">
        <v>234</v>
      </c>
      <c r="K700" s="1" t="s">
        <v>879</v>
      </c>
      <c r="M700" s="1" t="s">
        <v>234</v>
      </c>
      <c r="N700" s="1" t="s">
        <v>235</v>
      </c>
    </row>
    <row r="701" spans="1:14" x14ac:dyDescent="0.25">
      <c r="A701" s="1" t="s">
        <v>697</v>
      </c>
      <c r="B701" s="1" t="s">
        <v>507</v>
      </c>
      <c r="C701" s="1" t="s">
        <v>81</v>
      </c>
      <c r="D701" s="2"/>
      <c r="E701" s="1" t="s">
        <v>207</v>
      </c>
      <c r="F701" s="1"/>
      <c r="G701" s="1" t="s">
        <v>35</v>
      </c>
      <c r="H701" s="2"/>
      <c r="I701">
        <v>1</v>
      </c>
      <c r="J701" s="1" t="s">
        <v>234</v>
      </c>
      <c r="K701" s="1" t="s">
        <v>879</v>
      </c>
      <c r="M701" s="1" t="s">
        <v>234</v>
      </c>
      <c r="N701" s="1" t="s">
        <v>235</v>
      </c>
    </row>
    <row r="702" spans="1:14" x14ac:dyDescent="0.25">
      <c r="A702" s="1" t="s">
        <v>698</v>
      </c>
      <c r="B702" s="1" t="s">
        <v>507</v>
      </c>
      <c r="C702" s="1" t="s">
        <v>81</v>
      </c>
      <c r="D702" s="2"/>
      <c r="E702" s="1" t="s">
        <v>207</v>
      </c>
      <c r="F702" s="1"/>
      <c r="G702" s="1" t="s">
        <v>35</v>
      </c>
      <c r="H702" s="2"/>
      <c r="I702">
        <v>1</v>
      </c>
      <c r="J702" s="1" t="s">
        <v>234</v>
      </c>
      <c r="K702" s="1" t="s">
        <v>879</v>
      </c>
      <c r="M702" s="1" t="s">
        <v>234</v>
      </c>
      <c r="N702" s="1" t="s">
        <v>235</v>
      </c>
    </row>
    <row r="703" spans="1:14" x14ac:dyDescent="0.25">
      <c r="A703" s="1" t="s">
        <v>699</v>
      </c>
      <c r="B703" s="1" t="s">
        <v>507</v>
      </c>
      <c r="C703" s="1" t="s">
        <v>81</v>
      </c>
      <c r="D703" s="2"/>
      <c r="E703" s="1" t="s">
        <v>207</v>
      </c>
      <c r="F703" s="1"/>
      <c r="G703" s="1" t="s">
        <v>35</v>
      </c>
      <c r="H703" s="2"/>
      <c r="I703">
        <v>1</v>
      </c>
      <c r="J703" s="1" t="s">
        <v>234</v>
      </c>
      <c r="K703" s="1" t="s">
        <v>879</v>
      </c>
      <c r="M703" s="1" t="s">
        <v>234</v>
      </c>
      <c r="N703" s="1" t="s">
        <v>235</v>
      </c>
    </row>
    <row r="704" spans="1:14" x14ac:dyDescent="0.25">
      <c r="A704" s="1" t="s">
        <v>700</v>
      </c>
      <c r="B704" s="1" t="s">
        <v>507</v>
      </c>
      <c r="C704" s="1" t="s">
        <v>81</v>
      </c>
      <c r="D704" s="2"/>
      <c r="E704" s="1" t="s">
        <v>207</v>
      </c>
      <c r="F704" s="1"/>
      <c r="G704" s="1" t="s">
        <v>35</v>
      </c>
      <c r="H704" s="2"/>
      <c r="I704">
        <v>1</v>
      </c>
      <c r="J704" s="1" t="s">
        <v>234</v>
      </c>
      <c r="K704" s="1" t="s">
        <v>879</v>
      </c>
      <c r="M704" s="1" t="s">
        <v>234</v>
      </c>
      <c r="N704" s="1" t="s">
        <v>235</v>
      </c>
    </row>
    <row r="705" spans="1:14" x14ac:dyDescent="0.25">
      <c r="A705" s="1" t="s">
        <v>701</v>
      </c>
      <c r="B705" s="1" t="s">
        <v>507</v>
      </c>
      <c r="C705" s="1" t="s">
        <v>81</v>
      </c>
      <c r="D705" s="2"/>
      <c r="E705" s="1" t="s">
        <v>207</v>
      </c>
      <c r="F705" s="1"/>
      <c r="G705" s="1" t="s">
        <v>35</v>
      </c>
      <c r="H705" s="2"/>
      <c r="I705">
        <v>1</v>
      </c>
      <c r="J705" s="1" t="s">
        <v>234</v>
      </c>
      <c r="K705" s="1" t="s">
        <v>879</v>
      </c>
      <c r="M705" s="1" t="s">
        <v>234</v>
      </c>
      <c r="N705" s="1" t="s">
        <v>235</v>
      </c>
    </row>
    <row r="706" spans="1:14" x14ac:dyDescent="0.25">
      <c r="A706" s="1" t="s">
        <v>702</v>
      </c>
      <c r="B706" s="1" t="s">
        <v>507</v>
      </c>
      <c r="C706" s="1" t="s">
        <v>81</v>
      </c>
      <c r="D706" s="2"/>
      <c r="E706" s="1" t="s">
        <v>207</v>
      </c>
      <c r="F706" s="1"/>
      <c r="G706" s="1" t="s">
        <v>35</v>
      </c>
      <c r="H706" s="2"/>
      <c r="I706">
        <v>1</v>
      </c>
      <c r="J706" s="1" t="s">
        <v>234</v>
      </c>
      <c r="K706" s="1" t="s">
        <v>879</v>
      </c>
      <c r="M706" s="1" t="s">
        <v>234</v>
      </c>
      <c r="N706" s="1" t="s">
        <v>235</v>
      </c>
    </row>
    <row r="707" spans="1:14" x14ac:dyDescent="0.25">
      <c r="A707" s="1" t="s">
        <v>703</v>
      </c>
      <c r="B707" s="1" t="s">
        <v>507</v>
      </c>
      <c r="C707" s="1" t="s">
        <v>81</v>
      </c>
      <c r="D707" s="2"/>
      <c r="E707" s="1" t="s">
        <v>207</v>
      </c>
      <c r="F707" s="1"/>
      <c r="G707" s="1" t="s">
        <v>35</v>
      </c>
      <c r="H707" s="2"/>
      <c r="I707">
        <v>1</v>
      </c>
      <c r="J707" s="1" t="s">
        <v>234</v>
      </c>
      <c r="K707" s="1" t="s">
        <v>879</v>
      </c>
      <c r="M707" s="1" t="s">
        <v>234</v>
      </c>
      <c r="N707" s="1" t="s">
        <v>235</v>
      </c>
    </row>
    <row r="708" spans="1:14" x14ac:dyDescent="0.25">
      <c r="A708" s="1" t="s">
        <v>704</v>
      </c>
      <c r="B708" s="1" t="s">
        <v>507</v>
      </c>
      <c r="C708" s="1" t="s">
        <v>81</v>
      </c>
      <c r="D708" s="2"/>
      <c r="E708" s="1" t="s">
        <v>207</v>
      </c>
      <c r="F708" s="1"/>
      <c r="G708" s="1" t="s">
        <v>35</v>
      </c>
      <c r="H708" s="2"/>
      <c r="I708">
        <v>1</v>
      </c>
      <c r="J708" s="1" t="s">
        <v>234</v>
      </c>
      <c r="K708" s="1" t="s">
        <v>879</v>
      </c>
      <c r="M708" s="1" t="s">
        <v>234</v>
      </c>
      <c r="N708" s="1" t="s">
        <v>235</v>
      </c>
    </row>
    <row r="709" spans="1:14" x14ac:dyDescent="0.25">
      <c r="A709" s="1" t="s">
        <v>705</v>
      </c>
      <c r="B709" s="1" t="s">
        <v>507</v>
      </c>
      <c r="C709" s="1" t="s">
        <v>81</v>
      </c>
      <c r="D709" s="2"/>
      <c r="E709" s="1" t="s">
        <v>207</v>
      </c>
      <c r="F709" s="1"/>
      <c r="G709" s="1" t="s">
        <v>35</v>
      </c>
      <c r="H709" s="2"/>
      <c r="I709">
        <v>1</v>
      </c>
      <c r="J709" s="1" t="s">
        <v>234</v>
      </c>
      <c r="K709" s="1" t="s">
        <v>879</v>
      </c>
      <c r="M709" s="1" t="s">
        <v>234</v>
      </c>
      <c r="N709" s="1" t="s">
        <v>235</v>
      </c>
    </row>
    <row r="710" spans="1:14" x14ac:dyDescent="0.25">
      <c r="A710" s="1" t="s">
        <v>706</v>
      </c>
      <c r="B710" s="1" t="s">
        <v>507</v>
      </c>
      <c r="C710" s="1" t="s">
        <v>81</v>
      </c>
      <c r="D710" s="2"/>
      <c r="E710" s="1" t="s">
        <v>207</v>
      </c>
      <c r="F710" s="1"/>
      <c r="G710" s="1" t="s">
        <v>35</v>
      </c>
      <c r="H710" s="2"/>
      <c r="I710">
        <v>1</v>
      </c>
      <c r="J710" s="1" t="s">
        <v>234</v>
      </c>
      <c r="K710" s="1" t="s">
        <v>879</v>
      </c>
      <c r="M710" s="1" t="s">
        <v>234</v>
      </c>
      <c r="N710" s="1" t="s">
        <v>235</v>
      </c>
    </row>
    <row r="711" spans="1:14" x14ac:dyDescent="0.25">
      <c r="A711" s="1" t="s">
        <v>707</v>
      </c>
      <c r="B711" s="1" t="s">
        <v>507</v>
      </c>
      <c r="C711" s="1" t="s">
        <v>81</v>
      </c>
      <c r="D711" s="2"/>
      <c r="E711" s="1" t="s">
        <v>207</v>
      </c>
      <c r="F711" s="1"/>
      <c r="G711" s="1" t="s">
        <v>35</v>
      </c>
      <c r="H711" s="2"/>
      <c r="I711">
        <v>1</v>
      </c>
      <c r="J711" s="1" t="s">
        <v>234</v>
      </c>
      <c r="K711" s="1" t="s">
        <v>879</v>
      </c>
      <c r="M711" s="1" t="s">
        <v>234</v>
      </c>
      <c r="N711" s="1" t="s">
        <v>235</v>
      </c>
    </row>
    <row r="712" spans="1:14" x14ac:dyDescent="0.25">
      <c r="A712" s="1" t="s">
        <v>708</v>
      </c>
      <c r="B712" s="1" t="s">
        <v>507</v>
      </c>
      <c r="C712" s="1" t="s">
        <v>81</v>
      </c>
      <c r="D712" s="2"/>
      <c r="E712" s="1" t="s">
        <v>207</v>
      </c>
      <c r="F712" s="1"/>
      <c r="G712" s="1" t="s">
        <v>35</v>
      </c>
      <c r="H712" s="2"/>
      <c r="I712">
        <v>1</v>
      </c>
      <c r="J712" s="1" t="s">
        <v>234</v>
      </c>
      <c r="K712" s="1" t="s">
        <v>879</v>
      </c>
      <c r="M712" s="1" t="s">
        <v>234</v>
      </c>
      <c r="N712" s="1" t="s">
        <v>235</v>
      </c>
    </row>
    <row r="713" spans="1:14" x14ac:dyDescent="0.25">
      <c r="A713" s="1" t="s">
        <v>709</v>
      </c>
      <c r="B713" s="1" t="s">
        <v>507</v>
      </c>
      <c r="C713" s="1" t="s">
        <v>81</v>
      </c>
      <c r="D713" s="2"/>
      <c r="E713" s="1" t="s">
        <v>207</v>
      </c>
      <c r="F713" s="1"/>
      <c r="G713" s="1" t="s">
        <v>35</v>
      </c>
      <c r="H713" s="2"/>
      <c r="I713">
        <v>1</v>
      </c>
      <c r="J713" s="1" t="s">
        <v>234</v>
      </c>
      <c r="K713" s="1" t="s">
        <v>879</v>
      </c>
      <c r="M713" s="1" t="s">
        <v>234</v>
      </c>
      <c r="N713" s="1" t="s">
        <v>235</v>
      </c>
    </row>
    <row r="714" spans="1:14" x14ac:dyDescent="0.25">
      <c r="A714" s="1" t="s">
        <v>710</v>
      </c>
      <c r="B714" s="1" t="s">
        <v>507</v>
      </c>
      <c r="C714" s="1" t="s">
        <v>81</v>
      </c>
      <c r="D714" s="2"/>
      <c r="E714" s="1" t="s">
        <v>207</v>
      </c>
      <c r="F714" s="1"/>
      <c r="G714" s="1" t="s">
        <v>35</v>
      </c>
      <c r="H714" s="2"/>
      <c r="I714">
        <v>1</v>
      </c>
      <c r="J714" s="1" t="s">
        <v>234</v>
      </c>
      <c r="K714" s="1" t="s">
        <v>879</v>
      </c>
      <c r="M714" s="1" t="s">
        <v>234</v>
      </c>
      <c r="N714" s="1" t="s">
        <v>235</v>
      </c>
    </row>
    <row r="715" spans="1:14" x14ac:dyDescent="0.25">
      <c r="A715" s="1" t="s">
        <v>711</v>
      </c>
      <c r="B715" s="1" t="s">
        <v>507</v>
      </c>
      <c r="C715" s="1" t="s">
        <v>81</v>
      </c>
      <c r="D715" s="2"/>
      <c r="E715" s="1" t="s">
        <v>207</v>
      </c>
      <c r="F715" s="1"/>
      <c r="G715" s="1" t="s">
        <v>35</v>
      </c>
      <c r="H715" s="2"/>
      <c r="I715">
        <v>1</v>
      </c>
      <c r="J715" s="1" t="s">
        <v>234</v>
      </c>
      <c r="K715" s="1" t="s">
        <v>879</v>
      </c>
      <c r="M715" s="1" t="s">
        <v>234</v>
      </c>
      <c r="N715" s="1" t="s">
        <v>235</v>
      </c>
    </row>
    <row r="716" spans="1:14" x14ac:dyDescent="0.25">
      <c r="A716" s="1" t="s">
        <v>712</v>
      </c>
      <c r="B716" s="1" t="s">
        <v>507</v>
      </c>
      <c r="C716" s="1" t="s">
        <v>81</v>
      </c>
      <c r="D716" s="2"/>
      <c r="E716" s="1" t="s">
        <v>207</v>
      </c>
      <c r="F716" s="1"/>
      <c r="G716" s="1" t="s">
        <v>35</v>
      </c>
      <c r="H716" s="2"/>
      <c r="I716">
        <v>1</v>
      </c>
      <c r="J716" s="1" t="s">
        <v>234</v>
      </c>
      <c r="K716" s="1" t="s">
        <v>879</v>
      </c>
      <c r="M716" s="1" t="s">
        <v>234</v>
      </c>
      <c r="N716" s="1" t="s">
        <v>235</v>
      </c>
    </row>
    <row r="717" spans="1:14" x14ac:dyDescent="0.25">
      <c r="A717" s="1" t="s">
        <v>713</v>
      </c>
      <c r="B717" s="1" t="s">
        <v>507</v>
      </c>
      <c r="C717" s="1" t="s">
        <v>81</v>
      </c>
      <c r="D717" s="2"/>
      <c r="E717" s="1" t="s">
        <v>207</v>
      </c>
      <c r="F717" s="1"/>
      <c r="G717" s="1" t="s">
        <v>35</v>
      </c>
      <c r="H717" s="2"/>
      <c r="I717">
        <v>1</v>
      </c>
      <c r="J717" s="1" t="s">
        <v>234</v>
      </c>
      <c r="K717" s="1" t="s">
        <v>879</v>
      </c>
      <c r="M717" s="1" t="s">
        <v>234</v>
      </c>
      <c r="N717" s="1" t="s">
        <v>235</v>
      </c>
    </row>
    <row r="718" spans="1:14" x14ac:dyDescent="0.25">
      <c r="A718" s="1" t="s">
        <v>714</v>
      </c>
      <c r="B718" s="1" t="s">
        <v>507</v>
      </c>
      <c r="C718" s="1" t="s">
        <v>81</v>
      </c>
      <c r="D718" s="2"/>
      <c r="E718" s="1" t="s">
        <v>207</v>
      </c>
      <c r="F718" s="1"/>
      <c r="G718" s="1" t="s">
        <v>35</v>
      </c>
      <c r="H718" s="2"/>
      <c r="I718">
        <v>1</v>
      </c>
      <c r="J718" s="1" t="s">
        <v>234</v>
      </c>
      <c r="K718" s="1" t="s">
        <v>879</v>
      </c>
      <c r="M718" s="1" t="s">
        <v>234</v>
      </c>
      <c r="N718" s="1" t="s">
        <v>235</v>
      </c>
    </row>
    <row r="719" spans="1:14" x14ac:dyDescent="0.25">
      <c r="A719" s="1" t="s">
        <v>715</v>
      </c>
      <c r="B719" s="1" t="s">
        <v>507</v>
      </c>
      <c r="C719" s="1" t="s">
        <v>81</v>
      </c>
      <c r="D719" s="2"/>
      <c r="E719" s="1" t="s">
        <v>207</v>
      </c>
      <c r="F719" s="1"/>
      <c r="G719" s="1" t="s">
        <v>35</v>
      </c>
      <c r="H719" s="2"/>
      <c r="I719">
        <v>1</v>
      </c>
      <c r="J719" s="1" t="s">
        <v>234</v>
      </c>
      <c r="K719" s="1" t="s">
        <v>879</v>
      </c>
      <c r="M719" s="1" t="s">
        <v>234</v>
      </c>
      <c r="N719" s="1" t="s">
        <v>235</v>
      </c>
    </row>
    <row r="720" spans="1:14" x14ac:dyDescent="0.25">
      <c r="A720" s="1" t="s">
        <v>716</v>
      </c>
      <c r="B720" s="1" t="s">
        <v>507</v>
      </c>
      <c r="C720" s="1" t="s">
        <v>81</v>
      </c>
      <c r="D720" s="2"/>
      <c r="E720" s="1" t="s">
        <v>207</v>
      </c>
      <c r="F720" s="1"/>
      <c r="G720" s="1" t="s">
        <v>35</v>
      </c>
      <c r="H720" s="2"/>
      <c r="I720">
        <v>1</v>
      </c>
      <c r="J720" s="1" t="s">
        <v>234</v>
      </c>
      <c r="K720" s="1" t="s">
        <v>879</v>
      </c>
      <c r="M720" s="1" t="s">
        <v>234</v>
      </c>
      <c r="N720" s="1" t="s">
        <v>235</v>
      </c>
    </row>
    <row r="721" spans="1:14" x14ac:dyDescent="0.25">
      <c r="A721" s="1" t="s">
        <v>717</v>
      </c>
      <c r="B721" s="1" t="s">
        <v>507</v>
      </c>
      <c r="C721" s="1" t="s">
        <v>81</v>
      </c>
      <c r="D721" s="2"/>
      <c r="E721" s="1" t="s">
        <v>207</v>
      </c>
      <c r="F721" s="1"/>
      <c r="G721" s="1" t="s">
        <v>35</v>
      </c>
      <c r="H721" s="2"/>
      <c r="I721">
        <v>1</v>
      </c>
      <c r="J721" s="1" t="s">
        <v>234</v>
      </c>
      <c r="K721" s="1" t="s">
        <v>879</v>
      </c>
      <c r="M721" s="1" t="s">
        <v>234</v>
      </c>
      <c r="N721" s="1" t="s">
        <v>235</v>
      </c>
    </row>
    <row r="722" spans="1:14" x14ac:dyDescent="0.25">
      <c r="A722" s="1" t="s">
        <v>718</v>
      </c>
      <c r="B722" s="1" t="s">
        <v>507</v>
      </c>
      <c r="C722" s="1" t="s">
        <v>81</v>
      </c>
      <c r="D722" s="2"/>
      <c r="E722" s="1" t="s">
        <v>207</v>
      </c>
      <c r="F722" s="1"/>
      <c r="G722" s="1" t="s">
        <v>35</v>
      </c>
      <c r="H722" s="2"/>
      <c r="I722">
        <v>1</v>
      </c>
      <c r="J722" s="1" t="s">
        <v>234</v>
      </c>
      <c r="K722" s="1" t="s">
        <v>879</v>
      </c>
      <c r="M722" s="1" t="s">
        <v>234</v>
      </c>
      <c r="N722" s="1" t="s">
        <v>235</v>
      </c>
    </row>
    <row r="723" spans="1:14" x14ac:dyDescent="0.25">
      <c r="A723" s="1" t="s">
        <v>719</v>
      </c>
      <c r="B723" s="1" t="s">
        <v>507</v>
      </c>
      <c r="C723" s="1" t="s">
        <v>81</v>
      </c>
      <c r="D723" s="2"/>
      <c r="E723" s="1" t="s">
        <v>207</v>
      </c>
      <c r="F723" s="1"/>
      <c r="G723" s="1" t="s">
        <v>35</v>
      </c>
      <c r="H723" s="2"/>
      <c r="I723">
        <v>1</v>
      </c>
      <c r="J723" s="1" t="s">
        <v>234</v>
      </c>
      <c r="K723" s="1" t="s">
        <v>879</v>
      </c>
      <c r="M723" s="1" t="s">
        <v>234</v>
      </c>
      <c r="N723" s="1" t="s">
        <v>235</v>
      </c>
    </row>
    <row r="724" spans="1:14" x14ac:dyDescent="0.25">
      <c r="A724" s="1" t="s">
        <v>720</v>
      </c>
      <c r="B724" s="1" t="s">
        <v>507</v>
      </c>
      <c r="C724" s="1" t="s">
        <v>81</v>
      </c>
      <c r="D724" s="2"/>
      <c r="E724" s="1" t="s">
        <v>207</v>
      </c>
      <c r="F724" s="1"/>
      <c r="G724" s="1" t="s">
        <v>35</v>
      </c>
      <c r="H724" s="2"/>
      <c r="I724">
        <v>1</v>
      </c>
      <c r="J724" s="1" t="s">
        <v>234</v>
      </c>
      <c r="K724" s="1" t="s">
        <v>879</v>
      </c>
      <c r="M724" s="1" t="s">
        <v>234</v>
      </c>
      <c r="N724" s="1" t="s">
        <v>235</v>
      </c>
    </row>
    <row r="725" spans="1:14" x14ac:dyDescent="0.25">
      <c r="A725" s="1" t="s">
        <v>721</v>
      </c>
      <c r="B725" s="1" t="s">
        <v>507</v>
      </c>
      <c r="C725" s="1" t="s">
        <v>81</v>
      </c>
      <c r="D725" s="2"/>
      <c r="E725" s="1" t="s">
        <v>207</v>
      </c>
      <c r="F725" s="1"/>
      <c r="G725" s="1" t="s">
        <v>35</v>
      </c>
      <c r="H725" s="2"/>
      <c r="I725">
        <v>1</v>
      </c>
      <c r="J725" s="1" t="s">
        <v>234</v>
      </c>
      <c r="K725" s="1" t="s">
        <v>879</v>
      </c>
      <c r="M725" s="1" t="s">
        <v>234</v>
      </c>
      <c r="N725" s="1" t="s">
        <v>235</v>
      </c>
    </row>
    <row r="726" spans="1:14" x14ac:dyDescent="0.25">
      <c r="A726" s="1" t="s">
        <v>722</v>
      </c>
      <c r="B726" s="1" t="s">
        <v>507</v>
      </c>
      <c r="C726" s="1" t="s">
        <v>81</v>
      </c>
      <c r="D726" s="2"/>
      <c r="E726" s="1" t="s">
        <v>207</v>
      </c>
      <c r="F726" s="1"/>
      <c r="G726" s="1" t="s">
        <v>35</v>
      </c>
      <c r="H726" s="2"/>
      <c r="I726">
        <v>1</v>
      </c>
      <c r="J726" s="1" t="s">
        <v>234</v>
      </c>
      <c r="K726" s="1" t="s">
        <v>879</v>
      </c>
      <c r="M726" s="1" t="s">
        <v>234</v>
      </c>
      <c r="N726" s="1" t="s">
        <v>235</v>
      </c>
    </row>
    <row r="727" spans="1:14" x14ac:dyDescent="0.25">
      <c r="A727" s="1" t="s">
        <v>723</v>
      </c>
      <c r="B727" s="1" t="s">
        <v>507</v>
      </c>
      <c r="C727" s="1" t="s">
        <v>81</v>
      </c>
      <c r="D727" s="2"/>
      <c r="E727" s="1" t="s">
        <v>207</v>
      </c>
      <c r="F727" s="1"/>
      <c r="G727" s="1" t="s">
        <v>35</v>
      </c>
      <c r="H727" s="2"/>
      <c r="I727">
        <v>1</v>
      </c>
      <c r="J727" s="1" t="s">
        <v>234</v>
      </c>
      <c r="K727" s="1" t="s">
        <v>879</v>
      </c>
      <c r="M727" s="1" t="s">
        <v>234</v>
      </c>
      <c r="N727" s="1" t="s">
        <v>235</v>
      </c>
    </row>
    <row r="728" spans="1:14" x14ac:dyDescent="0.25">
      <c r="A728" s="1" t="s">
        <v>724</v>
      </c>
      <c r="B728" s="1" t="s">
        <v>507</v>
      </c>
      <c r="C728" s="1" t="s">
        <v>81</v>
      </c>
      <c r="D728" s="2"/>
      <c r="E728" s="1" t="s">
        <v>207</v>
      </c>
      <c r="F728" s="1"/>
      <c r="G728" s="1" t="s">
        <v>35</v>
      </c>
      <c r="H728" s="2"/>
      <c r="I728">
        <v>1</v>
      </c>
      <c r="J728" s="1" t="s">
        <v>234</v>
      </c>
      <c r="K728" s="1" t="s">
        <v>879</v>
      </c>
      <c r="M728" s="1" t="s">
        <v>234</v>
      </c>
      <c r="N728" s="1" t="s">
        <v>235</v>
      </c>
    </row>
    <row r="729" spans="1:14" x14ac:dyDescent="0.25">
      <c r="A729" s="1" t="s">
        <v>725</v>
      </c>
      <c r="B729" s="1" t="s">
        <v>507</v>
      </c>
      <c r="C729" s="1" t="s">
        <v>81</v>
      </c>
      <c r="D729" s="2"/>
      <c r="E729" s="1" t="s">
        <v>207</v>
      </c>
      <c r="F729" s="1"/>
      <c r="G729" s="1" t="s">
        <v>35</v>
      </c>
      <c r="H729" s="2"/>
      <c r="I729">
        <v>1</v>
      </c>
      <c r="J729" s="1" t="s">
        <v>234</v>
      </c>
      <c r="K729" s="1" t="s">
        <v>879</v>
      </c>
      <c r="M729" s="1" t="s">
        <v>234</v>
      </c>
      <c r="N729" s="1" t="s">
        <v>235</v>
      </c>
    </row>
    <row r="730" spans="1:14" x14ac:dyDescent="0.25">
      <c r="A730" s="1" t="s">
        <v>726</v>
      </c>
      <c r="B730" s="1" t="s">
        <v>507</v>
      </c>
      <c r="C730" s="1" t="s">
        <v>81</v>
      </c>
      <c r="D730" s="2"/>
      <c r="E730" s="1" t="s">
        <v>207</v>
      </c>
      <c r="F730" s="1"/>
      <c r="G730" s="1" t="s">
        <v>35</v>
      </c>
      <c r="H730" s="2"/>
      <c r="I730">
        <v>1</v>
      </c>
      <c r="J730" s="1" t="s">
        <v>234</v>
      </c>
      <c r="K730" s="1" t="s">
        <v>879</v>
      </c>
      <c r="M730" s="1" t="s">
        <v>234</v>
      </c>
      <c r="N730" s="1" t="s">
        <v>235</v>
      </c>
    </row>
    <row r="731" spans="1:14" x14ac:dyDescent="0.25">
      <c r="A731" s="1" t="s">
        <v>727</v>
      </c>
      <c r="B731" s="1" t="s">
        <v>507</v>
      </c>
      <c r="C731" s="1" t="s">
        <v>81</v>
      </c>
      <c r="D731" s="2"/>
      <c r="E731" s="1" t="s">
        <v>207</v>
      </c>
      <c r="F731" s="1"/>
      <c r="G731" s="1" t="s">
        <v>35</v>
      </c>
      <c r="H731" s="2"/>
      <c r="I731">
        <v>1</v>
      </c>
      <c r="J731" s="1" t="s">
        <v>234</v>
      </c>
      <c r="K731" s="1" t="s">
        <v>879</v>
      </c>
      <c r="M731" s="1" t="s">
        <v>234</v>
      </c>
      <c r="N731" s="1" t="s">
        <v>235</v>
      </c>
    </row>
    <row r="732" spans="1:14" x14ac:dyDescent="0.25">
      <c r="A732" s="1" t="s">
        <v>728</v>
      </c>
      <c r="B732" s="1" t="s">
        <v>507</v>
      </c>
      <c r="C732" s="1" t="s">
        <v>81</v>
      </c>
      <c r="D732" s="2"/>
      <c r="E732" s="1" t="s">
        <v>207</v>
      </c>
      <c r="F732" s="1"/>
      <c r="G732" s="1" t="s">
        <v>35</v>
      </c>
      <c r="H732" s="2"/>
      <c r="I732">
        <v>1</v>
      </c>
      <c r="J732" s="1" t="s">
        <v>234</v>
      </c>
      <c r="K732" s="1" t="s">
        <v>879</v>
      </c>
      <c r="M732" s="1" t="s">
        <v>234</v>
      </c>
      <c r="N732" s="1" t="s">
        <v>235</v>
      </c>
    </row>
    <row r="733" spans="1:14" x14ac:dyDescent="0.25">
      <c r="A733" s="1" t="s">
        <v>729</v>
      </c>
      <c r="B733" s="1" t="s">
        <v>507</v>
      </c>
      <c r="C733" s="1" t="s">
        <v>81</v>
      </c>
      <c r="D733" s="2"/>
      <c r="E733" s="1" t="s">
        <v>207</v>
      </c>
      <c r="F733" s="1"/>
      <c r="G733" s="1" t="s">
        <v>35</v>
      </c>
      <c r="H733" s="2"/>
      <c r="I733">
        <v>1</v>
      </c>
      <c r="J733" s="1" t="s">
        <v>234</v>
      </c>
      <c r="K733" s="1" t="s">
        <v>879</v>
      </c>
      <c r="M733" s="1" t="s">
        <v>234</v>
      </c>
      <c r="N733" s="1" t="s">
        <v>235</v>
      </c>
    </row>
    <row r="734" spans="1:14" x14ac:dyDescent="0.25">
      <c r="A734" s="1" t="s">
        <v>730</v>
      </c>
      <c r="B734" s="1" t="s">
        <v>618</v>
      </c>
      <c r="C734" s="1" t="s">
        <v>81</v>
      </c>
      <c r="D734" s="2"/>
      <c r="E734" s="1" t="s">
        <v>207</v>
      </c>
      <c r="F734" s="1"/>
      <c r="G734" s="1" t="s">
        <v>35</v>
      </c>
      <c r="H734" s="2"/>
      <c r="I734">
        <v>1</v>
      </c>
      <c r="J734" s="1" t="s">
        <v>234</v>
      </c>
      <c r="K734" s="1" t="s">
        <v>879</v>
      </c>
      <c r="M734" s="1" t="s">
        <v>234</v>
      </c>
      <c r="N734" s="1" t="s">
        <v>235</v>
      </c>
    </row>
    <row r="735" spans="1:14" x14ac:dyDescent="0.25">
      <c r="A735" s="1" t="s">
        <v>731</v>
      </c>
      <c r="B735" s="1" t="s">
        <v>618</v>
      </c>
      <c r="C735" s="1" t="s">
        <v>81</v>
      </c>
      <c r="D735" s="2"/>
      <c r="E735" s="1" t="s">
        <v>207</v>
      </c>
      <c r="F735" s="1"/>
      <c r="G735" s="1" t="s">
        <v>35</v>
      </c>
      <c r="H735" s="2"/>
      <c r="I735">
        <v>1</v>
      </c>
      <c r="J735" s="1" t="s">
        <v>234</v>
      </c>
      <c r="K735" s="1" t="s">
        <v>879</v>
      </c>
      <c r="M735" s="1" t="s">
        <v>234</v>
      </c>
      <c r="N735" s="1" t="s">
        <v>235</v>
      </c>
    </row>
    <row r="736" spans="1:14" x14ac:dyDescent="0.25">
      <c r="A736" s="1" t="s">
        <v>732</v>
      </c>
      <c r="B736" s="1" t="s">
        <v>618</v>
      </c>
      <c r="C736" s="1" t="s">
        <v>81</v>
      </c>
      <c r="D736" s="2"/>
      <c r="E736" s="1" t="s">
        <v>207</v>
      </c>
      <c r="F736" s="1"/>
      <c r="G736" s="1" t="s">
        <v>35</v>
      </c>
      <c r="H736" s="2"/>
      <c r="I736">
        <v>1</v>
      </c>
      <c r="J736" s="1" t="s">
        <v>234</v>
      </c>
      <c r="K736" s="1" t="s">
        <v>879</v>
      </c>
      <c r="M736" s="1" t="s">
        <v>234</v>
      </c>
      <c r="N736" s="1" t="s">
        <v>235</v>
      </c>
    </row>
    <row r="737" spans="1:14" x14ac:dyDescent="0.25">
      <c r="A737" s="1" t="s">
        <v>733</v>
      </c>
      <c r="B737" s="1" t="s">
        <v>618</v>
      </c>
      <c r="C737" s="1" t="s">
        <v>81</v>
      </c>
      <c r="D737" s="2"/>
      <c r="E737" s="1" t="s">
        <v>207</v>
      </c>
      <c r="F737" s="1"/>
      <c r="G737" s="1" t="s">
        <v>35</v>
      </c>
      <c r="H737" s="2"/>
      <c r="I737">
        <v>1</v>
      </c>
      <c r="J737" s="1" t="s">
        <v>234</v>
      </c>
      <c r="K737" s="1" t="s">
        <v>879</v>
      </c>
      <c r="M737" s="1" t="s">
        <v>234</v>
      </c>
      <c r="N737" s="1" t="s">
        <v>235</v>
      </c>
    </row>
    <row r="738" spans="1:14" x14ac:dyDescent="0.25">
      <c r="A738" s="1" t="s">
        <v>734</v>
      </c>
      <c r="B738" s="1" t="s">
        <v>618</v>
      </c>
      <c r="C738" s="1" t="s">
        <v>81</v>
      </c>
      <c r="D738" s="2"/>
      <c r="E738" s="1" t="s">
        <v>207</v>
      </c>
      <c r="F738" s="1"/>
      <c r="G738" s="1" t="s">
        <v>35</v>
      </c>
      <c r="H738" s="2"/>
      <c r="I738">
        <v>1</v>
      </c>
      <c r="J738" s="1" t="s">
        <v>234</v>
      </c>
      <c r="K738" s="1" t="s">
        <v>879</v>
      </c>
      <c r="M738" s="1" t="s">
        <v>234</v>
      </c>
      <c r="N738" s="1" t="s">
        <v>235</v>
      </c>
    </row>
    <row r="739" spans="1:14" x14ac:dyDescent="0.25">
      <c r="A739" s="1" t="s">
        <v>735</v>
      </c>
      <c r="B739" s="1" t="s">
        <v>618</v>
      </c>
      <c r="C739" s="1" t="s">
        <v>81</v>
      </c>
      <c r="D739" s="2"/>
      <c r="E739" s="1" t="s">
        <v>207</v>
      </c>
      <c r="F739" s="1"/>
      <c r="G739" s="1" t="s">
        <v>35</v>
      </c>
      <c r="H739" s="2"/>
      <c r="I739">
        <v>1</v>
      </c>
      <c r="J739" s="1" t="s">
        <v>234</v>
      </c>
      <c r="K739" s="1" t="s">
        <v>879</v>
      </c>
      <c r="M739" s="1" t="s">
        <v>234</v>
      </c>
      <c r="N739" s="1" t="s">
        <v>235</v>
      </c>
    </row>
    <row r="740" spans="1:14" x14ac:dyDescent="0.25">
      <c r="A740" s="1" t="s">
        <v>736</v>
      </c>
      <c r="B740" s="1" t="s">
        <v>618</v>
      </c>
      <c r="C740" s="1" t="s">
        <v>81</v>
      </c>
      <c r="D740" s="2"/>
      <c r="E740" s="1" t="s">
        <v>207</v>
      </c>
      <c r="F740" s="1"/>
      <c r="G740" s="1" t="s">
        <v>35</v>
      </c>
      <c r="H740" s="2"/>
      <c r="I740">
        <v>1</v>
      </c>
      <c r="J740" s="1" t="s">
        <v>234</v>
      </c>
      <c r="K740" s="1" t="s">
        <v>879</v>
      </c>
      <c r="M740" s="1" t="s">
        <v>234</v>
      </c>
      <c r="N740" s="1" t="s">
        <v>235</v>
      </c>
    </row>
    <row r="741" spans="1:14" x14ac:dyDescent="0.25">
      <c r="A741" s="1" t="s">
        <v>737</v>
      </c>
      <c r="B741" s="1" t="s">
        <v>618</v>
      </c>
      <c r="C741" s="1" t="s">
        <v>81</v>
      </c>
      <c r="D741" s="2"/>
      <c r="E741" s="1" t="s">
        <v>207</v>
      </c>
      <c r="F741" s="1"/>
      <c r="G741" s="1" t="s">
        <v>35</v>
      </c>
      <c r="H741" s="2"/>
      <c r="I741">
        <v>1</v>
      </c>
      <c r="J741" s="1" t="s">
        <v>234</v>
      </c>
      <c r="K741" s="1" t="s">
        <v>879</v>
      </c>
      <c r="M741" s="1" t="s">
        <v>234</v>
      </c>
      <c r="N741" s="1" t="s">
        <v>235</v>
      </c>
    </row>
    <row r="742" spans="1:14" x14ac:dyDescent="0.25">
      <c r="A742" s="1" t="s">
        <v>738</v>
      </c>
      <c r="B742" s="1" t="s">
        <v>618</v>
      </c>
      <c r="C742" s="1" t="s">
        <v>81</v>
      </c>
      <c r="D742" s="2"/>
      <c r="E742" s="1" t="s">
        <v>207</v>
      </c>
      <c r="F742" s="1"/>
      <c r="G742" s="1" t="s">
        <v>35</v>
      </c>
      <c r="H742" s="2"/>
      <c r="I742">
        <v>1</v>
      </c>
      <c r="J742" s="1" t="s">
        <v>234</v>
      </c>
      <c r="K742" s="1" t="s">
        <v>879</v>
      </c>
      <c r="M742" s="1" t="s">
        <v>234</v>
      </c>
      <c r="N742" s="1" t="s">
        <v>235</v>
      </c>
    </row>
    <row r="743" spans="1:14" x14ac:dyDescent="0.25">
      <c r="A743" s="1" t="s">
        <v>739</v>
      </c>
      <c r="B743" s="1" t="s">
        <v>618</v>
      </c>
      <c r="C743" s="1" t="s">
        <v>81</v>
      </c>
      <c r="D743" s="2"/>
      <c r="E743" s="1" t="s">
        <v>207</v>
      </c>
      <c r="F743" s="1"/>
      <c r="G743" s="1" t="s">
        <v>35</v>
      </c>
      <c r="H743" s="2"/>
      <c r="I743">
        <v>1</v>
      </c>
      <c r="J743" s="1" t="s">
        <v>234</v>
      </c>
      <c r="K743" s="1" t="s">
        <v>879</v>
      </c>
      <c r="M743" s="1" t="s">
        <v>234</v>
      </c>
      <c r="N743" s="1" t="s">
        <v>235</v>
      </c>
    </row>
    <row r="744" spans="1:14" x14ac:dyDescent="0.25">
      <c r="A744" s="1" t="s">
        <v>740</v>
      </c>
      <c r="B744" s="1" t="s">
        <v>618</v>
      </c>
      <c r="C744" s="1" t="s">
        <v>81</v>
      </c>
      <c r="D744" s="2"/>
      <c r="E744" s="1" t="s">
        <v>207</v>
      </c>
      <c r="F744" s="1"/>
      <c r="G744" s="1" t="s">
        <v>35</v>
      </c>
      <c r="H744" s="2"/>
      <c r="I744">
        <v>1</v>
      </c>
      <c r="J744" s="1" t="s">
        <v>234</v>
      </c>
      <c r="K744" s="1" t="s">
        <v>879</v>
      </c>
      <c r="M744" s="1" t="s">
        <v>234</v>
      </c>
      <c r="N744" s="1" t="s">
        <v>235</v>
      </c>
    </row>
    <row r="745" spans="1:14" x14ac:dyDescent="0.25">
      <c r="A745" s="1" t="s">
        <v>741</v>
      </c>
      <c r="B745" s="1" t="s">
        <v>618</v>
      </c>
      <c r="C745" s="1" t="s">
        <v>81</v>
      </c>
      <c r="D745" s="2"/>
      <c r="E745" s="1" t="s">
        <v>207</v>
      </c>
      <c r="F745" s="1"/>
      <c r="G745" s="1" t="s">
        <v>35</v>
      </c>
      <c r="H745" s="2"/>
      <c r="I745">
        <v>1</v>
      </c>
      <c r="J745" s="1" t="s">
        <v>234</v>
      </c>
      <c r="K745" s="1" t="s">
        <v>879</v>
      </c>
      <c r="M745" s="1" t="s">
        <v>234</v>
      </c>
      <c r="N745" s="1" t="s">
        <v>235</v>
      </c>
    </row>
    <row r="746" spans="1:14" x14ac:dyDescent="0.25">
      <c r="A746" s="1" t="s">
        <v>742</v>
      </c>
      <c r="B746" s="1" t="s">
        <v>618</v>
      </c>
      <c r="C746" s="1" t="s">
        <v>81</v>
      </c>
      <c r="D746" s="2"/>
      <c r="E746" s="1" t="s">
        <v>207</v>
      </c>
      <c r="F746" s="1"/>
      <c r="G746" s="1" t="s">
        <v>35</v>
      </c>
      <c r="H746" s="2"/>
      <c r="I746">
        <v>1</v>
      </c>
      <c r="J746" s="1" t="s">
        <v>234</v>
      </c>
      <c r="K746" s="1" t="s">
        <v>879</v>
      </c>
      <c r="M746" s="1" t="s">
        <v>234</v>
      </c>
      <c r="N746" s="1" t="s">
        <v>235</v>
      </c>
    </row>
    <row r="747" spans="1:14" x14ac:dyDescent="0.25">
      <c r="A747" s="1" t="s">
        <v>743</v>
      </c>
      <c r="B747" s="1" t="s">
        <v>618</v>
      </c>
      <c r="C747" s="1" t="s">
        <v>81</v>
      </c>
      <c r="D747" s="2"/>
      <c r="E747" s="1" t="s">
        <v>207</v>
      </c>
      <c r="F747" s="1"/>
      <c r="G747" s="1" t="s">
        <v>35</v>
      </c>
      <c r="H747" s="2"/>
      <c r="I747">
        <v>1</v>
      </c>
      <c r="J747" s="1" t="s">
        <v>234</v>
      </c>
      <c r="K747" s="1" t="s">
        <v>879</v>
      </c>
      <c r="M747" s="1" t="s">
        <v>234</v>
      </c>
      <c r="N747" s="1" t="s">
        <v>235</v>
      </c>
    </row>
    <row r="748" spans="1:14" x14ac:dyDescent="0.25">
      <c r="A748" s="1" t="s">
        <v>744</v>
      </c>
      <c r="B748" s="1" t="s">
        <v>618</v>
      </c>
      <c r="C748" s="1" t="s">
        <v>81</v>
      </c>
      <c r="D748" s="2"/>
      <c r="E748" s="1" t="s">
        <v>207</v>
      </c>
      <c r="F748" s="1"/>
      <c r="G748" s="1" t="s">
        <v>35</v>
      </c>
      <c r="H748" s="2"/>
      <c r="I748">
        <v>1</v>
      </c>
      <c r="J748" s="1" t="s">
        <v>234</v>
      </c>
      <c r="K748" s="1" t="s">
        <v>879</v>
      </c>
      <c r="M748" s="1" t="s">
        <v>234</v>
      </c>
      <c r="N748" s="1" t="s">
        <v>235</v>
      </c>
    </row>
    <row r="749" spans="1:14" x14ac:dyDescent="0.25">
      <c r="A749" s="1" t="s">
        <v>745</v>
      </c>
      <c r="B749" s="1" t="s">
        <v>618</v>
      </c>
      <c r="C749" s="1" t="s">
        <v>81</v>
      </c>
      <c r="D749" s="2"/>
      <c r="E749" s="1" t="s">
        <v>207</v>
      </c>
      <c r="F749" s="1"/>
      <c r="G749" s="1" t="s">
        <v>35</v>
      </c>
      <c r="H749" s="2"/>
      <c r="I749">
        <v>1</v>
      </c>
      <c r="J749" s="1" t="s">
        <v>234</v>
      </c>
      <c r="K749" s="1" t="s">
        <v>879</v>
      </c>
      <c r="M749" s="1" t="s">
        <v>234</v>
      </c>
      <c r="N749" s="1" t="s">
        <v>235</v>
      </c>
    </row>
    <row r="750" spans="1:14" x14ac:dyDescent="0.25">
      <c r="A750" s="1" t="s">
        <v>746</v>
      </c>
      <c r="B750" s="1" t="s">
        <v>618</v>
      </c>
      <c r="C750" s="1" t="s">
        <v>81</v>
      </c>
      <c r="D750" s="2"/>
      <c r="E750" s="1" t="s">
        <v>207</v>
      </c>
      <c r="F750" s="1"/>
      <c r="G750" s="1" t="s">
        <v>35</v>
      </c>
      <c r="H750" s="2"/>
      <c r="I750">
        <v>1</v>
      </c>
      <c r="J750" s="1" t="s">
        <v>234</v>
      </c>
      <c r="K750" s="1" t="s">
        <v>879</v>
      </c>
      <c r="M750" s="1" t="s">
        <v>234</v>
      </c>
      <c r="N750" s="1" t="s">
        <v>235</v>
      </c>
    </row>
    <row r="751" spans="1:14" x14ac:dyDescent="0.25">
      <c r="A751" s="1" t="s">
        <v>747</v>
      </c>
      <c r="B751" s="1" t="s">
        <v>618</v>
      </c>
      <c r="C751" s="1" t="s">
        <v>81</v>
      </c>
      <c r="D751" s="2"/>
      <c r="E751" s="1" t="s">
        <v>207</v>
      </c>
      <c r="F751" s="1"/>
      <c r="G751" s="1" t="s">
        <v>35</v>
      </c>
      <c r="H751" s="2"/>
      <c r="I751">
        <v>1</v>
      </c>
      <c r="J751" s="1" t="s">
        <v>234</v>
      </c>
      <c r="K751" s="1" t="s">
        <v>879</v>
      </c>
      <c r="M751" s="1" t="s">
        <v>234</v>
      </c>
      <c r="N751" s="1" t="s">
        <v>235</v>
      </c>
    </row>
    <row r="752" spans="1:14" x14ac:dyDescent="0.25">
      <c r="A752" s="1" t="s">
        <v>748</v>
      </c>
      <c r="B752" s="1" t="s">
        <v>618</v>
      </c>
      <c r="C752" s="1" t="s">
        <v>81</v>
      </c>
      <c r="D752" s="2"/>
      <c r="E752" s="1" t="s">
        <v>207</v>
      </c>
      <c r="F752" s="1"/>
      <c r="G752" s="1" t="s">
        <v>35</v>
      </c>
      <c r="H752" s="2"/>
      <c r="I752">
        <v>1</v>
      </c>
      <c r="J752" s="1" t="s">
        <v>234</v>
      </c>
      <c r="K752" s="1" t="s">
        <v>879</v>
      </c>
      <c r="M752" s="1" t="s">
        <v>234</v>
      </c>
      <c r="N752" s="1" t="s">
        <v>235</v>
      </c>
    </row>
    <row r="753" spans="1:14" x14ac:dyDescent="0.25">
      <c r="A753" s="1" t="s">
        <v>749</v>
      </c>
      <c r="B753" s="1" t="s">
        <v>618</v>
      </c>
      <c r="C753" s="1" t="s">
        <v>81</v>
      </c>
      <c r="D753" s="2"/>
      <c r="E753" s="1" t="s">
        <v>207</v>
      </c>
      <c r="F753" s="1"/>
      <c r="G753" s="1" t="s">
        <v>35</v>
      </c>
      <c r="H753" s="2"/>
      <c r="I753">
        <v>1</v>
      </c>
      <c r="J753" s="1" t="s">
        <v>234</v>
      </c>
      <c r="K753" s="1" t="s">
        <v>879</v>
      </c>
      <c r="M753" s="1" t="s">
        <v>234</v>
      </c>
      <c r="N753" s="1" t="s">
        <v>235</v>
      </c>
    </row>
    <row r="754" spans="1:14" x14ac:dyDescent="0.25">
      <c r="A754" s="1" t="s">
        <v>750</v>
      </c>
      <c r="B754" s="1" t="s">
        <v>618</v>
      </c>
      <c r="C754" s="1" t="s">
        <v>81</v>
      </c>
      <c r="D754" s="2"/>
      <c r="E754" s="1" t="s">
        <v>207</v>
      </c>
      <c r="F754" s="1"/>
      <c r="G754" s="1" t="s">
        <v>35</v>
      </c>
      <c r="H754" s="2"/>
      <c r="I754">
        <v>1</v>
      </c>
      <c r="J754" s="1" t="s">
        <v>234</v>
      </c>
      <c r="K754" s="1" t="s">
        <v>879</v>
      </c>
      <c r="M754" s="1" t="s">
        <v>234</v>
      </c>
      <c r="N754" s="1" t="s">
        <v>235</v>
      </c>
    </row>
    <row r="755" spans="1:14" x14ac:dyDescent="0.25">
      <c r="A755" s="1" t="s">
        <v>751</v>
      </c>
      <c r="B755" s="1" t="s">
        <v>618</v>
      </c>
      <c r="C755" s="1" t="s">
        <v>81</v>
      </c>
      <c r="D755" s="2"/>
      <c r="E755" s="1" t="s">
        <v>207</v>
      </c>
      <c r="F755" s="1"/>
      <c r="G755" s="1" t="s">
        <v>35</v>
      </c>
      <c r="H755" s="2"/>
      <c r="I755">
        <v>1</v>
      </c>
      <c r="J755" s="1" t="s">
        <v>234</v>
      </c>
      <c r="K755" s="1" t="s">
        <v>879</v>
      </c>
      <c r="M755" s="1" t="s">
        <v>234</v>
      </c>
      <c r="N755" s="1" t="s">
        <v>235</v>
      </c>
    </row>
    <row r="756" spans="1:14" x14ac:dyDescent="0.25">
      <c r="A756" s="1" t="s">
        <v>752</v>
      </c>
      <c r="B756" s="1" t="s">
        <v>618</v>
      </c>
      <c r="C756" s="1" t="s">
        <v>81</v>
      </c>
      <c r="D756" s="2"/>
      <c r="E756" s="1" t="s">
        <v>207</v>
      </c>
      <c r="F756" s="1"/>
      <c r="G756" s="1" t="s">
        <v>35</v>
      </c>
      <c r="H756" s="2"/>
      <c r="I756">
        <v>1</v>
      </c>
      <c r="J756" s="1" t="s">
        <v>234</v>
      </c>
      <c r="K756" s="1" t="s">
        <v>879</v>
      </c>
      <c r="M756" s="1" t="s">
        <v>234</v>
      </c>
      <c r="N756" s="1" t="s">
        <v>235</v>
      </c>
    </row>
    <row r="757" spans="1:14" x14ac:dyDescent="0.25">
      <c r="A757" s="1" t="s">
        <v>753</v>
      </c>
      <c r="B757" s="1" t="s">
        <v>618</v>
      </c>
      <c r="C757" s="1" t="s">
        <v>81</v>
      </c>
      <c r="D757" s="2"/>
      <c r="E757" s="1" t="s">
        <v>207</v>
      </c>
      <c r="F757" s="1"/>
      <c r="G757" s="1" t="s">
        <v>35</v>
      </c>
      <c r="H757" s="2"/>
      <c r="I757">
        <v>1</v>
      </c>
      <c r="J757" s="1" t="s">
        <v>234</v>
      </c>
      <c r="K757" s="1" t="s">
        <v>879</v>
      </c>
      <c r="M757" s="1" t="s">
        <v>234</v>
      </c>
      <c r="N757" s="1" t="s">
        <v>235</v>
      </c>
    </row>
    <row r="758" spans="1:14" x14ac:dyDescent="0.25">
      <c r="A758" s="1" t="s">
        <v>754</v>
      </c>
      <c r="B758" s="1" t="s">
        <v>618</v>
      </c>
      <c r="C758" s="1" t="s">
        <v>81</v>
      </c>
      <c r="D758" s="2"/>
      <c r="E758" s="1" t="s">
        <v>207</v>
      </c>
      <c r="F758" s="1"/>
      <c r="G758" s="1" t="s">
        <v>35</v>
      </c>
      <c r="H758" s="2"/>
      <c r="I758">
        <v>1</v>
      </c>
      <c r="J758" s="1" t="s">
        <v>234</v>
      </c>
      <c r="K758" s="1" t="s">
        <v>879</v>
      </c>
      <c r="M758" s="1" t="s">
        <v>234</v>
      </c>
      <c r="N758" s="1" t="s">
        <v>235</v>
      </c>
    </row>
    <row r="759" spans="1:14" x14ac:dyDescent="0.25">
      <c r="A759" s="1" t="s">
        <v>755</v>
      </c>
      <c r="B759" s="1" t="s">
        <v>618</v>
      </c>
      <c r="C759" s="1" t="s">
        <v>81</v>
      </c>
      <c r="D759" s="2"/>
      <c r="E759" s="1" t="s">
        <v>207</v>
      </c>
      <c r="F759" s="1"/>
      <c r="G759" s="1" t="s">
        <v>35</v>
      </c>
      <c r="H759" s="2"/>
      <c r="I759">
        <v>1</v>
      </c>
      <c r="J759" s="1" t="s">
        <v>234</v>
      </c>
      <c r="K759" s="1" t="s">
        <v>879</v>
      </c>
      <c r="M759" s="1" t="s">
        <v>234</v>
      </c>
      <c r="N759" s="1" t="s">
        <v>235</v>
      </c>
    </row>
    <row r="760" spans="1:14" x14ac:dyDescent="0.25">
      <c r="A760" s="1" t="s">
        <v>756</v>
      </c>
      <c r="B760" s="1" t="s">
        <v>618</v>
      </c>
      <c r="C760" s="1" t="s">
        <v>81</v>
      </c>
      <c r="D760" s="2"/>
      <c r="E760" s="1" t="s">
        <v>207</v>
      </c>
      <c r="F760" s="1"/>
      <c r="G760" s="1" t="s">
        <v>35</v>
      </c>
      <c r="H760" s="2"/>
      <c r="I760">
        <v>1</v>
      </c>
      <c r="J760" s="1" t="s">
        <v>234</v>
      </c>
      <c r="K760" s="1" t="s">
        <v>879</v>
      </c>
      <c r="M760" s="1" t="s">
        <v>234</v>
      </c>
      <c r="N760" s="1" t="s">
        <v>235</v>
      </c>
    </row>
    <row r="761" spans="1:14" x14ac:dyDescent="0.25">
      <c r="A761" s="1" t="s">
        <v>757</v>
      </c>
      <c r="B761" s="1" t="s">
        <v>618</v>
      </c>
      <c r="C761" s="1" t="s">
        <v>81</v>
      </c>
      <c r="D761" s="2"/>
      <c r="E761" s="1" t="s">
        <v>207</v>
      </c>
      <c r="F761" s="1"/>
      <c r="G761" s="1" t="s">
        <v>35</v>
      </c>
      <c r="H761" s="2"/>
      <c r="I761">
        <v>1</v>
      </c>
      <c r="J761" s="1" t="s">
        <v>234</v>
      </c>
      <c r="K761" s="1" t="s">
        <v>879</v>
      </c>
      <c r="M761" s="1" t="s">
        <v>234</v>
      </c>
      <c r="N761" s="1" t="s">
        <v>235</v>
      </c>
    </row>
    <row r="762" spans="1:14" x14ac:dyDescent="0.25">
      <c r="A762" s="1" t="s">
        <v>758</v>
      </c>
      <c r="B762" s="1" t="s">
        <v>618</v>
      </c>
      <c r="C762" s="1" t="s">
        <v>81</v>
      </c>
      <c r="D762" s="2"/>
      <c r="E762" s="1" t="s">
        <v>207</v>
      </c>
      <c r="F762" s="1"/>
      <c r="G762" s="1" t="s">
        <v>35</v>
      </c>
      <c r="H762" s="2"/>
      <c r="I762">
        <v>1</v>
      </c>
      <c r="J762" s="1" t="s">
        <v>234</v>
      </c>
      <c r="K762" s="1" t="s">
        <v>879</v>
      </c>
      <c r="M762" s="1" t="s">
        <v>234</v>
      </c>
      <c r="N762" s="1" t="s">
        <v>235</v>
      </c>
    </row>
    <row r="763" spans="1:14" x14ac:dyDescent="0.25">
      <c r="A763" s="1" t="s">
        <v>759</v>
      </c>
      <c r="B763" s="1" t="s">
        <v>618</v>
      </c>
      <c r="C763" s="1" t="s">
        <v>81</v>
      </c>
      <c r="D763" s="2"/>
      <c r="E763" s="1" t="s">
        <v>207</v>
      </c>
      <c r="F763" s="1"/>
      <c r="G763" s="1" t="s">
        <v>35</v>
      </c>
      <c r="H763" s="2"/>
      <c r="I763">
        <v>1</v>
      </c>
      <c r="J763" s="1" t="s">
        <v>234</v>
      </c>
      <c r="K763" s="1" t="s">
        <v>879</v>
      </c>
      <c r="M763" s="1" t="s">
        <v>234</v>
      </c>
      <c r="N763" s="1" t="s">
        <v>235</v>
      </c>
    </row>
    <row r="764" spans="1:14" x14ac:dyDescent="0.25">
      <c r="A764" s="1" t="s">
        <v>760</v>
      </c>
      <c r="B764" s="1" t="s">
        <v>618</v>
      </c>
      <c r="C764" s="1" t="s">
        <v>81</v>
      </c>
      <c r="D764" s="2"/>
      <c r="E764" s="1" t="s">
        <v>207</v>
      </c>
      <c r="F764" s="1"/>
      <c r="G764" s="1" t="s">
        <v>35</v>
      </c>
      <c r="H764" s="2"/>
      <c r="I764">
        <v>1</v>
      </c>
      <c r="J764" s="1" t="s">
        <v>234</v>
      </c>
      <c r="K764" s="1" t="s">
        <v>879</v>
      </c>
      <c r="M764" s="1" t="s">
        <v>234</v>
      </c>
      <c r="N764" s="1" t="s">
        <v>235</v>
      </c>
    </row>
    <row r="765" spans="1:14" x14ac:dyDescent="0.25">
      <c r="A765" s="1" t="s">
        <v>761</v>
      </c>
      <c r="B765" s="1" t="s">
        <v>618</v>
      </c>
      <c r="C765" s="1" t="s">
        <v>81</v>
      </c>
      <c r="D765" s="2"/>
      <c r="E765" s="1" t="s">
        <v>207</v>
      </c>
      <c r="F765" s="1"/>
      <c r="G765" s="1" t="s">
        <v>35</v>
      </c>
      <c r="H765" s="2"/>
      <c r="I765">
        <v>1</v>
      </c>
      <c r="J765" s="1" t="s">
        <v>234</v>
      </c>
      <c r="K765" s="1" t="s">
        <v>879</v>
      </c>
      <c r="M765" s="1" t="s">
        <v>234</v>
      </c>
      <c r="N765" s="1" t="s">
        <v>235</v>
      </c>
    </row>
    <row r="766" spans="1:14" x14ac:dyDescent="0.25">
      <c r="A766" s="1" t="s">
        <v>762</v>
      </c>
      <c r="B766" s="1" t="s">
        <v>618</v>
      </c>
      <c r="C766" s="1" t="s">
        <v>81</v>
      </c>
      <c r="D766" s="2"/>
      <c r="E766" s="1" t="s">
        <v>207</v>
      </c>
      <c r="F766" s="1"/>
      <c r="G766" s="1" t="s">
        <v>35</v>
      </c>
      <c r="H766" s="2"/>
      <c r="I766">
        <v>1</v>
      </c>
      <c r="J766" s="1" t="s">
        <v>234</v>
      </c>
      <c r="K766" s="1" t="s">
        <v>879</v>
      </c>
      <c r="M766" s="1" t="s">
        <v>234</v>
      </c>
      <c r="N766" s="1" t="s">
        <v>235</v>
      </c>
    </row>
    <row r="767" spans="1:14" x14ac:dyDescent="0.25">
      <c r="A767" s="1" t="s">
        <v>763</v>
      </c>
      <c r="B767" s="1" t="s">
        <v>618</v>
      </c>
      <c r="C767" s="1" t="s">
        <v>81</v>
      </c>
      <c r="D767" s="2"/>
      <c r="E767" s="1" t="s">
        <v>207</v>
      </c>
      <c r="F767" s="1"/>
      <c r="G767" s="1" t="s">
        <v>35</v>
      </c>
      <c r="H767" s="2"/>
      <c r="I767">
        <v>1</v>
      </c>
      <c r="J767" s="1" t="s">
        <v>234</v>
      </c>
      <c r="K767" s="1" t="s">
        <v>879</v>
      </c>
      <c r="M767" s="1" t="s">
        <v>234</v>
      </c>
      <c r="N767" s="1" t="s">
        <v>235</v>
      </c>
    </row>
    <row r="768" spans="1:14" x14ac:dyDescent="0.25">
      <c r="A768" s="1" t="s">
        <v>764</v>
      </c>
      <c r="B768" s="1" t="s">
        <v>618</v>
      </c>
      <c r="C768" s="1" t="s">
        <v>81</v>
      </c>
      <c r="D768" s="2"/>
      <c r="E768" s="1" t="s">
        <v>207</v>
      </c>
      <c r="F768" s="1"/>
      <c r="G768" s="1" t="s">
        <v>35</v>
      </c>
      <c r="H768" s="2"/>
      <c r="I768">
        <v>1</v>
      </c>
      <c r="J768" s="1" t="s">
        <v>234</v>
      </c>
      <c r="K768" s="1" t="s">
        <v>879</v>
      </c>
      <c r="M768" s="1" t="s">
        <v>234</v>
      </c>
      <c r="N768" s="1" t="s">
        <v>235</v>
      </c>
    </row>
    <row r="769" spans="1:14" x14ac:dyDescent="0.25">
      <c r="A769" s="1" t="s">
        <v>765</v>
      </c>
      <c r="B769" s="1" t="s">
        <v>618</v>
      </c>
      <c r="C769" s="1" t="s">
        <v>81</v>
      </c>
      <c r="D769" s="2"/>
      <c r="E769" s="1" t="s">
        <v>207</v>
      </c>
      <c r="F769" s="1"/>
      <c r="G769" s="1" t="s">
        <v>35</v>
      </c>
      <c r="H769" s="2"/>
      <c r="I769">
        <v>1</v>
      </c>
      <c r="J769" s="1" t="s">
        <v>234</v>
      </c>
      <c r="K769" s="1" t="s">
        <v>879</v>
      </c>
      <c r="M769" s="1" t="s">
        <v>234</v>
      </c>
      <c r="N769" s="1" t="s">
        <v>235</v>
      </c>
    </row>
    <row r="770" spans="1:14" x14ac:dyDescent="0.25">
      <c r="A770" s="1" t="s">
        <v>766</v>
      </c>
      <c r="B770" s="1" t="s">
        <v>618</v>
      </c>
      <c r="C770" s="1" t="s">
        <v>81</v>
      </c>
      <c r="D770" s="2"/>
      <c r="E770" s="1" t="s">
        <v>207</v>
      </c>
      <c r="F770" s="1"/>
      <c r="G770" s="1" t="s">
        <v>35</v>
      </c>
      <c r="H770" s="2"/>
      <c r="I770">
        <v>1</v>
      </c>
      <c r="J770" s="1" t="s">
        <v>234</v>
      </c>
      <c r="K770" s="1" t="s">
        <v>879</v>
      </c>
      <c r="M770" s="1" t="s">
        <v>234</v>
      </c>
      <c r="N770" s="1" t="s">
        <v>235</v>
      </c>
    </row>
    <row r="771" spans="1:14" x14ac:dyDescent="0.25">
      <c r="A771" s="1" t="s">
        <v>767</v>
      </c>
      <c r="B771" s="1" t="s">
        <v>618</v>
      </c>
      <c r="C771" s="1" t="s">
        <v>81</v>
      </c>
      <c r="D771" s="2"/>
      <c r="E771" s="1" t="s">
        <v>207</v>
      </c>
      <c r="F771" s="1"/>
      <c r="G771" s="1" t="s">
        <v>35</v>
      </c>
      <c r="H771" s="2"/>
      <c r="I771">
        <v>1</v>
      </c>
      <c r="J771" s="1" t="s">
        <v>234</v>
      </c>
      <c r="K771" s="1" t="s">
        <v>879</v>
      </c>
      <c r="M771" s="1" t="s">
        <v>234</v>
      </c>
      <c r="N771" s="1" t="s">
        <v>235</v>
      </c>
    </row>
    <row r="772" spans="1:14" x14ac:dyDescent="0.25">
      <c r="A772" s="1" t="s">
        <v>768</v>
      </c>
      <c r="B772" s="1" t="s">
        <v>618</v>
      </c>
      <c r="C772" s="1" t="s">
        <v>81</v>
      </c>
      <c r="D772" s="2"/>
      <c r="E772" s="1" t="s">
        <v>207</v>
      </c>
      <c r="F772" s="1"/>
      <c r="G772" s="1" t="s">
        <v>35</v>
      </c>
      <c r="H772" s="2"/>
      <c r="I772">
        <v>1</v>
      </c>
      <c r="J772" s="1" t="s">
        <v>234</v>
      </c>
      <c r="K772" s="1" t="s">
        <v>879</v>
      </c>
      <c r="M772" s="1" t="s">
        <v>234</v>
      </c>
      <c r="N772" s="1" t="s">
        <v>235</v>
      </c>
    </row>
    <row r="773" spans="1:14" x14ac:dyDescent="0.25">
      <c r="A773" s="1" t="s">
        <v>769</v>
      </c>
      <c r="B773" s="1" t="s">
        <v>618</v>
      </c>
      <c r="C773" s="1" t="s">
        <v>81</v>
      </c>
      <c r="D773" s="2"/>
      <c r="E773" s="1" t="s">
        <v>207</v>
      </c>
      <c r="F773" s="1"/>
      <c r="G773" s="1" t="s">
        <v>35</v>
      </c>
      <c r="H773" s="2"/>
      <c r="I773">
        <v>1</v>
      </c>
      <c r="J773" s="1" t="s">
        <v>234</v>
      </c>
      <c r="K773" s="1" t="s">
        <v>879</v>
      </c>
      <c r="M773" s="1" t="s">
        <v>234</v>
      </c>
      <c r="N773" s="1" t="s">
        <v>235</v>
      </c>
    </row>
    <row r="774" spans="1:14" x14ac:dyDescent="0.25">
      <c r="A774" s="1" t="s">
        <v>770</v>
      </c>
      <c r="B774" s="1" t="s">
        <v>618</v>
      </c>
      <c r="C774" s="1" t="s">
        <v>81</v>
      </c>
      <c r="D774" s="2"/>
      <c r="E774" s="1" t="s">
        <v>207</v>
      </c>
      <c r="F774" s="1"/>
      <c r="G774" s="1" t="s">
        <v>35</v>
      </c>
      <c r="H774" s="2"/>
      <c r="I774">
        <v>1</v>
      </c>
      <c r="J774" s="1" t="s">
        <v>234</v>
      </c>
      <c r="K774" s="1" t="s">
        <v>879</v>
      </c>
      <c r="M774" s="1" t="s">
        <v>234</v>
      </c>
      <c r="N774" s="1" t="s">
        <v>235</v>
      </c>
    </row>
    <row r="775" spans="1:14" x14ac:dyDescent="0.25">
      <c r="A775" s="1" t="s">
        <v>771</v>
      </c>
      <c r="B775" s="1" t="s">
        <v>618</v>
      </c>
      <c r="C775" s="1" t="s">
        <v>81</v>
      </c>
      <c r="D775" s="2"/>
      <c r="E775" s="1" t="s">
        <v>207</v>
      </c>
      <c r="F775" s="1"/>
      <c r="G775" s="1" t="s">
        <v>35</v>
      </c>
      <c r="H775" s="2"/>
      <c r="I775">
        <v>1</v>
      </c>
      <c r="J775" s="1" t="s">
        <v>234</v>
      </c>
      <c r="K775" s="1" t="s">
        <v>879</v>
      </c>
      <c r="M775" s="1" t="s">
        <v>234</v>
      </c>
      <c r="N775" s="1" t="s">
        <v>235</v>
      </c>
    </row>
    <row r="776" spans="1:14" x14ac:dyDescent="0.25">
      <c r="A776" s="1" t="s">
        <v>772</v>
      </c>
      <c r="B776" s="1" t="s">
        <v>618</v>
      </c>
      <c r="C776" s="1" t="s">
        <v>81</v>
      </c>
      <c r="D776" s="2"/>
      <c r="E776" s="1" t="s">
        <v>207</v>
      </c>
      <c r="F776" s="1"/>
      <c r="G776" s="1" t="s">
        <v>35</v>
      </c>
      <c r="H776" s="2"/>
      <c r="I776">
        <v>1</v>
      </c>
      <c r="J776" s="1" t="s">
        <v>234</v>
      </c>
      <c r="K776" s="1" t="s">
        <v>879</v>
      </c>
      <c r="M776" s="1" t="s">
        <v>234</v>
      </c>
      <c r="N776" s="1" t="s">
        <v>235</v>
      </c>
    </row>
    <row r="777" spans="1:14" x14ac:dyDescent="0.25">
      <c r="A777" s="1" t="s">
        <v>773</v>
      </c>
      <c r="B777" s="1" t="s">
        <v>618</v>
      </c>
      <c r="C777" s="1" t="s">
        <v>81</v>
      </c>
      <c r="D777" s="2"/>
      <c r="E777" s="1" t="s">
        <v>207</v>
      </c>
      <c r="F777" s="1"/>
      <c r="G777" s="1" t="s">
        <v>35</v>
      </c>
      <c r="H777" s="2"/>
      <c r="I777">
        <v>1</v>
      </c>
      <c r="J777" s="1" t="s">
        <v>234</v>
      </c>
      <c r="K777" s="1" t="s">
        <v>879</v>
      </c>
      <c r="M777" s="1" t="s">
        <v>234</v>
      </c>
      <c r="N777" s="1" t="s">
        <v>235</v>
      </c>
    </row>
    <row r="778" spans="1:14" x14ac:dyDescent="0.25">
      <c r="A778" s="1" t="s">
        <v>774</v>
      </c>
      <c r="B778" s="1" t="s">
        <v>618</v>
      </c>
      <c r="C778" s="1" t="s">
        <v>81</v>
      </c>
      <c r="D778" s="2"/>
      <c r="E778" s="1" t="s">
        <v>207</v>
      </c>
      <c r="F778" s="1"/>
      <c r="G778" s="1" t="s">
        <v>35</v>
      </c>
      <c r="H778" s="2"/>
      <c r="I778">
        <v>1</v>
      </c>
      <c r="J778" s="1" t="s">
        <v>234</v>
      </c>
      <c r="K778" s="1" t="s">
        <v>879</v>
      </c>
      <c r="M778" s="1" t="s">
        <v>234</v>
      </c>
      <c r="N778" s="1" t="s">
        <v>235</v>
      </c>
    </row>
    <row r="779" spans="1:14" x14ac:dyDescent="0.25">
      <c r="A779" s="1" t="s">
        <v>775</v>
      </c>
      <c r="B779" s="1" t="s">
        <v>618</v>
      </c>
      <c r="C779" s="1" t="s">
        <v>81</v>
      </c>
      <c r="D779" s="2"/>
      <c r="E779" s="1" t="s">
        <v>207</v>
      </c>
      <c r="F779" s="1"/>
      <c r="G779" s="1" t="s">
        <v>35</v>
      </c>
      <c r="H779" s="2"/>
      <c r="I779">
        <v>1</v>
      </c>
      <c r="J779" s="1" t="s">
        <v>234</v>
      </c>
      <c r="K779" s="1" t="s">
        <v>879</v>
      </c>
      <c r="M779" s="1" t="s">
        <v>234</v>
      </c>
      <c r="N779" s="1" t="s">
        <v>235</v>
      </c>
    </row>
    <row r="780" spans="1:14" x14ac:dyDescent="0.25">
      <c r="A780" s="1" t="s">
        <v>776</v>
      </c>
      <c r="B780" s="1" t="s">
        <v>618</v>
      </c>
      <c r="C780" s="1" t="s">
        <v>81</v>
      </c>
      <c r="D780" s="2"/>
      <c r="E780" s="1" t="s">
        <v>207</v>
      </c>
      <c r="F780" s="1"/>
      <c r="G780" s="1" t="s">
        <v>35</v>
      </c>
      <c r="H780" s="2"/>
      <c r="I780">
        <v>1</v>
      </c>
      <c r="J780" s="1" t="s">
        <v>234</v>
      </c>
      <c r="K780" s="1" t="s">
        <v>879</v>
      </c>
      <c r="M780" s="1" t="s">
        <v>234</v>
      </c>
      <c r="N780" s="1" t="s">
        <v>235</v>
      </c>
    </row>
    <row r="781" spans="1:14" x14ac:dyDescent="0.25">
      <c r="A781" s="1" t="s">
        <v>777</v>
      </c>
      <c r="B781" s="1" t="s">
        <v>618</v>
      </c>
      <c r="C781" s="1" t="s">
        <v>81</v>
      </c>
      <c r="D781" s="2"/>
      <c r="E781" s="1" t="s">
        <v>207</v>
      </c>
      <c r="F781" s="1"/>
      <c r="G781" s="1" t="s">
        <v>35</v>
      </c>
      <c r="H781" s="2"/>
      <c r="I781">
        <v>1</v>
      </c>
      <c r="J781" s="1" t="s">
        <v>234</v>
      </c>
      <c r="K781" s="1" t="s">
        <v>879</v>
      </c>
      <c r="M781" s="1" t="s">
        <v>234</v>
      </c>
      <c r="N781" s="1" t="s">
        <v>235</v>
      </c>
    </row>
    <row r="782" spans="1:14" x14ac:dyDescent="0.25">
      <c r="A782" s="1" t="s">
        <v>778</v>
      </c>
      <c r="B782" s="1" t="s">
        <v>618</v>
      </c>
      <c r="C782" s="1" t="s">
        <v>81</v>
      </c>
      <c r="D782" s="2"/>
      <c r="E782" s="1" t="s">
        <v>207</v>
      </c>
      <c r="F782" s="1"/>
      <c r="G782" s="1" t="s">
        <v>35</v>
      </c>
      <c r="H782" s="2"/>
      <c r="I782">
        <v>1</v>
      </c>
      <c r="J782" s="1" t="s">
        <v>234</v>
      </c>
      <c r="K782" s="1" t="s">
        <v>879</v>
      </c>
      <c r="M782" s="1" t="s">
        <v>234</v>
      </c>
      <c r="N782" s="1" t="s">
        <v>235</v>
      </c>
    </row>
    <row r="783" spans="1:14" x14ac:dyDescent="0.25">
      <c r="A783" s="1" t="s">
        <v>779</v>
      </c>
      <c r="B783" s="1" t="s">
        <v>618</v>
      </c>
      <c r="C783" s="1" t="s">
        <v>81</v>
      </c>
      <c r="D783" s="2"/>
      <c r="E783" s="1" t="s">
        <v>207</v>
      </c>
      <c r="F783" s="1"/>
      <c r="G783" s="1" t="s">
        <v>35</v>
      </c>
      <c r="H783" s="2"/>
      <c r="I783">
        <v>1</v>
      </c>
      <c r="J783" s="1" t="s">
        <v>234</v>
      </c>
      <c r="K783" s="1" t="s">
        <v>879</v>
      </c>
      <c r="M783" s="1" t="s">
        <v>234</v>
      </c>
      <c r="N783" s="1" t="s">
        <v>235</v>
      </c>
    </row>
    <row r="784" spans="1:14" x14ac:dyDescent="0.25">
      <c r="A784" s="1" t="s">
        <v>780</v>
      </c>
      <c r="B784" s="1" t="s">
        <v>618</v>
      </c>
      <c r="C784" s="1" t="s">
        <v>81</v>
      </c>
      <c r="D784" s="2"/>
      <c r="E784" s="1" t="s">
        <v>207</v>
      </c>
      <c r="F784" s="1"/>
      <c r="G784" s="1" t="s">
        <v>35</v>
      </c>
      <c r="H784" s="2"/>
      <c r="I784">
        <v>1</v>
      </c>
      <c r="J784" s="1" t="s">
        <v>234</v>
      </c>
      <c r="K784" s="1" t="s">
        <v>879</v>
      </c>
      <c r="M784" s="1" t="s">
        <v>234</v>
      </c>
      <c r="N784" s="1" t="s">
        <v>235</v>
      </c>
    </row>
    <row r="785" spans="1:14" x14ac:dyDescent="0.25">
      <c r="A785" s="1" t="s">
        <v>781</v>
      </c>
      <c r="B785" s="1" t="s">
        <v>618</v>
      </c>
      <c r="C785" s="1" t="s">
        <v>81</v>
      </c>
      <c r="D785" s="2"/>
      <c r="E785" s="1" t="s">
        <v>207</v>
      </c>
      <c r="F785" s="1"/>
      <c r="G785" s="1" t="s">
        <v>35</v>
      </c>
      <c r="H785" s="2"/>
      <c r="I785">
        <v>1</v>
      </c>
      <c r="J785" s="1" t="s">
        <v>234</v>
      </c>
      <c r="K785" s="1" t="s">
        <v>879</v>
      </c>
      <c r="M785" s="1" t="s">
        <v>234</v>
      </c>
      <c r="N785" s="1" t="s">
        <v>235</v>
      </c>
    </row>
    <row r="786" spans="1:14" x14ac:dyDescent="0.25">
      <c r="A786" s="1" t="s">
        <v>782</v>
      </c>
      <c r="B786" s="1" t="s">
        <v>618</v>
      </c>
      <c r="C786" s="1" t="s">
        <v>81</v>
      </c>
      <c r="D786" s="2"/>
      <c r="E786" s="1" t="s">
        <v>207</v>
      </c>
      <c r="F786" s="1"/>
      <c r="G786" s="1" t="s">
        <v>35</v>
      </c>
      <c r="H786" s="2"/>
      <c r="I786">
        <v>1</v>
      </c>
      <c r="J786" s="1" t="s">
        <v>234</v>
      </c>
      <c r="K786" s="1" t="s">
        <v>879</v>
      </c>
      <c r="M786" s="1" t="s">
        <v>234</v>
      </c>
      <c r="N786" s="1" t="s">
        <v>235</v>
      </c>
    </row>
    <row r="787" spans="1:14" x14ac:dyDescent="0.25">
      <c r="A787" s="1" t="s">
        <v>783</v>
      </c>
      <c r="B787" s="1" t="s">
        <v>618</v>
      </c>
      <c r="C787" s="1" t="s">
        <v>81</v>
      </c>
      <c r="D787" s="2"/>
      <c r="E787" s="1" t="s">
        <v>207</v>
      </c>
      <c r="F787" s="1"/>
      <c r="G787" s="1" t="s">
        <v>35</v>
      </c>
      <c r="H787" s="2"/>
      <c r="I787">
        <v>1</v>
      </c>
      <c r="J787" s="1" t="s">
        <v>234</v>
      </c>
      <c r="K787" s="1" t="s">
        <v>879</v>
      </c>
      <c r="M787" s="1" t="s">
        <v>234</v>
      </c>
      <c r="N787" s="1" t="s">
        <v>235</v>
      </c>
    </row>
    <row r="788" spans="1:14" x14ac:dyDescent="0.25">
      <c r="A788" s="1" t="s">
        <v>784</v>
      </c>
      <c r="B788" s="1" t="s">
        <v>618</v>
      </c>
      <c r="C788" s="1" t="s">
        <v>81</v>
      </c>
      <c r="D788" s="2"/>
      <c r="E788" s="1" t="s">
        <v>207</v>
      </c>
      <c r="F788" s="1"/>
      <c r="G788" s="1" t="s">
        <v>35</v>
      </c>
      <c r="H788" s="2"/>
      <c r="I788">
        <v>1</v>
      </c>
      <c r="J788" s="1" t="s">
        <v>234</v>
      </c>
      <c r="K788" s="1" t="s">
        <v>879</v>
      </c>
      <c r="M788" s="1" t="s">
        <v>234</v>
      </c>
      <c r="N788" s="1" t="s">
        <v>235</v>
      </c>
    </row>
    <row r="789" spans="1:14" x14ac:dyDescent="0.25">
      <c r="A789" s="1" t="s">
        <v>785</v>
      </c>
      <c r="B789" s="1" t="s">
        <v>618</v>
      </c>
      <c r="C789" s="1" t="s">
        <v>81</v>
      </c>
      <c r="D789" s="2"/>
      <c r="E789" s="1" t="s">
        <v>207</v>
      </c>
      <c r="F789" s="1"/>
      <c r="G789" s="1" t="s">
        <v>35</v>
      </c>
      <c r="H789" s="2"/>
      <c r="I789">
        <v>1</v>
      </c>
      <c r="J789" s="1" t="s">
        <v>234</v>
      </c>
      <c r="K789" s="1" t="s">
        <v>879</v>
      </c>
      <c r="M789" s="1" t="s">
        <v>234</v>
      </c>
      <c r="N789" s="1" t="s">
        <v>235</v>
      </c>
    </row>
    <row r="790" spans="1:14" x14ac:dyDescent="0.25">
      <c r="A790" s="1" t="s">
        <v>786</v>
      </c>
      <c r="B790" s="1" t="s">
        <v>618</v>
      </c>
      <c r="C790" s="1" t="s">
        <v>81</v>
      </c>
      <c r="D790" s="2"/>
      <c r="E790" s="1" t="s">
        <v>207</v>
      </c>
      <c r="F790" s="1"/>
      <c r="G790" s="1" t="s">
        <v>35</v>
      </c>
      <c r="H790" s="2"/>
      <c r="I790">
        <v>1</v>
      </c>
      <c r="J790" s="1" t="s">
        <v>234</v>
      </c>
      <c r="K790" s="1" t="s">
        <v>879</v>
      </c>
      <c r="M790" s="1" t="s">
        <v>234</v>
      </c>
      <c r="N790" s="1" t="s">
        <v>235</v>
      </c>
    </row>
    <row r="791" spans="1:14" x14ac:dyDescent="0.25">
      <c r="A791" s="1" t="s">
        <v>787</v>
      </c>
      <c r="B791" s="1" t="s">
        <v>618</v>
      </c>
      <c r="C791" s="1" t="s">
        <v>81</v>
      </c>
      <c r="D791" s="2"/>
      <c r="E791" s="1" t="s">
        <v>207</v>
      </c>
      <c r="F791" s="1"/>
      <c r="G791" s="1" t="s">
        <v>35</v>
      </c>
      <c r="H791" s="2"/>
      <c r="I791">
        <v>1</v>
      </c>
      <c r="J791" s="1" t="s">
        <v>234</v>
      </c>
      <c r="K791" s="1" t="s">
        <v>879</v>
      </c>
      <c r="M791" s="1" t="s">
        <v>234</v>
      </c>
      <c r="N791" s="1" t="s">
        <v>235</v>
      </c>
    </row>
    <row r="792" spans="1:14" x14ac:dyDescent="0.25">
      <c r="A792" s="1" t="s">
        <v>788</v>
      </c>
      <c r="B792" s="1" t="s">
        <v>618</v>
      </c>
      <c r="C792" s="1" t="s">
        <v>81</v>
      </c>
      <c r="D792" s="2"/>
      <c r="E792" s="1" t="s">
        <v>207</v>
      </c>
      <c r="F792" s="1"/>
      <c r="G792" s="1" t="s">
        <v>35</v>
      </c>
      <c r="H792" s="2"/>
      <c r="I792">
        <v>1</v>
      </c>
      <c r="J792" s="1" t="s">
        <v>234</v>
      </c>
      <c r="K792" s="1" t="s">
        <v>879</v>
      </c>
      <c r="M792" s="1" t="s">
        <v>234</v>
      </c>
      <c r="N792" s="1" t="s">
        <v>235</v>
      </c>
    </row>
    <row r="793" spans="1:14" x14ac:dyDescent="0.25">
      <c r="A793" s="1" t="s">
        <v>789</v>
      </c>
      <c r="B793" s="1" t="s">
        <v>618</v>
      </c>
      <c r="C793" s="1" t="s">
        <v>81</v>
      </c>
      <c r="D793" s="2"/>
      <c r="E793" s="1" t="s">
        <v>207</v>
      </c>
      <c r="F793" s="1"/>
      <c r="G793" s="1" t="s">
        <v>35</v>
      </c>
      <c r="H793" s="2"/>
      <c r="I793">
        <v>1</v>
      </c>
      <c r="J793" s="1" t="s">
        <v>234</v>
      </c>
      <c r="K793" s="1" t="s">
        <v>879</v>
      </c>
      <c r="M793" s="1" t="s">
        <v>234</v>
      </c>
      <c r="N793" s="1" t="s">
        <v>235</v>
      </c>
    </row>
    <row r="794" spans="1:14" x14ac:dyDescent="0.25">
      <c r="A794" s="1" t="s">
        <v>790</v>
      </c>
      <c r="B794" s="1" t="s">
        <v>618</v>
      </c>
      <c r="C794" s="1" t="s">
        <v>81</v>
      </c>
      <c r="D794" s="2"/>
      <c r="E794" s="1" t="s">
        <v>207</v>
      </c>
      <c r="F794" s="1"/>
      <c r="G794" s="1" t="s">
        <v>35</v>
      </c>
      <c r="H794" s="2"/>
      <c r="I794">
        <v>1</v>
      </c>
      <c r="J794" s="1" t="s">
        <v>234</v>
      </c>
      <c r="K794" s="1" t="s">
        <v>879</v>
      </c>
      <c r="M794" s="1" t="s">
        <v>234</v>
      </c>
      <c r="N794" s="1" t="s">
        <v>235</v>
      </c>
    </row>
    <row r="795" spans="1:14" x14ac:dyDescent="0.25">
      <c r="A795" s="1" t="s">
        <v>791</v>
      </c>
      <c r="B795" s="1" t="s">
        <v>618</v>
      </c>
      <c r="C795" s="1" t="s">
        <v>81</v>
      </c>
      <c r="D795" s="2"/>
      <c r="E795" s="1" t="s">
        <v>207</v>
      </c>
      <c r="F795" s="1"/>
      <c r="G795" s="1" t="s">
        <v>35</v>
      </c>
      <c r="H795" s="2"/>
      <c r="I795">
        <v>1</v>
      </c>
      <c r="J795" s="1" t="s">
        <v>234</v>
      </c>
      <c r="K795" s="1" t="s">
        <v>879</v>
      </c>
      <c r="M795" s="1" t="s">
        <v>234</v>
      </c>
      <c r="N795" s="1" t="s">
        <v>235</v>
      </c>
    </row>
    <row r="796" spans="1:14" x14ac:dyDescent="0.25">
      <c r="A796" s="1" t="s">
        <v>792</v>
      </c>
      <c r="B796" s="1" t="s">
        <v>618</v>
      </c>
      <c r="C796" s="1" t="s">
        <v>81</v>
      </c>
      <c r="D796" s="2"/>
      <c r="E796" s="1" t="s">
        <v>207</v>
      </c>
      <c r="F796" s="1"/>
      <c r="G796" s="1" t="s">
        <v>35</v>
      </c>
      <c r="H796" s="2"/>
      <c r="I796">
        <v>1</v>
      </c>
      <c r="J796" s="1" t="s">
        <v>234</v>
      </c>
      <c r="K796" s="1" t="s">
        <v>879</v>
      </c>
      <c r="M796" s="1" t="s">
        <v>234</v>
      </c>
      <c r="N796" s="1" t="s">
        <v>235</v>
      </c>
    </row>
    <row r="797" spans="1:14" x14ac:dyDescent="0.25">
      <c r="A797" s="1" t="s">
        <v>793</v>
      </c>
      <c r="B797" s="1" t="s">
        <v>618</v>
      </c>
      <c r="C797" s="1" t="s">
        <v>81</v>
      </c>
      <c r="D797" s="2"/>
      <c r="E797" s="1" t="s">
        <v>207</v>
      </c>
      <c r="F797" s="1"/>
      <c r="G797" s="1" t="s">
        <v>35</v>
      </c>
      <c r="H797" s="2"/>
      <c r="I797">
        <v>1</v>
      </c>
      <c r="J797" s="1" t="s">
        <v>234</v>
      </c>
      <c r="K797" s="1" t="s">
        <v>879</v>
      </c>
      <c r="M797" s="1" t="s">
        <v>234</v>
      </c>
      <c r="N797" s="1" t="s">
        <v>235</v>
      </c>
    </row>
    <row r="798" spans="1:14" x14ac:dyDescent="0.25">
      <c r="A798" s="1" t="s">
        <v>794</v>
      </c>
      <c r="B798" s="1" t="s">
        <v>618</v>
      </c>
      <c r="C798" s="1" t="s">
        <v>81</v>
      </c>
      <c r="D798" s="2"/>
      <c r="E798" s="1" t="s">
        <v>207</v>
      </c>
      <c r="F798" s="1"/>
      <c r="G798" s="1" t="s">
        <v>35</v>
      </c>
      <c r="H798" s="2"/>
      <c r="I798">
        <v>1</v>
      </c>
      <c r="J798" s="1" t="s">
        <v>234</v>
      </c>
      <c r="K798" s="1" t="s">
        <v>879</v>
      </c>
      <c r="M798" s="1" t="s">
        <v>234</v>
      </c>
      <c r="N798" s="1" t="s">
        <v>235</v>
      </c>
    </row>
    <row r="799" spans="1:14" x14ac:dyDescent="0.25">
      <c r="A799" s="1" t="s">
        <v>795</v>
      </c>
      <c r="B799" s="1" t="s">
        <v>618</v>
      </c>
      <c r="C799" s="1" t="s">
        <v>81</v>
      </c>
      <c r="D799" s="2"/>
      <c r="E799" s="1" t="s">
        <v>207</v>
      </c>
      <c r="F799" s="1"/>
      <c r="G799" s="1" t="s">
        <v>35</v>
      </c>
      <c r="H799" s="2"/>
      <c r="I799">
        <v>1</v>
      </c>
      <c r="J799" s="1" t="s">
        <v>234</v>
      </c>
      <c r="K799" s="1" t="s">
        <v>879</v>
      </c>
      <c r="M799" s="1" t="s">
        <v>234</v>
      </c>
      <c r="N799" s="1" t="s">
        <v>235</v>
      </c>
    </row>
    <row r="800" spans="1:14" x14ac:dyDescent="0.25">
      <c r="A800" s="1" t="s">
        <v>796</v>
      </c>
      <c r="B800" s="1" t="s">
        <v>618</v>
      </c>
      <c r="C800" s="1" t="s">
        <v>81</v>
      </c>
      <c r="D800" s="2"/>
      <c r="E800" s="1" t="s">
        <v>207</v>
      </c>
      <c r="F800" s="1"/>
      <c r="G800" s="1" t="s">
        <v>35</v>
      </c>
      <c r="H800" s="2"/>
      <c r="I800">
        <v>1</v>
      </c>
      <c r="J800" s="1" t="s">
        <v>234</v>
      </c>
      <c r="K800" s="1" t="s">
        <v>879</v>
      </c>
      <c r="M800" s="1" t="s">
        <v>234</v>
      </c>
      <c r="N800" s="1" t="s">
        <v>235</v>
      </c>
    </row>
    <row r="801" spans="1:14" x14ac:dyDescent="0.25">
      <c r="A801" s="1" t="s">
        <v>797</v>
      </c>
      <c r="B801" s="1" t="s">
        <v>618</v>
      </c>
      <c r="C801" s="1" t="s">
        <v>81</v>
      </c>
      <c r="D801" s="2"/>
      <c r="E801" s="1" t="s">
        <v>207</v>
      </c>
      <c r="F801" s="1"/>
      <c r="G801" s="1" t="s">
        <v>35</v>
      </c>
      <c r="H801" s="2"/>
      <c r="I801">
        <v>1</v>
      </c>
      <c r="J801" s="1" t="s">
        <v>234</v>
      </c>
      <c r="K801" s="1" t="s">
        <v>879</v>
      </c>
      <c r="M801" s="1" t="s">
        <v>234</v>
      </c>
      <c r="N801" s="1" t="s">
        <v>235</v>
      </c>
    </row>
    <row r="802" spans="1:14" x14ac:dyDescent="0.25">
      <c r="A802" s="1" t="s">
        <v>798</v>
      </c>
      <c r="B802" s="1" t="s">
        <v>618</v>
      </c>
      <c r="C802" s="1" t="s">
        <v>81</v>
      </c>
      <c r="D802" s="2"/>
      <c r="E802" s="1" t="s">
        <v>207</v>
      </c>
      <c r="F802" s="1"/>
      <c r="G802" s="1" t="s">
        <v>35</v>
      </c>
      <c r="H802" s="2"/>
      <c r="I802">
        <v>1</v>
      </c>
      <c r="J802" s="1" t="s">
        <v>234</v>
      </c>
      <c r="K802" s="1" t="s">
        <v>879</v>
      </c>
      <c r="M802" s="1" t="s">
        <v>234</v>
      </c>
      <c r="N802" s="1" t="s">
        <v>235</v>
      </c>
    </row>
    <row r="803" spans="1:14" x14ac:dyDescent="0.25">
      <c r="A803" s="1" t="s">
        <v>799</v>
      </c>
      <c r="B803" s="1" t="s">
        <v>618</v>
      </c>
      <c r="C803" s="1" t="s">
        <v>81</v>
      </c>
      <c r="D803" s="2"/>
      <c r="E803" s="1" t="s">
        <v>207</v>
      </c>
      <c r="F803" s="1"/>
      <c r="G803" s="1" t="s">
        <v>35</v>
      </c>
      <c r="H803" s="2"/>
      <c r="I803">
        <v>1</v>
      </c>
      <c r="J803" s="1" t="s">
        <v>234</v>
      </c>
      <c r="K803" s="1" t="s">
        <v>879</v>
      </c>
      <c r="M803" s="1" t="s">
        <v>234</v>
      </c>
      <c r="N803" s="1" t="s">
        <v>235</v>
      </c>
    </row>
    <row r="804" spans="1:14" x14ac:dyDescent="0.25">
      <c r="A804" s="1" t="s">
        <v>800</v>
      </c>
      <c r="B804" s="1" t="s">
        <v>618</v>
      </c>
      <c r="C804" s="1" t="s">
        <v>81</v>
      </c>
      <c r="D804" s="2"/>
      <c r="E804" s="1" t="s">
        <v>207</v>
      </c>
      <c r="F804" s="1"/>
      <c r="G804" s="1" t="s">
        <v>35</v>
      </c>
      <c r="H804" s="2"/>
      <c r="I804">
        <v>1</v>
      </c>
      <c r="J804" s="1" t="s">
        <v>234</v>
      </c>
      <c r="K804" s="1" t="s">
        <v>879</v>
      </c>
      <c r="M804" s="1" t="s">
        <v>234</v>
      </c>
      <c r="N804" s="1" t="s">
        <v>235</v>
      </c>
    </row>
    <row r="805" spans="1:14" x14ac:dyDescent="0.25">
      <c r="A805" s="1" t="s">
        <v>801</v>
      </c>
      <c r="B805" s="1" t="s">
        <v>618</v>
      </c>
      <c r="C805" s="1" t="s">
        <v>81</v>
      </c>
      <c r="D805" s="2"/>
      <c r="E805" s="1" t="s">
        <v>207</v>
      </c>
      <c r="F805" s="1"/>
      <c r="G805" s="1" t="s">
        <v>35</v>
      </c>
      <c r="H805" s="2"/>
      <c r="I805">
        <v>1</v>
      </c>
      <c r="J805" s="1" t="s">
        <v>234</v>
      </c>
      <c r="K805" s="1" t="s">
        <v>879</v>
      </c>
      <c r="M805" s="1" t="s">
        <v>234</v>
      </c>
      <c r="N805" s="1" t="s">
        <v>235</v>
      </c>
    </row>
    <row r="806" spans="1:14" x14ac:dyDescent="0.25">
      <c r="A806" s="1" t="s">
        <v>802</v>
      </c>
      <c r="B806" s="1" t="s">
        <v>618</v>
      </c>
      <c r="C806" s="1" t="s">
        <v>81</v>
      </c>
      <c r="D806" s="2"/>
      <c r="E806" s="1" t="s">
        <v>207</v>
      </c>
      <c r="F806" s="1"/>
      <c r="G806" s="1" t="s">
        <v>35</v>
      </c>
      <c r="H806" s="2"/>
      <c r="I806">
        <v>1</v>
      </c>
      <c r="J806" s="1" t="s">
        <v>234</v>
      </c>
      <c r="K806" s="1" t="s">
        <v>879</v>
      </c>
      <c r="M806" s="1" t="s">
        <v>234</v>
      </c>
      <c r="N806" s="1" t="s">
        <v>235</v>
      </c>
    </row>
    <row r="807" spans="1:14" x14ac:dyDescent="0.25">
      <c r="A807" s="1" t="s">
        <v>803</v>
      </c>
      <c r="B807" s="1" t="s">
        <v>618</v>
      </c>
      <c r="C807" s="1" t="s">
        <v>81</v>
      </c>
      <c r="D807" s="2"/>
      <c r="E807" s="1" t="s">
        <v>207</v>
      </c>
      <c r="F807" s="1"/>
      <c r="G807" s="1" t="s">
        <v>35</v>
      </c>
      <c r="H807" s="2"/>
      <c r="I807">
        <v>1</v>
      </c>
      <c r="J807" s="1" t="s">
        <v>234</v>
      </c>
      <c r="K807" s="1" t="s">
        <v>879</v>
      </c>
      <c r="M807" s="1" t="s">
        <v>234</v>
      </c>
      <c r="N807" s="1" t="s">
        <v>235</v>
      </c>
    </row>
    <row r="808" spans="1:14" x14ac:dyDescent="0.25">
      <c r="A808" s="1" t="s">
        <v>804</v>
      </c>
      <c r="B808" s="1" t="s">
        <v>618</v>
      </c>
      <c r="C808" s="1" t="s">
        <v>81</v>
      </c>
      <c r="D808" s="2"/>
      <c r="E808" s="1" t="s">
        <v>207</v>
      </c>
      <c r="F808" s="1"/>
      <c r="G808" s="1" t="s">
        <v>35</v>
      </c>
      <c r="H808" s="2"/>
      <c r="I808">
        <v>1</v>
      </c>
      <c r="J808" s="1" t="s">
        <v>234</v>
      </c>
      <c r="K808" s="1" t="s">
        <v>879</v>
      </c>
      <c r="M808" s="1" t="s">
        <v>234</v>
      </c>
      <c r="N808" s="1" t="s">
        <v>235</v>
      </c>
    </row>
    <row r="809" spans="1:14" x14ac:dyDescent="0.25">
      <c r="A809" s="1" t="s">
        <v>805</v>
      </c>
      <c r="B809" s="1" t="s">
        <v>618</v>
      </c>
      <c r="C809" s="1" t="s">
        <v>81</v>
      </c>
      <c r="D809" s="2"/>
      <c r="E809" s="1" t="s">
        <v>207</v>
      </c>
      <c r="F809" s="1"/>
      <c r="G809" s="1" t="s">
        <v>35</v>
      </c>
      <c r="H809" s="2"/>
      <c r="I809">
        <v>1</v>
      </c>
      <c r="J809" s="1" t="s">
        <v>234</v>
      </c>
      <c r="K809" s="1" t="s">
        <v>879</v>
      </c>
      <c r="M809" s="1" t="s">
        <v>234</v>
      </c>
      <c r="N809" s="1" t="s">
        <v>235</v>
      </c>
    </row>
    <row r="810" spans="1:14" x14ac:dyDescent="0.25">
      <c r="A810" s="1" t="s">
        <v>806</v>
      </c>
      <c r="B810" s="1" t="s">
        <v>618</v>
      </c>
      <c r="C810" s="1" t="s">
        <v>81</v>
      </c>
      <c r="D810" s="2"/>
      <c r="E810" s="1" t="s">
        <v>207</v>
      </c>
      <c r="F810" s="1"/>
      <c r="G810" s="1" t="s">
        <v>35</v>
      </c>
      <c r="H810" s="2"/>
      <c r="I810">
        <v>1</v>
      </c>
      <c r="J810" s="1" t="s">
        <v>234</v>
      </c>
      <c r="K810" s="1" t="s">
        <v>879</v>
      </c>
      <c r="M810" s="1" t="s">
        <v>234</v>
      </c>
      <c r="N810" s="1" t="s">
        <v>235</v>
      </c>
    </row>
    <row r="811" spans="1:14" x14ac:dyDescent="0.25">
      <c r="A811" s="1" t="s">
        <v>807</v>
      </c>
      <c r="B811" s="1" t="s">
        <v>618</v>
      </c>
      <c r="C811" s="1" t="s">
        <v>81</v>
      </c>
      <c r="D811" s="2"/>
      <c r="E811" s="1" t="s">
        <v>207</v>
      </c>
      <c r="F811" s="1"/>
      <c r="G811" s="1" t="s">
        <v>35</v>
      </c>
      <c r="H811" s="2"/>
      <c r="I811">
        <v>1</v>
      </c>
      <c r="J811" s="1" t="s">
        <v>234</v>
      </c>
      <c r="K811" s="1" t="s">
        <v>879</v>
      </c>
      <c r="M811" s="1" t="s">
        <v>234</v>
      </c>
      <c r="N811" s="1" t="s">
        <v>235</v>
      </c>
    </row>
    <row r="812" spans="1:14" x14ac:dyDescent="0.25">
      <c r="A812" s="1" t="s">
        <v>808</v>
      </c>
      <c r="B812" s="1" t="s">
        <v>618</v>
      </c>
      <c r="C812" s="1" t="s">
        <v>81</v>
      </c>
      <c r="D812" s="2"/>
      <c r="E812" s="1" t="s">
        <v>207</v>
      </c>
      <c r="F812" s="1"/>
      <c r="G812" s="1" t="s">
        <v>35</v>
      </c>
      <c r="H812" s="2"/>
      <c r="I812">
        <v>1</v>
      </c>
      <c r="J812" s="1" t="s">
        <v>234</v>
      </c>
      <c r="K812" s="1" t="s">
        <v>879</v>
      </c>
      <c r="M812" s="1" t="s">
        <v>234</v>
      </c>
      <c r="N812" s="1" t="s">
        <v>235</v>
      </c>
    </row>
    <row r="813" spans="1:14" x14ac:dyDescent="0.25">
      <c r="A813" s="1" t="s">
        <v>809</v>
      </c>
      <c r="B813" s="1" t="s">
        <v>618</v>
      </c>
      <c r="C813" s="1" t="s">
        <v>81</v>
      </c>
      <c r="D813" s="2"/>
      <c r="E813" s="1" t="s">
        <v>207</v>
      </c>
      <c r="F813" s="1"/>
      <c r="G813" s="1" t="s">
        <v>35</v>
      </c>
      <c r="H813" s="2"/>
      <c r="I813">
        <v>1</v>
      </c>
      <c r="J813" s="1" t="s">
        <v>234</v>
      </c>
      <c r="K813" s="1" t="s">
        <v>879</v>
      </c>
      <c r="M813" s="1" t="s">
        <v>234</v>
      </c>
      <c r="N813" s="1" t="s">
        <v>235</v>
      </c>
    </row>
    <row r="814" spans="1:14" x14ac:dyDescent="0.25">
      <c r="A814" s="1" t="s">
        <v>810</v>
      </c>
      <c r="B814" s="1" t="s">
        <v>618</v>
      </c>
      <c r="C814" s="1" t="s">
        <v>81</v>
      </c>
      <c r="D814" s="2"/>
      <c r="E814" s="1" t="s">
        <v>207</v>
      </c>
      <c r="F814" s="1"/>
      <c r="G814" s="1" t="s">
        <v>35</v>
      </c>
      <c r="H814" s="2"/>
      <c r="I814">
        <v>1</v>
      </c>
      <c r="J814" s="1" t="s">
        <v>234</v>
      </c>
      <c r="K814" s="1" t="s">
        <v>879</v>
      </c>
      <c r="M814" s="1" t="s">
        <v>234</v>
      </c>
      <c r="N814" s="1" t="s">
        <v>235</v>
      </c>
    </row>
    <row r="815" spans="1:14" x14ac:dyDescent="0.25">
      <c r="A815" s="1" t="s">
        <v>811</v>
      </c>
      <c r="B815" s="1" t="s">
        <v>618</v>
      </c>
      <c r="C815" s="1" t="s">
        <v>81</v>
      </c>
      <c r="D815" s="2"/>
      <c r="E815" s="1" t="s">
        <v>207</v>
      </c>
      <c r="F815" s="1"/>
      <c r="G815" s="1" t="s">
        <v>35</v>
      </c>
      <c r="H815" s="2"/>
      <c r="I815">
        <v>1</v>
      </c>
      <c r="J815" s="1" t="s">
        <v>234</v>
      </c>
      <c r="K815" s="1" t="s">
        <v>879</v>
      </c>
      <c r="M815" s="1" t="s">
        <v>234</v>
      </c>
      <c r="N815" s="1" t="s">
        <v>235</v>
      </c>
    </row>
    <row r="816" spans="1:14" x14ac:dyDescent="0.25">
      <c r="A816" s="1" t="s">
        <v>812</v>
      </c>
      <c r="B816" s="1" t="s">
        <v>618</v>
      </c>
      <c r="C816" s="1" t="s">
        <v>81</v>
      </c>
      <c r="D816" s="2"/>
      <c r="E816" s="1" t="s">
        <v>207</v>
      </c>
      <c r="F816" s="1"/>
      <c r="G816" s="1" t="s">
        <v>35</v>
      </c>
      <c r="H816" s="2"/>
      <c r="I816">
        <v>1</v>
      </c>
      <c r="J816" s="1" t="s">
        <v>234</v>
      </c>
      <c r="K816" s="1" t="s">
        <v>879</v>
      </c>
      <c r="M816" s="1" t="s">
        <v>234</v>
      </c>
      <c r="N816" s="1" t="s">
        <v>235</v>
      </c>
    </row>
    <row r="817" spans="1:14" x14ac:dyDescent="0.25">
      <c r="A817" s="1" t="s">
        <v>813</v>
      </c>
      <c r="B817" s="1" t="s">
        <v>618</v>
      </c>
      <c r="C817" s="1" t="s">
        <v>81</v>
      </c>
      <c r="D817" s="2"/>
      <c r="E817" s="1" t="s">
        <v>207</v>
      </c>
      <c r="F817" s="1"/>
      <c r="G817" s="1" t="s">
        <v>35</v>
      </c>
      <c r="H817" s="2"/>
      <c r="I817">
        <v>1</v>
      </c>
      <c r="J817" s="1" t="s">
        <v>234</v>
      </c>
      <c r="K817" s="1" t="s">
        <v>879</v>
      </c>
      <c r="M817" s="1" t="s">
        <v>234</v>
      </c>
      <c r="N817" s="1" t="s">
        <v>235</v>
      </c>
    </row>
    <row r="818" spans="1:14" x14ac:dyDescent="0.25">
      <c r="A818" s="1" t="s">
        <v>814</v>
      </c>
      <c r="B818" s="1" t="s">
        <v>618</v>
      </c>
      <c r="C818" s="1" t="s">
        <v>81</v>
      </c>
      <c r="D818" s="2"/>
      <c r="E818" s="1" t="s">
        <v>207</v>
      </c>
      <c r="F818" s="1"/>
      <c r="G818" s="1" t="s">
        <v>35</v>
      </c>
      <c r="H818" s="2"/>
      <c r="I818">
        <v>1</v>
      </c>
      <c r="J818" s="1" t="s">
        <v>234</v>
      </c>
      <c r="K818" s="1" t="s">
        <v>879</v>
      </c>
      <c r="M818" s="1" t="s">
        <v>234</v>
      </c>
      <c r="N818" s="1" t="s">
        <v>235</v>
      </c>
    </row>
    <row r="819" spans="1:14" x14ac:dyDescent="0.25">
      <c r="A819" s="1" t="s">
        <v>815</v>
      </c>
      <c r="B819" s="1" t="s">
        <v>618</v>
      </c>
      <c r="C819" s="1" t="s">
        <v>81</v>
      </c>
      <c r="D819" s="2"/>
      <c r="E819" s="1" t="s">
        <v>207</v>
      </c>
      <c r="F819" s="1"/>
      <c r="G819" s="1" t="s">
        <v>35</v>
      </c>
      <c r="H819" s="2"/>
      <c r="I819">
        <v>1</v>
      </c>
      <c r="J819" s="1" t="s">
        <v>234</v>
      </c>
      <c r="K819" s="1" t="s">
        <v>879</v>
      </c>
      <c r="M819" s="1" t="s">
        <v>234</v>
      </c>
      <c r="N819" s="1" t="s">
        <v>235</v>
      </c>
    </row>
    <row r="820" spans="1:14" x14ac:dyDescent="0.25">
      <c r="A820" s="1" t="s">
        <v>816</v>
      </c>
      <c r="B820" s="1" t="s">
        <v>618</v>
      </c>
      <c r="C820" s="1" t="s">
        <v>81</v>
      </c>
      <c r="D820" s="2"/>
      <c r="E820" s="1" t="s">
        <v>207</v>
      </c>
      <c r="F820" s="1"/>
      <c r="G820" s="1" t="s">
        <v>35</v>
      </c>
      <c r="H820" s="2"/>
      <c r="I820">
        <v>1</v>
      </c>
      <c r="J820" s="1" t="s">
        <v>234</v>
      </c>
      <c r="K820" s="1" t="s">
        <v>879</v>
      </c>
      <c r="M820" s="1" t="s">
        <v>234</v>
      </c>
      <c r="N820" s="1" t="s">
        <v>235</v>
      </c>
    </row>
    <row r="821" spans="1:14" x14ac:dyDescent="0.25">
      <c r="A821" s="1" t="s">
        <v>817</v>
      </c>
      <c r="B821" s="1" t="s">
        <v>618</v>
      </c>
      <c r="C821" s="1" t="s">
        <v>81</v>
      </c>
      <c r="D821" s="2"/>
      <c r="E821" s="1" t="s">
        <v>207</v>
      </c>
      <c r="F821" s="1"/>
      <c r="G821" s="1" t="s">
        <v>35</v>
      </c>
      <c r="H821" s="2"/>
      <c r="I821">
        <v>1</v>
      </c>
      <c r="J821" s="1" t="s">
        <v>234</v>
      </c>
      <c r="K821" s="1" t="s">
        <v>879</v>
      </c>
      <c r="M821" s="1" t="s">
        <v>234</v>
      </c>
      <c r="N821" s="1" t="s">
        <v>235</v>
      </c>
    </row>
    <row r="822" spans="1:14" x14ac:dyDescent="0.25">
      <c r="A822" s="1" t="s">
        <v>818</v>
      </c>
      <c r="B822" s="1" t="s">
        <v>618</v>
      </c>
      <c r="C822" s="1" t="s">
        <v>81</v>
      </c>
      <c r="D822" s="2"/>
      <c r="E822" s="1" t="s">
        <v>207</v>
      </c>
      <c r="F822" s="1"/>
      <c r="G822" s="1" t="s">
        <v>35</v>
      </c>
      <c r="H822" s="2"/>
      <c r="I822">
        <v>1</v>
      </c>
      <c r="J822" s="1" t="s">
        <v>234</v>
      </c>
      <c r="K822" s="1" t="s">
        <v>879</v>
      </c>
      <c r="M822" s="1" t="s">
        <v>234</v>
      </c>
      <c r="N822" s="1" t="s">
        <v>235</v>
      </c>
    </row>
    <row r="823" spans="1:14" x14ac:dyDescent="0.25">
      <c r="A823" s="1" t="s">
        <v>819</v>
      </c>
      <c r="B823" s="1" t="s">
        <v>618</v>
      </c>
      <c r="C823" s="1" t="s">
        <v>81</v>
      </c>
      <c r="D823" s="2"/>
      <c r="E823" s="1" t="s">
        <v>207</v>
      </c>
      <c r="F823" s="1"/>
      <c r="G823" s="1" t="s">
        <v>35</v>
      </c>
      <c r="H823" s="2"/>
      <c r="I823">
        <v>1</v>
      </c>
      <c r="J823" s="1" t="s">
        <v>234</v>
      </c>
      <c r="K823" s="1" t="s">
        <v>879</v>
      </c>
      <c r="M823" s="1" t="s">
        <v>234</v>
      </c>
      <c r="N823" s="1" t="s">
        <v>235</v>
      </c>
    </row>
    <row r="824" spans="1:14" x14ac:dyDescent="0.25">
      <c r="A824" s="1" t="s">
        <v>820</v>
      </c>
      <c r="B824" s="1" t="s">
        <v>618</v>
      </c>
      <c r="C824" s="1" t="s">
        <v>81</v>
      </c>
      <c r="D824" s="2"/>
      <c r="E824" s="1" t="s">
        <v>207</v>
      </c>
      <c r="F824" s="1"/>
      <c r="G824" s="1" t="s">
        <v>35</v>
      </c>
      <c r="H824" s="2"/>
      <c r="I824">
        <v>1</v>
      </c>
      <c r="J824" s="1" t="s">
        <v>234</v>
      </c>
      <c r="K824" s="1" t="s">
        <v>879</v>
      </c>
      <c r="M824" s="1" t="s">
        <v>234</v>
      </c>
      <c r="N824" s="1" t="s">
        <v>235</v>
      </c>
    </row>
    <row r="825" spans="1:14" x14ac:dyDescent="0.25">
      <c r="A825" s="1" t="s">
        <v>821</v>
      </c>
      <c r="B825" s="1" t="s">
        <v>618</v>
      </c>
      <c r="C825" s="1" t="s">
        <v>81</v>
      </c>
      <c r="D825" s="2"/>
      <c r="E825" s="1" t="s">
        <v>207</v>
      </c>
      <c r="F825" s="1"/>
      <c r="G825" s="1" t="s">
        <v>35</v>
      </c>
      <c r="H825" s="2"/>
      <c r="I825">
        <v>1</v>
      </c>
      <c r="J825" s="1" t="s">
        <v>234</v>
      </c>
      <c r="K825" s="1" t="s">
        <v>879</v>
      </c>
      <c r="M825" s="1" t="s">
        <v>234</v>
      </c>
      <c r="N825" s="1" t="s">
        <v>235</v>
      </c>
    </row>
    <row r="826" spans="1:14" x14ac:dyDescent="0.25">
      <c r="A826" s="1" t="s">
        <v>822</v>
      </c>
      <c r="B826" s="1" t="s">
        <v>618</v>
      </c>
      <c r="C826" s="1" t="s">
        <v>81</v>
      </c>
      <c r="D826" s="2"/>
      <c r="E826" s="1" t="s">
        <v>207</v>
      </c>
      <c r="F826" s="1"/>
      <c r="G826" s="1" t="s">
        <v>35</v>
      </c>
      <c r="H826" s="2"/>
      <c r="I826">
        <v>1</v>
      </c>
      <c r="J826" s="1" t="s">
        <v>234</v>
      </c>
      <c r="K826" s="1" t="s">
        <v>879</v>
      </c>
      <c r="M826" s="1" t="s">
        <v>234</v>
      </c>
      <c r="N826" s="1" t="s">
        <v>235</v>
      </c>
    </row>
    <row r="827" spans="1:14" x14ac:dyDescent="0.25">
      <c r="A827" s="1" t="s">
        <v>823</v>
      </c>
      <c r="B827" s="1" t="s">
        <v>618</v>
      </c>
      <c r="C827" s="1" t="s">
        <v>81</v>
      </c>
      <c r="D827" s="2"/>
      <c r="E827" s="1" t="s">
        <v>207</v>
      </c>
      <c r="F827" s="1"/>
      <c r="G827" s="1" t="s">
        <v>35</v>
      </c>
      <c r="H827" s="2"/>
      <c r="I827">
        <v>1</v>
      </c>
      <c r="J827" s="1" t="s">
        <v>234</v>
      </c>
      <c r="K827" s="1" t="s">
        <v>879</v>
      </c>
      <c r="M827" s="1" t="s">
        <v>234</v>
      </c>
      <c r="N827" s="1" t="s">
        <v>235</v>
      </c>
    </row>
    <row r="828" spans="1:14" x14ac:dyDescent="0.25">
      <c r="A828" s="1" t="s">
        <v>824</v>
      </c>
      <c r="B828" s="1" t="s">
        <v>618</v>
      </c>
      <c r="C828" s="1" t="s">
        <v>81</v>
      </c>
      <c r="D828" s="2"/>
      <c r="E828" s="1" t="s">
        <v>207</v>
      </c>
      <c r="F828" s="1"/>
      <c r="G828" s="1" t="s">
        <v>35</v>
      </c>
      <c r="H828" s="2"/>
      <c r="I828">
        <v>1</v>
      </c>
      <c r="J828" s="1" t="s">
        <v>234</v>
      </c>
      <c r="K828" s="1" t="s">
        <v>879</v>
      </c>
      <c r="M828" s="1" t="s">
        <v>234</v>
      </c>
      <c r="N828" s="1" t="s">
        <v>235</v>
      </c>
    </row>
    <row r="829" spans="1:14" x14ac:dyDescent="0.25">
      <c r="A829" s="1" t="s">
        <v>825</v>
      </c>
      <c r="B829" s="1" t="s">
        <v>618</v>
      </c>
      <c r="C829" s="1" t="s">
        <v>81</v>
      </c>
      <c r="D829" s="2"/>
      <c r="E829" s="1" t="s">
        <v>207</v>
      </c>
      <c r="F829" s="1"/>
      <c r="G829" s="1" t="s">
        <v>35</v>
      </c>
      <c r="H829" s="2"/>
      <c r="I829">
        <v>1</v>
      </c>
      <c r="J829" s="1" t="s">
        <v>234</v>
      </c>
      <c r="K829" s="1" t="s">
        <v>879</v>
      </c>
      <c r="M829" s="1" t="s">
        <v>234</v>
      </c>
      <c r="N829" s="1" t="s">
        <v>235</v>
      </c>
    </row>
    <row r="830" spans="1:14" x14ac:dyDescent="0.25">
      <c r="A830" s="1" t="s">
        <v>826</v>
      </c>
      <c r="B830" s="1" t="s">
        <v>618</v>
      </c>
      <c r="C830" s="1" t="s">
        <v>81</v>
      </c>
      <c r="D830" s="2"/>
      <c r="E830" s="1" t="s">
        <v>207</v>
      </c>
      <c r="F830" s="1"/>
      <c r="G830" s="1" t="s">
        <v>35</v>
      </c>
      <c r="H830" s="2"/>
      <c r="I830">
        <v>1</v>
      </c>
      <c r="J830" s="1" t="s">
        <v>234</v>
      </c>
      <c r="K830" s="1" t="s">
        <v>879</v>
      </c>
      <c r="M830" s="1" t="s">
        <v>234</v>
      </c>
      <c r="N830" s="1" t="s">
        <v>235</v>
      </c>
    </row>
    <row r="831" spans="1:14" x14ac:dyDescent="0.25">
      <c r="A831" s="1" t="s">
        <v>827</v>
      </c>
      <c r="B831" s="1" t="s">
        <v>618</v>
      </c>
      <c r="C831" s="1" t="s">
        <v>81</v>
      </c>
      <c r="D831" s="2"/>
      <c r="E831" s="1" t="s">
        <v>207</v>
      </c>
      <c r="F831" s="1"/>
      <c r="G831" s="1" t="s">
        <v>35</v>
      </c>
      <c r="H831" s="2"/>
      <c r="I831">
        <v>1</v>
      </c>
      <c r="J831" s="1" t="s">
        <v>234</v>
      </c>
      <c r="K831" s="1" t="s">
        <v>879</v>
      </c>
      <c r="M831" s="1" t="s">
        <v>234</v>
      </c>
      <c r="N831" s="1" t="s">
        <v>235</v>
      </c>
    </row>
    <row r="832" spans="1:14" x14ac:dyDescent="0.25">
      <c r="A832" s="1" t="s">
        <v>828</v>
      </c>
      <c r="B832" s="1" t="s">
        <v>618</v>
      </c>
      <c r="C832" s="1" t="s">
        <v>81</v>
      </c>
      <c r="D832" s="2"/>
      <c r="E832" s="1" t="s">
        <v>207</v>
      </c>
      <c r="F832" s="1"/>
      <c r="G832" s="1" t="s">
        <v>35</v>
      </c>
      <c r="H832" s="2"/>
      <c r="I832">
        <v>1</v>
      </c>
      <c r="J832" s="1" t="s">
        <v>234</v>
      </c>
      <c r="K832" s="1" t="s">
        <v>879</v>
      </c>
      <c r="M832" s="1" t="s">
        <v>234</v>
      </c>
      <c r="N832" s="1" t="s">
        <v>235</v>
      </c>
    </row>
    <row r="833" spans="1:14" x14ac:dyDescent="0.25">
      <c r="A833" s="1" t="s">
        <v>829</v>
      </c>
      <c r="B833" s="1" t="s">
        <v>618</v>
      </c>
      <c r="C833" s="1" t="s">
        <v>81</v>
      </c>
      <c r="D833" s="2"/>
      <c r="E833" s="1" t="s">
        <v>207</v>
      </c>
      <c r="F833" s="1"/>
      <c r="G833" s="1" t="s">
        <v>35</v>
      </c>
      <c r="H833" s="2"/>
      <c r="I833">
        <v>1</v>
      </c>
      <c r="J833" s="1" t="s">
        <v>234</v>
      </c>
      <c r="K833" s="1" t="s">
        <v>879</v>
      </c>
      <c r="M833" s="1" t="s">
        <v>234</v>
      </c>
      <c r="N833" s="1" t="s">
        <v>235</v>
      </c>
    </row>
    <row r="834" spans="1:14" x14ac:dyDescent="0.25">
      <c r="A834" s="1" t="s">
        <v>830</v>
      </c>
      <c r="B834" s="1" t="s">
        <v>618</v>
      </c>
      <c r="C834" s="1" t="s">
        <v>81</v>
      </c>
      <c r="D834" s="2"/>
      <c r="E834" s="1" t="s">
        <v>207</v>
      </c>
      <c r="F834" s="1"/>
      <c r="G834" s="1" t="s">
        <v>35</v>
      </c>
      <c r="H834" s="2"/>
      <c r="I834">
        <v>1</v>
      </c>
      <c r="J834" s="1" t="s">
        <v>234</v>
      </c>
      <c r="K834" s="1" t="s">
        <v>879</v>
      </c>
      <c r="M834" s="1" t="s">
        <v>234</v>
      </c>
      <c r="N834" s="1" t="s">
        <v>235</v>
      </c>
    </row>
    <row r="835" spans="1:14" x14ac:dyDescent="0.25">
      <c r="A835" s="1" t="s">
        <v>831</v>
      </c>
      <c r="B835" s="1" t="s">
        <v>618</v>
      </c>
      <c r="C835" s="1" t="s">
        <v>81</v>
      </c>
      <c r="D835" s="2"/>
      <c r="E835" s="1" t="s">
        <v>207</v>
      </c>
      <c r="F835" s="1"/>
      <c r="G835" s="1" t="s">
        <v>35</v>
      </c>
      <c r="H835" s="2"/>
      <c r="I835">
        <v>1</v>
      </c>
      <c r="J835" s="1" t="s">
        <v>234</v>
      </c>
      <c r="K835" s="1" t="s">
        <v>879</v>
      </c>
      <c r="M835" s="1" t="s">
        <v>234</v>
      </c>
      <c r="N835" s="1" t="s">
        <v>235</v>
      </c>
    </row>
    <row r="836" spans="1:14" x14ac:dyDescent="0.25">
      <c r="A836" s="1" t="s">
        <v>832</v>
      </c>
      <c r="B836" s="1" t="s">
        <v>618</v>
      </c>
      <c r="C836" s="1" t="s">
        <v>81</v>
      </c>
      <c r="D836" s="2"/>
      <c r="E836" s="1" t="s">
        <v>207</v>
      </c>
      <c r="F836" s="1"/>
      <c r="G836" s="1" t="s">
        <v>35</v>
      </c>
      <c r="H836" s="2"/>
      <c r="I836">
        <v>1</v>
      </c>
      <c r="J836" s="1" t="s">
        <v>234</v>
      </c>
      <c r="K836" s="1" t="s">
        <v>879</v>
      </c>
      <c r="M836" s="1" t="s">
        <v>234</v>
      </c>
      <c r="N836" s="1" t="s">
        <v>235</v>
      </c>
    </row>
    <row r="837" spans="1:14" x14ac:dyDescent="0.25">
      <c r="A837" s="1" t="s">
        <v>833</v>
      </c>
      <c r="B837" s="1" t="s">
        <v>618</v>
      </c>
      <c r="C837" s="1" t="s">
        <v>81</v>
      </c>
      <c r="D837" s="2"/>
      <c r="E837" s="1" t="s">
        <v>207</v>
      </c>
      <c r="F837" s="1"/>
      <c r="G837" s="1" t="s">
        <v>35</v>
      </c>
      <c r="H837" s="2"/>
      <c r="I837">
        <v>1</v>
      </c>
      <c r="J837" s="1" t="s">
        <v>234</v>
      </c>
      <c r="K837" s="1" t="s">
        <v>879</v>
      </c>
      <c r="M837" s="1" t="s">
        <v>234</v>
      </c>
      <c r="N837" s="1" t="s">
        <v>235</v>
      </c>
    </row>
    <row r="838" spans="1:14" x14ac:dyDescent="0.25">
      <c r="A838" s="1" t="s">
        <v>834</v>
      </c>
      <c r="B838" s="1" t="s">
        <v>618</v>
      </c>
      <c r="C838" s="1" t="s">
        <v>81</v>
      </c>
      <c r="D838" s="2"/>
      <c r="E838" s="1" t="s">
        <v>207</v>
      </c>
      <c r="F838" s="1"/>
      <c r="G838" s="1" t="s">
        <v>35</v>
      </c>
      <c r="H838" s="2"/>
      <c r="I838">
        <v>1</v>
      </c>
      <c r="J838" s="1" t="s">
        <v>234</v>
      </c>
      <c r="K838" s="1" t="s">
        <v>879</v>
      </c>
      <c r="M838" s="1" t="s">
        <v>234</v>
      </c>
      <c r="N838" s="1" t="s">
        <v>235</v>
      </c>
    </row>
    <row r="839" spans="1:14" x14ac:dyDescent="0.25">
      <c r="A839" s="1" t="s">
        <v>835</v>
      </c>
      <c r="B839" s="1" t="s">
        <v>618</v>
      </c>
      <c r="C839" s="1" t="s">
        <v>81</v>
      </c>
      <c r="D839" s="2"/>
      <c r="E839" s="1" t="s">
        <v>207</v>
      </c>
      <c r="F839" s="1"/>
      <c r="G839" s="1" t="s">
        <v>35</v>
      </c>
      <c r="H839" s="2"/>
      <c r="I839">
        <v>1</v>
      </c>
      <c r="J839" s="1" t="s">
        <v>234</v>
      </c>
      <c r="K839" s="1" t="s">
        <v>879</v>
      </c>
      <c r="M839" s="1" t="s">
        <v>234</v>
      </c>
      <c r="N839" s="1" t="s">
        <v>235</v>
      </c>
    </row>
    <row r="840" spans="1:14" x14ac:dyDescent="0.25">
      <c r="A840" s="1" t="s">
        <v>836</v>
      </c>
      <c r="B840" s="1" t="s">
        <v>618</v>
      </c>
      <c r="C840" s="1" t="s">
        <v>81</v>
      </c>
      <c r="D840" s="2"/>
      <c r="E840" s="1" t="s">
        <v>207</v>
      </c>
      <c r="F840" s="1"/>
      <c r="G840" s="1" t="s">
        <v>35</v>
      </c>
      <c r="H840" s="2"/>
      <c r="I840">
        <v>1</v>
      </c>
      <c r="J840" s="1" t="s">
        <v>234</v>
      </c>
      <c r="K840" s="1" t="s">
        <v>879</v>
      </c>
      <c r="M840" s="1" t="s">
        <v>234</v>
      </c>
      <c r="N840" s="1" t="s">
        <v>235</v>
      </c>
    </row>
    <row r="841" spans="1:14" x14ac:dyDescent="0.25">
      <c r="A841" s="1" t="s">
        <v>837</v>
      </c>
      <c r="B841" s="1" t="s">
        <v>618</v>
      </c>
      <c r="C841" s="1" t="s">
        <v>81</v>
      </c>
      <c r="D841" s="2"/>
      <c r="E841" s="1" t="s">
        <v>207</v>
      </c>
      <c r="F841" s="1"/>
      <c r="G841" s="1" t="s">
        <v>35</v>
      </c>
      <c r="H841" s="2"/>
      <c r="I841">
        <v>1</v>
      </c>
      <c r="J841" s="1" t="s">
        <v>234</v>
      </c>
      <c r="K841" s="1" t="s">
        <v>879</v>
      </c>
      <c r="M841" s="1" t="s">
        <v>234</v>
      </c>
      <c r="N841" s="1" t="s">
        <v>235</v>
      </c>
    </row>
    <row r="842" spans="1:14" x14ac:dyDescent="0.25">
      <c r="A842" s="1" t="s">
        <v>838</v>
      </c>
      <c r="B842" s="1" t="s">
        <v>618</v>
      </c>
      <c r="C842" s="1" t="s">
        <v>81</v>
      </c>
      <c r="D842" s="2"/>
      <c r="E842" s="1" t="s">
        <v>207</v>
      </c>
      <c r="F842" s="1"/>
      <c r="G842" s="1" t="s">
        <v>35</v>
      </c>
      <c r="H842" s="2"/>
      <c r="I842">
        <v>1</v>
      </c>
      <c r="J842" s="1" t="s">
        <v>234</v>
      </c>
      <c r="K842" s="1" t="s">
        <v>879</v>
      </c>
      <c r="M842" s="1" t="s">
        <v>234</v>
      </c>
      <c r="N842" s="1" t="s">
        <v>235</v>
      </c>
    </row>
    <row r="843" spans="1:14" x14ac:dyDescent="0.25">
      <c r="A843" s="1" t="s">
        <v>839</v>
      </c>
      <c r="B843" s="1" t="s">
        <v>618</v>
      </c>
      <c r="C843" s="1" t="s">
        <v>81</v>
      </c>
      <c r="D843" s="2"/>
      <c r="E843" s="1" t="s">
        <v>207</v>
      </c>
      <c r="F843" s="1"/>
      <c r="G843" s="1" t="s">
        <v>35</v>
      </c>
      <c r="H843" s="2"/>
      <c r="I843">
        <v>1</v>
      </c>
      <c r="J843" s="1" t="s">
        <v>234</v>
      </c>
      <c r="K843" s="1" t="s">
        <v>879</v>
      </c>
      <c r="M843" s="1" t="s">
        <v>234</v>
      </c>
      <c r="N843" s="1" t="s">
        <v>235</v>
      </c>
    </row>
    <row r="844" spans="1:14" x14ac:dyDescent="0.25">
      <c r="A844" s="1" t="s">
        <v>840</v>
      </c>
      <c r="B844" s="1" t="s">
        <v>618</v>
      </c>
      <c r="C844" s="1" t="s">
        <v>81</v>
      </c>
      <c r="D844" s="2"/>
      <c r="E844" s="1" t="s">
        <v>207</v>
      </c>
      <c r="F844" s="1"/>
      <c r="G844" s="1" t="s">
        <v>35</v>
      </c>
      <c r="H844" s="2"/>
      <c r="I844">
        <v>1</v>
      </c>
      <c r="J844" s="1" t="s">
        <v>234</v>
      </c>
      <c r="K844" s="1" t="s">
        <v>879</v>
      </c>
      <c r="M844" s="1" t="s">
        <v>234</v>
      </c>
      <c r="N844" s="1" t="s">
        <v>235</v>
      </c>
    </row>
    <row r="845" spans="1:14" x14ac:dyDescent="0.25">
      <c r="A845" s="1" t="s">
        <v>841</v>
      </c>
      <c r="B845" s="1" t="s">
        <v>618</v>
      </c>
      <c r="C845" s="1" t="s">
        <v>81</v>
      </c>
      <c r="D845" s="2"/>
      <c r="E845" s="1" t="s">
        <v>207</v>
      </c>
      <c r="F845" s="1"/>
      <c r="G845" s="1" t="s">
        <v>35</v>
      </c>
      <c r="H845" s="2"/>
      <c r="I845">
        <v>1</v>
      </c>
      <c r="J845" s="1" t="s">
        <v>234</v>
      </c>
      <c r="K845" s="1" t="s">
        <v>879</v>
      </c>
      <c r="M845" s="1" t="s">
        <v>234</v>
      </c>
      <c r="N845" s="1" t="s">
        <v>235</v>
      </c>
    </row>
    <row r="846" spans="1:14" x14ac:dyDescent="0.25">
      <c r="A846" s="1" t="s">
        <v>842</v>
      </c>
      <c r="B846" s="1" t="s">
        <v>618</v>
      </c>
      <c r="C846" s="1" t="s">
        <v>81</v>
      </c>
      <c r="D846" s="2"/>
      <c r="E846" s="1" t="s">
        <v>207</v>
      </c>
      <c r="F846" s="1"/>
      <c r="G846" s="1" t="s">
        <v>35</v>
      </c>
      <c r="H846" s="2"/>
      <c r="I846">
        <v>1</v>
      </c>
      <c r="J846" s="1" t="s">
        <v>234</v>
      </c>
      <c r="K846" s="1" t="s">
        <v>879</v>
      </c>
      <c r="M846" s="1" t="s">
        <v>234</v>
      </c>
      <c r="N846" s="1" t="s">
        <v>235</v>
      </c>
    </row>
    <row r="847" spans="1:14" x14ac:dyDescent="0.25">
      <c r="A847" s="1" t="s">
        <v>843</v>
      </c>
      <c r="B847" s="1" t="s">
        <v>618</v>
      </c>
      <c r="C847" s="1" t="s">
        <v>81</v>
      </c>
      <c r="D847" s="2"/>
      <c r="E847" s="1" t="s">
        <v>207</v>
      </c>
      <c r="F847" s="1"/>
      <c r="G847" s="1" t="s">
        <v>35</v>
      </c>
      <c r="H847" s="2"/>
      <c r="I847">
        <v>1</v>
      </c>
      <c r="J847" s="1" t="s">
        <v>234</v>
      </c>
      <c r="K847" s="1" t="s">
        <v>879</v>
      </c>
      <c r="M847" s="1" t="s">
        <v>234</v>
      </c>
      <c r="N847" s="1" t="s">
        <v>235</v>
      </c>
    </row>
    <row r="848" spans="1:14" x14ac:dyDescent="0.25">
      <c r="A848" s="1" t="s">
        <v>844</v>
      </c>
      <c r="B848" s="1" t="s">
        <v>618</v>
      </c>
      <c r="C848" s="1" t="s">
        <v>81</v>
      </c>
      <c r="D848" s="2"/>
      <c r="E848" s="1" t="s">
        <v>207</v>
      </c>
      <c r="F848" s="1"/>
      <c r="G848" s="1" t="s">
        <v>35</v>
      </c>
      <c r="H848" s="2"/>
      <c r="I848">
        <v>1</v>
      </c>
      <c r="J848" s="1" t="s">
        <v>234</v>
      </c>
      <c r="K848" s="1" t="s">
        <v>879</v>
      </c>
      <c r="M848" s="1" t="s">
        <v>234</v>
      </c>
      <c r="N848" s="1" t="s">
        <v>235</v>
      </c>
    </row>
    <row r="849" spans="1:14" x14ac:dyDescent="0.25">
      <c r="A849" s="1" t="s">
        <v>845</v>
      </c>
      <c r="B849" s="1" t="s">
        <v>618</v>
      </c>
      <c r="C849" s="1" t="s">
        <v>81</v>
      </c>
      <c r="D849" s="2"/>
      <c r="E849" s="1" t="s">
        <v>207</v>
      </c>
      <c r="F849" s="1"/>
      <c r="G849" s="1" t="s">
        <v>35</v>
      </c>
      <c r="H849" s="2"/>
      <c r="I849">
        <v>1</v>
      </c>
      <c r="J849" s="1" t="s">
        <v>234</v>
      </c>
      <c r="K849" s="1" t="s">
        <v>879</v>
      </c>
      <c r="M849" s="1" t="s">
        <v>234</v>
      </c>
      <c r="N849" s="1" t="s">
        <v>235</v>
      </c>
    </row>
    <row r="850" spans="1:14" x14ac:dyDescent="0.25">
      <c r="A850" s="1" t="s">
        <v>846</v>
      </c>
      <c r="B850" s="1" t="s">
        <v>618</v>
      </c>
      <c r="C850" s="1" t="s">
        <v>81</v>
      </c>
      <c r="D850" s="2"/>
      <c r="E850" s="1" t="s">
        <v>207</v>
      </c>
      <c r="F850" s="1"/>
      <c r="G850" s="1" t="s">
        <v>35</v>
      </c>
      <c r="H850" s="2"/>
      <c r="I850">
        <v>1</v>
      </c>
      <c r="J850" s="1" t="s">
        <v>234</v>
      </c>
      <c r="K850" s="1" t="s">
        <v>879</v>
      </c>
      <c r="M850" s="1" t="s">
        <v>234</v>
      </c>
      <c r="N850" s="1" t="s">
        <v>235</v>
      </c>
    </row>
    <row r="851" spans="1:14" x14ac:dyDescent="0.25">
      <c r="A851" s="1" t="s">
        <v>847</v>
      </c>
      <c r="B851" s="1" t="s">
        <v>618</v>
      </c>
      <c r="C851" s="1" t="s">
        <v>81</v>
      </c>
      <c r="D851" s="2"/>
      <c r="E851" s="1" t="s">
        <v>207</v>
      </c>
      <c r="F851" s="1"/>
      <c r="G851" s="1" t="s">
        <v>35</v>
      </c>
      <c r="H851" s="2"/>
      <c r="I851">
        <v>1</v>
      </c>
      <c r="J851" s="1" t="s">
        <v>234</v>
      </c>
      <c r="K851" s="1" t="s">
        <v>879</v>
      </c>
      <c r="M851" s="1" t="s">
        <v>234</v>
      </c>
      <c r="N851" s="1" t="s">
        <v>235</v>
      </c>
    </row>
    <row r="852" spans="1:14" x14ac:dyDescent="0.25">
      <c r="A852" s="1" t="s">
        <v>848</v>
      </c>
      <c r="B852" s="1" t="s">
        <v>618</v>
      </c>
      <c r="C852" s="1" t="s">
        <v>81</v>
      </c>
      <c r="D852" s="2"/>
      <c r="E852" s="1" t="s">
        <v>207</v>
      </c>
      <c r="F852" s="1"/>
      <c r="G852" s="1" t="s">
        <v>35</v>
      </c>
      <c r="H852" s="2"/>
      <c r="I852">
        <v>1</v>
      </c>
      <c r="J852" s="1" t="s">
        <v>234</v>
      </c>
      <c r="K852" s="1" t="s">
        <v>879</v>
      </c>
      <c r="M852" s="1" t="s">
        <v>234</v>
      </c>
      <c r="N852" s="1" t="s">
        <v>235</v>
      </c>
    </row>
    <row r="853" spans="1:14" x14ac:dyDescent="0.25">
      <c r="A853" s="1" t="s">
        <v>849</v>
      </c>
      <c r="B853" s="1" t="s">
        <v>618</v>
      </c>
      <c r="C853" s="1" t="s">
        <v>81</v>
      </c>
      <c r="D853" s="2"/>
      <c r="E853" s="1" t="s">
        <v>207</v>
      </c>
      <c r="F853" s="1"/>
      <c r="G853" s="1" t="s">
        <v>35</v>
      </c>
      <c r="H853" s="2"/>
      <c r="I853">
        <v>1</v>
      </c>
      <c r="J853" s="1" t="s">
        <v>234</v>
      </c>
      <c r="K853" s="1" t="s">
        <v>879</v>
      </c>
      <c r="M853" s="1" t="s">
        <v>234</v>
      </c>
      <c r="N853" s="1" t="s">
        <v>235</v>
      </c>
    </row>
    <row r="854" spans="1:14" x14ac:dyDescent="0.25">
      <c r="A854" s="1" t="s">
        <v>850</v>
      </c>
      <c r="B854" s="1" t="s">
        <v>618</v>
      </c>
      <c r="C854" s="1" t="s">
        <v>81</v>
      </c>
      <c r="D854" s="2"/>
      <c r="E854" s="1" t="s">
        <v>207</v>
      </c>
      <c r="F854" s="1"/>
      <c r="G854" s="1" t="s">
        <v>35</v>
      </c>
      <c r="H854" s="2"/>
      <c r="I854">
        <v>1</v>
      </c>
      <c r="J854" s="1" t="s">
        <v>234</v>
      </c>
      <c r="K854" s="1" t="s">
        <v>879</v>
      </c>
      <c r="M854" s="1" t="s">
        <v>234</v>
      </c>
      <c r="N854" s="1" t="s">
        <v>235</v>
      </c>
    </row>
    <row r="855" spans="1:14" x14ac:dyDescent="0.25">
      <c r="A855" s="1" t="s">
        <v>851</v>
      </c>
      <c r="B855" s="1" t="s">
        <v>618</v>
      </c>
      <c r="C855" s="1" t="s">
        <v>81</v>
      </c>
      <c r="D855" s="2"/>
      <c r="E855" s="1" t="s">
        <v>207</v>
      </c>
      <c r="F855" s="1"/>
      <c r="G855" s="1" t="s">
        <v>35</v>
      </c>
      <c r="H855" s="2"/>
      <c r="I855">
        <v>1</v>
      </c>
      <c r="J855" s="1" t="s">
        <v>234</v>
      </c>
      <c r="K855" s="1" t="s">
        <v>879</v>
      </c>
      <c r="M855" s="1" t="s">
        <v>234</v>
      </c>
      <c r="N855" s="1" t="s">
        <v>235</v>
      </c>
    </row>
    <row r="856" spans="1:14" x14ac:dyDescent="0.25">
      <c r="A856" s="1" t="s">
        <v>852</v>
      </c>
      <c r="B856" s="1" t="s">
        <v>618</v>
      </c>
      <c r="C856" s="1" t="s">
        <v>81</v>
      </c>
      <c r="D856" s="2"/>
      <c r="E856" s="1" t="s">
        <v>207</v>
      </c>
      <c r="F856" s="1"/>
      <c r="G856" s="1" t="s">
        <v>35</v>
      </c>
      <c r="H856" s="2"/>
      <c r="I856">
        <v>1</v>
      </c>
      <c r="J856" s="1" t="s">
        <v>234</v>
      </c>
      <c r="K856" s="1" t="s">
        <v>879</v>
      </c>
      <c r="M856" s="1" t="s">
        <v>234</v>
      </c>
      <c r="N856" s="1" t="s">
        <v>235</v>
      </c>
    </row>
    <row r="857" spans="1:14" x14ac:dyDescent="0.25">
      <c r="A857" s="1" t="s">
        <v>853</v>
      </c>
      <c r="B857" s="1" t="s">
        <v>618</v>
      </c>
      <c r="C857" s="1" t="s">
        <v>81</v>
      </c>
      <c r="D857" s="2"/>
      <c r="E857" s="1" t="s">
        <v>207</v>
      </c>
      <c r="F857" s="1"/>
      <c r="G857" s="1" t="s">
        <v>35</v>
      </c>
      <c r="H857" s="2"/>
      <c r="I857">
        <v>1</v>
      </c>
      <c r="J857" s="1" t="s">
        <v>234</v>
      </c>
      <c r="K857" s="1" t="s">
        <v>879</v>
      </c>
      <c r="M857" s="1" t="s">
        <v>234</v>
      </c>
      <c r="N857" s="1" t="s">
        <v>235</v>
      </c>
    </row>
    <row r="858" spans="1:14" x14ac:dyDescent="0.25">
      <c r="A858" s="1" t="s">
        <v>854</v>
      </c>
      <c r="B858" s="1" t="s">
        <v>618</v>
      </c>
      <c r="C858" s="1" t="s">
        <v>81</v>
      </c>
      <c r="D858" s="2"/>
      <c r="E858" s="1" t="s">
        <v>207</v>
      </c>
      <c r="F858" s="1"/>
      <c r="G858" s="1" t="s">
        <v>35</v>
      </c>
      <c r="H858" s="2"/>
      <c r="I858">
        <v>1</v>
      </c>
      <c r="J858" s="1" t="s">
        <v>234</v>
      </c>
      <c r="K858" s="1" t="s">
        <v>879</v>
      </c>
      <c r="M858" s="1" t="s">
        <v>234</v>
      </c>
      <c r="N858" s="1" t="s">
        <v>235</v>
      </c>
    </row>
    <row r="859" spans="1:14" x14ac:dyDescent="0.25">
      <c r="A859" s="1" t="s">
        <v>855</v>
      </c>
      <c r="B859" s="1" t="s">
        <v>618</v>
      </c>
      <c r="C859" s="1" t="s">
        <v>81</v>
      </c>
      <c r="D859" s="2"/>
      <c r="E859" s="1" t="s">
        <v>207</v>
      </c>
      <c r="F859" s="1"/>
      <c r="G859" s="1" t="s">
        <v>35</v>
      </c>
      <c r="H859" s="2"/>
      <c r="I859">
        <v>1</v>
      </c>
      <c r="J859" s="1" t="s">
        <v>234</v>
      </c>
      <c r="K859" s="1" t="s">
        <v>879</v>
      </c>
      <c r="M859" s="1" t="s">
        <v>234</v>
      </c>
      <c r="N859" s="1" t="s">
        <v>235</v>
      </c>
    </row>
    <row r="860" spans="1:14" x14ac:dyDescent="0.25">
      <c r="A860" s="1" t="s">
        <v>856</v>
      </c>
      <c r="B860" s="1" t="s">
        <v>618</v>
      </c>
      <c r="C860" s="1" t="s">
        <v>81</v>
      </c>
      <c r="D860" s="2"/>
      <c r="E860" s="1" t="s">
        <v>207</v>
      </c>
      <c r="F860" s="1"/>
      <c r="G860" s="1" t="s">
        <v>35</v>
      </c>
      <c r="H860" s="2"/>
      <c r="I860">
        <v>1</v>
      </c>
      <c r="J860" s="1" t="s">
        <v>234</v>
      </c>
      <c r="K860" s="1" t="s">
        <v>879</v>
      </c>
      <c r="M860" s="1" t="s">
        <v>234</v>
      </c>
      <c r="N860" s="1" t="s">
        <v>235</v>
      </c>
    </row>
    <row r="861" spans="1:14" x14ac:dyDescent="0.25">
      <c r="A861" s="1" t="s">
        <v>857</v>
      </c>
      <c r="B861" s="1" t="s">
        <v>618</v>
      </c>
      <c r="C861" s="1" t="s">
        <v>81</v>
      </c>
      <c r="D861" s="2"/>
      <c r="E861" s="1" t="s">
        <v>207</v>
      </c>
      <c r="F861" s="1"/>
      <c r="G861" s="1" t="s">
        <v>35</v>
      </c>
      <c r="H861" s="2"/>
      <c r="I861">
        <v>1</v>
      </c>
      <c r="J861" s="1" t="s">
        <v>234</v>
      </c>
      <c r="K861" s="1" t="s">
        <v>879</v>
      </c>
      <c r="M861" s="1" t="s">
        <v>234</v>
      </c>
      <c r="N861" s="1" t="s">
        <v>235</v>
      </c>
    </row>
    <row r="862" spans="1:14" x14ac:dyDescent="0.25">
      <c r="A862" s="1" t="s">
        <v>858</v>
      </c>
      <c r="B862" s="1" t="s">
        <v>618</v>
      </c>
      <c r="C862" s="1" t="s">
        <v>81</v>
      </c>
      <c r="D862" s="2"/>
      <c r="E862" s="1" t="s">
        <v>207</v>
      </c>
      <c r="F862" s="1"/>
      <c r="G862" s="1" t="s">
        <v>35</v>
      </c>
      <c r="H862" s="2"/>
      <c r="I862">
        <v>1</v>
      </c>
      <c r="J862" s="1" t="s">
        <v>234</v>
      </c>
      <c r="K862" s="1" t="s">
        <v>879</v>
      </c>
      <c r="M862" s="1" t="s">
        <v>234</v>
      </c>
      <c r="N862" s="1" t="s">
        <v>235</v>
      </c>
    </row>
    <row r="863" spans="1:14" x14ac:dyDescent="0.25">
      <c r="A863" s="1" t="s">
        <v>859</v>
      </c>
      <c r="B863" s="1" t="s">
        <v>618</v>
      </c>
      <c r="C863" s="1" t="s">
        <v>81</v>
      </c>
      <c r="D863" s="2"/>
      <c r="E863" s="1" t="s">
        <v>207</v>
      </c>
      <c r="F863" s="1"/>
      <c r="G863" s="1" t="s">
        <v>35</v>
      </c>
      <c r="H863" s="2"/>
      <c r="I863">
        <v>1</v>
      </c>
      <c r="J863" s="1" t="s">
        <v>234</v>
      </c>
      <c r="K863" s="1" t="s">
        <v>879</v>
      </c>
      <c r="M863" s="1" t="s">
        <v>234</v>
      </c>
      <c r="N863" s="1" t="s">
        <v>235</v>
      </c>
    </row>
    <row r="864" spans="1:14" x14ac:dyDescent="0.25">
      <c r="A864" s="1" t="s">
        <v>860</v>
      </c>
      <c r="B864" s="1" t="s">
        <v>618</v>
      </c>
      <c r="C864" s="1" t="s">
        <v>81</v>
      </c>
      <c r="D864" s="2"/>
      <c r="E864" s="1" t="s">
        <v>207</v>
      </c>
      <c r="F864" s="1"/>
      <c r="G864" s="1" t="s">
        <v>35</v>
      </c>
      <c r="H864" s="2"/>
      <c r="I864">
        <v>1</v>
      </c>
      <c r="J864" s="1" t="s">
        <v>234</v>
      </c>
      <c r="K864" s="1" t="s">
        <v>879</v>
      </c>
      <c r="M864" s="1" t="s">
        <v>234</v>
      </c>
      <c r="N864" s="1" t="s">
        <v>235</v>
      </c>
    </row>
    <row r="865" spans="1:14" x14ac:dyDescent="0.25">
      <c r="A865" s="1" t="s">
        <v>861</v>
      </c>
      <c r="B865" s="1" t="s">
        <v>618</v>
      </c>
      <c r="C865" s="1" t="s">
        <v>81</v>
      </c>
      <c r="D865" s="2"/>
      <c r="E865" s="1" t="s">
        <v>207</v>
      </c>
      <c r="F865" s="1"/>
      <c r="G865" s="1" t="s">
        <v>35</v>
      </c>
      <c r="H865" s="2"/>
      <c r="I865">
        <v>1</v>
      </c>
      <c r="J865" s="1" t="s">
        <v>234</v>
      </c>
      <c r="K865" s="1" t="s">
        <v>879</v>
      </c>
      <c r="M865" s="1" t="s">
        <v>234</v>
      </c>
      <c r="N865" s="1" t="s">
        <v>235</v>
      </c>
    </row>
    <row r="866" spans="1:14" x14ac:dyDescent="0.25">
      <c r="A866" s="1" t="s">
        <v>862</v>
      </c>
      <c r="B866" s="1" t="s">
        <v>618</v>
      </c>
      <c r="C866" s="1" t="s">
        <v>81</v>
      </c>
      <c r="D866" s="2"/>
      <c r="E866" s="1" t="s">
        <v>207</v>
      </c>
      <c r="F866" s="1"/>
      <c r="G866" s="1" t="s">
        <v>35</v>
      </c>
      <c r="H866" s="2"/>
      <c r="I866">
        <v>1</v>
      </c>
      <c r="J866" s="1" t="s">
        <v>234</v>
      </c>
      <c r="K866" s="1" t="s">
        <v>879</v>
      </c>
      <c r="M866" s="1" t="s">
        <v>234</v>
      </c>
      <c r="N866" s="1" t="s">
        <v>235</v>
      </c>
    </row>
    <row r="867" spans="1:14" x14ac:dyDescent="0.25">
      <c r="A867" s="1" t="s">
        <v>863</v>
      </c>
      <c r="B867" s="1" t="s">
        <v>618</v>
      </c>
      <c r="C867" s="1" t="s">
        <v>81</v>
      </c>
      <c r="D867" s="2"/>
      <c r="E867" s="1" t="s">
        <v>207</v>
      </c>
      <c r="F867" s="1"/>
      <c r="G867" s="1" t="s">
        <v>35</v>
      </c>
      <c r="H867" s="2"/>
      <c r="I867">
        <v>1</v>
      </c>
      <c r="J867" s="1" t="s">
        <v>234</v>
      </c>
      <c r="K867" s="1" t="s">
        <v>879</v>
      </c>
      <c r="M867" s="1" t="s">
        <v>234</v>
      </c>
      <c r="N867" s="1" t="s">
        <v>235</v>
      </c>
    </row>
    <row r="868" spans="1:14" x14ac:dyDescent="0.25">
      <c r="A868" s="1" t="s">
        <v>864</v>
      </c>
      <c r="B868" s="1" t="s">
        <v>618</v>
      </c>
      <c r="C868" s="1" t="s">
        <v>81</v>
      </c>
      <c r="D868" s="2"/>
      <c r="E868" s="1" t="s">
        <v>207</v>
      </c>
      <c r="F868" s="1"/>
      <c r="G868" s="1" t="s">
        <v>35</v>
      </c>
      <c r="H868" s="2"/>
      <c r="I868">
        <v>1</v>
      </c>
      <c r="J868" s="1" t="s">
        <v>234</v>
      </c>
      <c r="K868" s="1" t="s">
        <v>879</v>
      </c>
      <c r="M868" s="1" t="s">
        <v>234</v>
      </c>
      <c r="N868" s="1" t="s">
        <v>235</v>
      </c>
    </row>
    <row r="869" spans="1:14" x14ac:dyDescent="0.25">
      <c r="A869" s="1" t="s">
        <v>865</v>
      </c>
      <c r="B869" s="1" t="s">
        <v>618</v>
      </c>
      <c r="C869" s="1" t="s">
        <v>81</v>
      </c>
      <c r="D869" s="2"/>
      <c r="E869" s="1" t="s">
        <v>207</v>
      </c>
      <c r="F869" s="1"/>
      <c r="G869" s="1" t="s">
        <v>35</v>
      </c>
      <c r="H869" s="2"/>
      <c r="I869">
        <v>1</v>
      </c>
      <c r="J869" s="1" t="s">
        <v>234</v>
      </c>
      <c r="K869" s="1" t="s">
        <v>879</v>
      </c>
      <c r="M869" s="1" t="s">
        <v>234</v>
      </c>
      <c r="N869" s="1" t="s">
        <v>235</v>
      </c>
    </row>
    <row r="870" spans="1:14" x14ac:dyDescent="0.25">
      <c r="A870" s="1" t="s">
        <v>866</v>
      </c>
      <c r="B870" s="1" t="s">
        <v>618</v>
      </c>
      <c r="C870" s="1" t="s">
        <v>81</v>
      </c>
      <c r="D870" s="2"/>
      <c r="E870" s="1" t="s">
        <v>207</v>
      </c>
      <c r="F870" s="1"/>
      <c r="G870" s="1" t="s">
        <v>35</v>
      </c>
      <c r="H870" s="2"/>
      <c r="I870">
        <v>1</v>
      </c>
      <c r="J870" s="1" t="s">
        <v>234</v>
      </c>
      <c r="K870" s="1" t="s">
        <v>879</v>
      </c>
      <c r="M870" s="1" t="s">
        <v>234</v>
      </c>
      <c r="N870" s="1" t="s">
        <v>235</v>
      </c>
    </row>
    <row r="871" spans="1:14" x14ac:dyDescent="0.25">
      <c r="A871" s="1" t="s">
        <v>867</v>
      </c>
      <c r="B871" s="1" t="s">
        <v>618</v>
      </c>
      <c r="C871" s="1" t="s">
        <v>81</v>
      </c>
      <c r="D871" s="2"/>
      <c r="E871" s="1" t="s">
        <v>207</v>
      </c>
      <c r="F871" s="1"/>
      <c r="G871" s="1" t="s">
        <v>35</v>
      </c>
      <c r="H871" s="2"/>
      <c r="I871">
        <v>1</v>
      </c>
      <c r="J871" s="1" t="s">
        <v>234</v>
      </c>
      <c r="K871" s="1" t="s">
        <v>879</v>
      </c>
      <c r="M871" s="1" t="s">
        <v>234</v>
      </c>
      <c r="N871" s="1" t="s">
        <v>235</v>
      </c>
    </row>
    <row r="872" spans="1:14" x14ac:dyDescent="0.25">
      <c r="A872" s="1" t="s">
        <v>868</v>
      </c>
      <c r="B872" s="1" t="s">
        <v>618</v>
      </c>
      <c r="C872" s="1" t="s">
        <v>81</v>
      </c>
      <c r="D872" s="2"/>
      <c r="E872" s="1" t="s">
        <v>207</v>
      </c>
      <c r="F872" s="1"/>
      <c r="G872" s="1" t="s">
        <v>35</v>
      </c>
      <c r="H872" s="2"/>
      <c r="I872">
        <v>1</v>
      </c>
      <c r="J872" s="1" t="s">
        <v>234</v>
      </c>
      <c r="K872" s="1" t="s">
        <v>879</v>
      </c>
      <c r="M872" s="1" t="s">
        <v>234</v>
      </c>
      <c r="N872" s="1" t="s">
        <v>235</v>
      </c>
    </row>
    <row r="873" spans="1:14" x14ac:dyDescent="0.25">
      <c r="A873" s="1" t="s">
        <v>869</v>
      </c>
      <c r="B873" s="1" t="s">
        <v>618</v>
      </c>
      <c r="C873" s="1" t="s">
        <v>81</v>
      </c>
      <c r="D873" s="2"/>
      <c r="E873" s="1" t="s">
        <v>207</v>
      </c>
      <c r="F873" s="1"/>
      <c r="G873" s="1" t="s">
        <v>35</v>
      </c>
      <c r="H873" s="2"/>
      <c r="I873">
        <v>1</v>
      </c>
      <c r="J873" s="1" t="s">
        <v>234</v>
      </c>
      <c r="K873" s="1" t="s">
        <v>879</v>
      </c>
      <c r="M873" s="1" t="s">
        <v>234</v>
      </c>
      <c r="N873" s="1" t="s">
        <v>235</v>
      </c>
    </row>
    <row r="874" spans="1:14" x14ac:dyDescent="0.25">
      <c r="A874" s="1" t="s">
        <v>870</v>
      </c>
      <c r="B874" s="1" t="s">
        <v>618</v>
      </c>
      <c r="C874" s="1" t="s">
        <v>81</v>
      </c>
      <c r="D874" s="2"/>
      <c r="E874" s="1" t="s">
        <v>207</v>
      </c>
      <c r="F874" s="1"/>
      <c r="G874" s="1" t="s">
        <v>35</v>
      </c>
      <c r="H874" s="2"/>
      <c r="I874">
        <v>1</v>
      </c>
      <c r="J874" s="1" t="s">
        <v>234</v>
      </c>
      <c r="K874" s="1" t="s">
        <v>879</v>
      </c>
      <c r="M874" s="1" t="s">
        <v>234</v>
      </c>
      <c r="N874" s="1" t="s">
        <v>235</v>
      </c>
    </row>
    <row r="875" spans="1:14" x14ac:dyDescent="0.25">
      <c r="A875" s="1" t="s">
        <v>871</v>
      </c>
      <c r="B875" s="1" t="s">
        <v>618</v>
      </c>
      <c r="C875" s="1" t="s">
        <v>81</v>
      </c>
      <c r="D875" s="2"/>
      <c r="E875" s="1" t="s">
        <v>207</v>
      </c>
      <c r="F875" s="1"/>
      <c r="G875" s="1" t="s">
        <v>35</v>
      </c>
      <c r="H875" s="2"/>
      <c r="I875">
        <v>1</v>
      </c>
      <c r="J875" s="1" t="s">
        <v>234</v>
      </c>
      <c r="K875" s="1" t="s">
        <v>879</v>
      </c>
      <c r="M875" s="1" t="s">
        <v>234</v>
      </c>
      <c r="N875" s="1" t="s">
        <v>235</v>
      </c>
    </row>
    <row r="876" spans="1:14" x14ac:dyDescent="0.25">
      <c r="A876" s="1" t="s">
        <v>872</v>
      </c>
      <c r="B876" s="1" t="s">
        <v>618</v>
      </c>
      <c r="C876" s="1" t="s">
        <v>81</v>
      </c>
      <c r="D876" s="2"/>
      <c r="E876" s="1" t="s">
        <v>207</v>
      </c>
      <c r="F876" s="1"/>
      <c r="G876" s="1" t="s">
        <v>35</v>
      </c>
      <c r="H876" s="2"/>
      <c r="I876">
        <v>1</v>
      </c>
      <c r="J876" s="1" t="s">
        <v>234</v>
      </c>
      <c r="K876" s="1" t="s">
        <v>879</v>
      </c>
      <c r="M876" s="1" t="s">
        <v>234</v>
      </c>
      <c r="N876" s="1" t="s">
        <v>235</v>
      </c>
    </row>
    <row r="877" spans="1:14" x14ac:dyDescent="0.25">
      <c r="A877" s="1" t="s">
        <v>873</v>
      </c>
      <c r="B877" s="1" t="s">
        <v>618</v>
      </c>
      <c r="C877" s="1" t="s">
        <v>81</v>
      </c>
      <c r="D877" s="2"/>
      <c r="E877" s="1" t="s">
        <v>207</v>
      </c>
      <c r="F877" s="1"/>
      <c r="G877" s="1" t="s">
        <v>35</v>
      </c>
      <c r="H877" s="2"/>
      <c r="I877">
        <v>1</v>
      </c>
      <c r="J877" s="1" t="s">
        <v>234</v>
      </c>
      <c r="K877" s="1" t="s">
        <v>879</v>
      </c>
      <c r="M877" s="1" t="s">
        <v>234</v>
      </c>
      <c r="N877" s="1" t="s">
        <v>235</v>
      </c>
    </row>
    <row r="878" spans="1:14" x14ac:dyDescent="0.25">
      <c r="A878" s="1" t="s">
        <v>874</v>
      </c>
      <c r="B878" s="1" t="s">
        <v>618</v>
      </c>
      <c r="C878" s="1" t="s">
        <v>81</v>
      </c>
      <c r="D878" s="2"/>
      <c r="E878" s="1" t="s">
        <v>207</v>
      </c>
      <c r="F878" s="1"/>
      <c r="G878" s="1" t="s">
        <v>35</v>
      </c>
      <c r="H878" s="2"/>
      <c r="I878">
        <v>1</v>
      </c>
      <c r="J878" s="1" t="s">
        <v>234</v>
      </c>
      <c r="K878" s="1" t="s">
        <v>879</v>
      </c>
      <c r="M878" s="1" t="s">
        <v>234</v>
      </c>
      <c r="N878" s="1" t="s">
        <v>235</v>
      </c>
    </row>
    <row r="879" spans="1:14" x14ac:dyDescent="0.25">
      <c r="A879" s="1" t="s">
        <v>875</v>
      </c>
      <c r="B879" s="1" t="s">
        <v>618</v>
      </c>
      <c r="C879" s="1" t="s">
        <v>81</v>
      </c>
      <c r="D879" s="2"/>
      <c r="E879" s="1" t="s">
        <v>207</v>
      </c>
      <c r="F879" s="1"/>
      <c r="G879" s="1" t="s">
        <v>35</v>
      </c>
      <c r="H879" s="2"/>
      <c r="I879">
        <v>1</v>
      </c>
      <c r="J879" s="1" t="s">
        <v>234</v>
      </c>
      <c r="K879" s="1" t="s">
        <v>879</v>
      </c>
      <c r="M879" s="1" t="s">
        <v>234</v>
      </c>
      <c r="N879" s="1" t="s">
        <v>235</v>
      </c>
    </row>
    <row r="880" spans="1:14" x14ac:dyDescent="0.25">
      <c r="A880" s="1" t="s">
        <v>974</v>
      </c>
      <c r="B880" s="1" t="s">
        <v>507</v>
      </c>
      <c r="C880" s="1" t="s">
        <v>82</v>
      </c>
      <c r="D880" s="2"/>
      <c r="E880" s="1" t="s">
        <v>207</v>
      </c>
      <c r="F880" s="1"/>
      <c r="G880" s="1" t="s">
        <v>35</v>
      </c>
      <c r="H880" s="2"/>
      <c r="I880">
        <v>1</v>
      </c>
      <c r="J880" s="1" t="s">
        <v>234</v>
      </c>
      <c r="K880" s="1" t="s">
        <v>879</v>
      </c>
      <c r="M880" s="1" t="s">
        <v>234</v>
      </c>
      <c r="N880" s="1" t="s">
        <v>235</v>
      </c>
    </row>
    <row r="881" spans="1:14" x14ac:dyDescent="0.25">
      <c r="A881" s="1" t="s">
        <v>975</v>
      </c>
      <c r="B881" s="1" t="s">
        <v>507</v>
      </c>
      <c r="C881" s="1" t="s">
        <v>82</v>
      </c>
      <c r="D881" s="2"/>
      <c r="E881" s="1" t="s">
        <v>207</v>
      </c>
      <c r="F881" s="1"/>
      <c r="G881" s="1" t="s">
        <v>35</v>
      </c>
      <c r="H881" s="2"/>
      <c r="I881">
        <v>1</v>
      </c>
      <c r="J881" s="1" t="s">
        <v>234</v>
      </c>
      <c r="K881" s="1" t="s">
        <v>879</v>
      </c>
      <c r="M881" s="1" t="s">
        <v>234</v>
      </c>
      <c r="N881" s="1" t="s">
        <v>235</v>
      </c>
    </row>
    <row r="882" spans="1:14" x14ac:dyDescent="0.25">
      <c r="A882" s="1" t="s">
        <v>976</v>
      </c>
      <c r="B882" s="1" t="s">
        <v>507</v>
      </c>
      <c r="C882" s="1" t="s">
        <v>82</v>
      </c>
      <c r="D882" s="2"/>
      <c r="E882" s="1" t="s">
        <v>207</v>
      </c>
      <c r="F882" s="1"/>
      <c r="G882" s="1" t="s">
        <v>35</v>
      </c>
      <c r="H882" s="2"/>
      <c r="I882">
        <v>1</v>
      </c>
      <c r="J882" s="1" t="s">
        <v>234</v>
      </c>
      <c r="K882" s="1" t="s">
        <v>879</v>
      </c>
      <c r="M882" s="1" t="s">
        <v>234</v>
      </c>
      <c r="N882" s="1" t="s">
        <v>235</v>
      </c>
    </row>
    <row r="883" spans="1:14" x14ac:dyDescent="0.25">
      <c r="A883" s="1" t="s">
        <v>977</v>
      </c>
      <c r="B883" s="1" t="s">
        <v>507</v>
      </c>
      <c r="C883" s="1" t="s">
        <v>82</v>
      </c>
      <c r="D883" s="2"/>
      <c r="E883" s="1" t="s">
        <v>207</v>
      </c>
      <c r="F883" s="1"/>
      <c r="G883" s="1" t="s">
        <v>35</v>
      </c>
      <c r="H883" s="2"/>
      <c r="I883">
        <v>1</v>
      </c>
      <c r="J883" s="1" t="s">
        <v>234</v>
      </c>
      <c r="K883" s="1" t="s">
        <v>879</v>
      </c>
      <c r="M883" s="1" t="s">
        <v>234</v>
      </c>
      <c r="N883" s="1" t="s">
        <v>235</v>
      </c>
    </row>
    <row r="884" spans="1:14" x14ac:dyDescent="0.25">
      <c r="A884" s="1" t="s">
        <v>978</v>
      </c>
      <c r="B884" s="1" t="s">
        <v>507</v>
      </c>
      <c r="C884" s="1" t="s">
        <v>82</v>
      </c>
      <c r="D884" s="2"/>
      <c r="E884" s="1" t="s">
        <v>207</v>
      </c>
      <c r="F884" s="1"/>
      <c r="G884" s="1" t="s">
        <v>35</v>
      </c>
      <c r="H884" s="2"/>
      <c r="I884">
        <v>1</v>
      </c>
      <c r="J884" s="1" t="s">
        <v>234</v>
      </c>
      <c r="K884" s="1" t="s">
        <v>879</v>
      </c>
      <c r="M884" s="1" t="s">
        <v>234</v>
      </c>
      <c r="N884" s="1" t="s">
        <v>235</v>
      </c>
    </row>
    <row r="885" spans="1:14" x14ac:dyDescent="0.25">
      <c r="A885" s="1" t="s">
        <v>979</v>
      </c>
      <c r="B885" s="1" t="s">
        <v>507</v>
      </c>
      <c r="C885" s="1" t="s">
        <v>82</v>
      </c>
      <c r="D885" s="2"/>
      <c r="E885" s="1" t="s">
        <v>207</v>
      </c>
      <c r="F885" s="1"/>
      <c r="G885" s="1" t="s">
        <v>35</v>
      </c>
      <c r="H885" s="2"/>
      <c r="I885">
        <v>1</v>
      </c>
      <c r="J885" s="1" t="s">
        <v>234</v>
      </c>
      <c r="K885" s="1" t="s">
        <v>879</v>
      </c>
      <c r="M885" s="1" t="s">
        <v>234</v>
      </c>
      <c r="N885" s="1" t="s">
        <v>235</v>
      </c>
    </row>
    <row r="886" spans="1:14" x14ac:dyDescent="0.25">
      <c r="A886" s="1" t="s">
        <v>980</v>
      </c>
      <c r="B886" s="1" t="s">
        <v>507</v>
      </c>
      <c r="C886" s="1" t="s">
        <v>82</v>
      </c>
      <c r="D886" s="2"/>
      <c r="E886" s="1" t="s">
        <v>207</v>
      </c>
      <c r="F886" s="1"/>
      <c r="G886" s="1" t="s">
        <v>35</v>
      </c>
      <c r="H886" s="2"/>
      <c r="I886">
        <v>1</v>
      </c>
      <c r="J886" s="1" t="s">
        <v>234</v>
      </c>
      <c r="K886" s="1" t="s">
        <v>879</v>
      </c>
      <c r="M886" s="1" t="s">
        <v>234</v>
      </c>
      <c r="N886" s="1" t="s">
        <v>235</v>
      </c>
    </row>
    <row r="887" spans="1:14" x14ac:dyDescent="0.25">
      <c r="A887" s="1" t="s">
        <v>981</v>
      </c>
      <c r="B887" s="1" t="s">
        <v>507</v>
      </c>
      <c r="C887" s="1" t="s">
        <v>82</v>
      </c>
      <c r="D887" s="2"/>
      <c r="E887" s="1" t="s">
        <v>207</v>
      </c>
      <c r="F887" s="1"/>
      <c r="G887" s="1" t="s">
        <v>35</v>
      </c>
      <c r="H887" s="2"/>
      <c r="I887">
        <v>1</v>
      </c>
      <c r="J887" s="1" t="s">
        <v>234</v>
      </c>
      <c r="K887" s="1" t="s">
        <v>879</v>
      </c>
      <c r="M887" s="1" t="s">
        <v>234</v>
      </c>
      <c r="N887" s="1" t="s">
        <v>235</v>
      </c>
    </row>
    <row r="888" spans="1:14" x14ac:dyDescent="0.25">
      <c r="A888" s="1" t="s">
        <v>982</v>
      </c>
      <c r="B888" s="1" t="s">
        <v>507</v>
      </c>
      <c r="C888" s="1" t="s">
        <v>82</v>
      </c>
      <c r="D888" s="2"/>
      <c r="E888" s="1" t="s">
        <v>207</v>
      </c>
      <c r="F888" s="1"/>
      <c r="G888" s="1" t="s">
        <v>35</v>
      </c>
      <c r="H888" s="2"/>
      <c r="I888">
        <v>1</v>
      </c>
      <c r="J888" s="1" t="s">
        <v>234</v>
      </c>
      <c r="K888" s="1" t="s">
        <v>879</v>
      </c>
      <c r="M888" s="1" t="s">
        <v>234</v>
      </c>
      <c r="N888" s="1" t="s">
        <v>235</v>
      </c>
    </row>
    <row r="889" spans="1:14" x14ac:dyDescent="0.25">
      <c r="A889" s="1" t="s">
        <v>983</v>
      </c>
      <c r="B889" s="1" t="s">
        <v>507</v>
      </c>
      <c r="C889" s="1" t="s">
        <v>82</v>
      </c>
      <c r="D889" s="2"/>
      <c r="E889" s="1" t="s">
        <v>207</v>
      </c>
      <c r="F889" s="1"/>
      <c r="G889" s="1" t="s">
        <v>35</v>
      </c>
      <c r="H889" s="2"/>
      <c r="I889">
        <v>1</v>
      </c>
      <c r="J889" s="1" t="s">
        <v>234</v>
      </c>
      <c r="K889" s="1" t="s">
        <v>879</v>
      </c>
      <c r="M889" s="1" t="s">
        <v>234</v>
      </c>
      <c r="N889" s="1" t="s">
        <v>235</v>
      </c>
    </row>
    <row r="890" spans="1:14" x14ac:dyDescent="0.25">
      <c r="A890" s="1" t="s">
        <v>984</v>
      </c>
      <c r="B890" s="1" t="s">
        <v>507</v>
      </c>
      <c r="C890" s="1" t="s">
        <v>82</v>
      </c>
      <c r="D890" s="2"/>
      <c r="E890" s="1" t="s">
        <v>207</v>
      </c>
      <c r="F890" s="1"/>
      <c r="G890" s="1" t="s">
        <v>35</v>
      </c>
      <c r="H890" s="2"/>
      <c r="I890">
        <v>1</v>
      </c>
      <c r="J890" s="1" t="s">
        <v>234</v>
      </c>
      <c r="K890" s="1" t="s">
        <v>879</v>
      </c>
      <c r="M890" s="1" t="s">
        <v>234</v>
      </c>
      <c r="N890" s="1" t="s">
        <v>235</v>
      </c>
    </row>
    <row r="891" spans="1:14" x14ac:dyDescent="0.25">
      <c r="A891" s="1" t="s">
        <v>985</v>
      </c>
      <c r="B891" s="1" t="s">
        <v>507</v>
      </c>
      <c r="C891" s="1" t="s">
        <v>82</v>
      </c>
      <c r="D891" s="2"/>
      <c r="E891" s="1" t="s">
        <v>207</v>
      </c>
      <c r="F891" s="1"/>
      <c r="G891" s="1" t="s">
        <v>35</v>
      </c>
      <c r="H891" s="2"/>
      <c r="I891">
        <v>1</v>
      </c>
      <c r="J891" s="1" t="s">
        <v>234</v>
      </c>
      <c r="K891" s="1" t="s">
        <v>879</v>
      </c>
      <c r="M891" s="1" t="s">
        <v>234</v>
      </c>
      <c r="N891" s="1" t="s">
        <v>235</v>
      </c>
    </row>
    <row r="892" spans="1:14" x14ac:dyDescent="0.25">
      <c r="A892" s="1" t="s">
        <v>986</v>
      </c>
      <c r="B892" s="1" t="s">
        <v>507</v>
      </c>
      <c r="C892" s="1" t="s">
        <v>82</v>
      </c>
      <c r="D892" s="2"/>
      <c r="E892" s="1" t="s">
        <v>207</v>
      </c>
      <c r="F892" s="1"/>
      <c r="G892" s="1" t="s">
        <v>35</v>
      </c>
      <c r="H892" s="2"/>
      <c r="I892">
        <v>1</v>
      </c>
      <c r="J892" s="1" t="s">
        <v>234</v>
      </c>
      <c r="K892" s="1" t="s">
        <v>879</v>
      </c>
      <c r="M892" s="1" t="s">
        <v>234</v>
      </c>
      <c r="N892" s="1" t="s">
        <v>235</v>
      </c>
    </row>
    <row r="893" spans="1:14" x14ac:dyDescent="0.25">
      <c r="A893" s="1" t="s">
        <v>987</v>
      </c>
      <c r="B893" s="1" t="s">
        <v>507</v>
      </c>
      <c r="C893" s="1" t="s">
        <v>82</v>
      </c>
      <c r="D893" s="2"/>
      <c r="E893" s="1" t="s">
        <v>207</v>
      </c>
      <c r="F893" s="1"/>
      <c r="G893" s="1" t="s">
        <v>35</v>
      </c>
      <c r="H893" s="2"/>
      <c r="I893">
        <v>1</v>
      </c>
      <c r="J893" s="1" t="s">
        <v>234</v>
      </c>
      <c r="K893" s="1" t="s">
        <v>879</v>
      </c>
      <c r="M893" s="1" t="s">
        <v>234</v>
      </c>
      <c r="N893" s="1" t="s">
        <v>235</v>
      </c>
    </row>
    <row r="894" spans="1:14" x14ac:dyDescent="0.25">
      <c r="A894" s="1" t="s">
        <v>988</v>
      </c>
      <c r="B894" s="1" t="s">
        <v>507</v>
      </c>
      <c r="C894" s="1" t="s">
        <v>82</v>
      </c>
      <c r="D894" s="2"/>
      <c r="E894" s="1" t="s">
        <v>207</v>
      </c>
      <c r="F894" s="1"/>
      <c r="G894" s="1" t="s">
        <v>35</v>
      </c>
      <c r="H894" s="2"/>
      <c r="I894">
        <v>1</v>
      </c>
      <c r="J894" s="1" t="s">
        <v>234</v>
      </c>
      <c r="K894" s="1" t="s">
        <v>879</v>
      </c>
      <c r="M894" s="1" t="s">
        <v>234</v>
      </c>
      <c r="N894" s="1" t="s">
        <v>235</v>
      </c>
    </row>
    <row r="895" spans="1:14" x14ac:dyDescent="0.25">
      <c r="A895" s="1" t="s">
        <v>989</v>
      </c>
      <c r="B895" s="1" t="s">
        <v>507</v>
      </c>
      <c r="C895" s="1" t="s">
        <v>82</v>
      </c>
      <c r="D895" s="2"/>
      <c r="E895" s="1" t="s">
        <v>207</v>
      </c>
      <c r="F895" s="1"/>
      <c r="G895" s="1" t="s">
        <v>35</v>
      </c>
      <c r="H895" s="2"/>
      <c r="I895">
        <v>1</v>
      </c>
      <c r="J895" s="1" t="s">
        <v>234</v>
      </c>
      <c r="K895" s="1" t="s">
        <v>879</v>
      </c>
      <c r="M895" s="1" t="s">
        <v>234</v>
      </c>
      <c r="N895" s="1" t="s">
        <v>235</v>
      </c>
    </row>
    <row r="896" spans="1:14" x14ac:dyDescent="0.25">
      <c r="A896" s="1" t="s">
        <v>990</v>
      </c>
      <c r="B896" s="1" t="s">
        <v>507</v>
      </c>
      <c r="C896" s="1" t="s">
        <v>82</v>
      </c>
      <c r="D896" s="2"/>
      <c r="E896" s="1" t="s">
        <v>207</v>
      </c>
      <c r="F896" s="1"/>
      <c r="G896" s="1" t="s">
        <v>35</v>
      </c>
      <c r="H896" s="2"/>
      <c r="I896">
        <v>1</v>
      </c>
      <c r="J896" s="1" t="s">
        <v>234</v>
      </c>
      <c r="K896" s="1" t="s">
        <v>879</v>
      </c>
      <c r="M896" s="1" t="s">
        <v>234</v>
      </c>
      <c r="N896" s="1" t="s">
        <v>235</v>
      </c>
    </row>
    <row r="897" spans="1:14" x14ac:dyDescent="0.25">
      <c r="A897" s="1" t="s">
        <v>991</v>
      </c>
      <c r="B897" s="1" t="s">
        <v>507</v>
      </c>
      <c r="C897" s="1" t="s">
        <v>82</v>
      </c>
      <c r="D897" s="2"/>
      <c r="E897" s="1" t="s">
        <v>207</v>
      </c>
      <c r="F897" s="1"/>
      <c r="G897" s="1" t="s">
        <v>35</v>
      </c>
      <c r="H897" s="2"/>
      <c r="I897">
        <v>1</v>
      </c>
      <c r="J897" s="1" t="s">
        <v>234</v>
      </c>
      <c r="K897" s="1" t="s">
        <v>879</v>
      </c>
      <c r="M897" s="1" t="s">
        <v>234</v>
      </c>
      <c r="N897" s="1" t="s">
        <v>235</v>
      </c>
    </row>
    <row r="898" spans="1:14" x14ac:dyDescent="0.25">
      <c r="A898" s="1" t="s">
        <v>992</v>
      </c>
      <c r="B898" s="1" t="s">
        <v>507</v>
      </c>
      <c r="C898" s="1" t="s">
        <v>82</v>
      </c>
      <c r="D898" s="2"/>
      <c r="E898" s="1" t="s">
        <v>207</v>
      </c>
      <c r="F898" s="1"/>
      <c r="G898" s="1" t="s">
        <v>35</v>
      </c>
      <c r="H898" s="2"/>
      <c r="I898">
        <v>1</v>
      </c>
      <c r="J898" s="1" t="s">
        <v>234</v>
      </c>
      <c r="K898" s="1" t="s">
        <v>879</v>
      </c>
      <c r="M898" s="1" t="s">
        <v>234</v>
      </c>
      <c r="N898" s="1" t="s">
        <v>235</v>
      </c>
    </row>
    <row r="899" spans="1:14" x14ac:dyDescent="0.25">
      <c r="A899" s="1" t="s">
        <v>993</v>
      </c>
      <c r="B899" s="1" t="s">
        <v>507</v>
      </c>
      <c r="C899" s="1" t="s">
        <v>82</v>
      </c>
      <c r="D899" s="2"/>
      <c r="E899" s="1" t="s">
        <v>207</v>
      </c>
      <c r="F899" s="1"/>
      <c r="G899" s="1" t="s">
        <v>35</v>
      </c>
      <c r="H899" s="2"/>
      <c r="I899">
        <v>1</v>
      </c>
      <c r="J899" s="1" t="s">
        <v>234</v>
      </c>
      <c r="K899" s="1" t="s">
        <v>879</v>
      </c>
      <c r="M899" s="1" t="s">
        <v>234</v>
      </c>
      <c r="N899" s="1" t="s">
        <v>235</v>
      </c>
    </row>
    <row r="900" spans="1:14" x14ac:dyDescent="0.25">
      <c r="A900" s="1" t="s">
        <v>994</v>
      </c>
      <c r="B900" s="1" t="s">
        <v>507</v>
      </c>
      <c r="C900" s="1" t="s">
        <v>82</v>
      </c>
      <c r="D900" s="2"/>
      <c r="E900" s="1" t="s">
        <v>207</v>
      </c>
      <c r="F900" s="1"/>
      <c r="G900" s="1" t="s">
        <v>35</v>
      </c>
      <c r="H900" s="2"/>
      <c r="I900">
        <v>1</v>
      </c>
      <c r="J900" s="1" t="s">
        <v>234</v>
      </c>
      <c r="K900" s="1" t="s">
        <v>879</v>
      </c>
      <c r="M900" s="1" t="s">
        <v>234</v>
      </c>
      <c r="N900" s="1" t="s">
        <v>235</v>
      </c>
    </row>
    <row r="901" spans="1:14" x14ac:dyDescent="0.25">
      <c r="A901" s="1" t="s">
        <v>995</v>
      </c>
      <c r="B901" s="1" t="s">
        <v>507</v>
      </c>
      <c r="C901" s="1" t="s">
        <v>82</v>
      </c>
      <c r="D901" s="2"/>
      <c r="E901" s="1" t="s">
        <v>207</v>
      </c>
      <c r="F901" s="1"/>
      <c r="G901" s="1" t="s">
        <v>35</v>
      </c>
      <c r="H901" s="2"/>
      <c r="I901">
        <v>1</v>
      </c>
      <c r="J901" s="1" t="s">
        <v>234</v>
      </c>
      <c r="K901" s="1" t="s">
        <v>879</v>
      </c>
      <c r="M901" s="1" t="s">
        <v>234</v>
      </c>
      <c r="N901" s="1" t="s">
        <v>235</v>
      </c>
    </row>
    <row r="902" spans="1:14" x14ac:dyDescent="0.25">
      <c r="A902" s="1" t="s">
        <v>996</v>
      </c>
      <c r="B902" s="1" t="s">
        <v>507</v>
      </c>
      <c r="C902" s="1" t="s">
        <v>82</v>
      </c>
      <c r="D902" s="2"/>
      <c r="E902" s="1" t="s">
        <v>207</v>
      </c>
      <c r="F902" s="1"/>
      <c r="G902" s="1" t="s">
        <v>35</v>
      </c>
      <c r="H902" s="2"/>
      <c r="I902">
        <v>1</v>
      </c>
      <c r="J902" s="1" t="s">
        <v>234</v>
      </c>
      <c r="K902" s="1" t="s">
        <v>879</v>
      </c>
      <c r="M902" s="1" t="s">
        <v>234</v>
      </c>
      <c r="N902" s="1" t="s">
        <v>235</v>
      </c>
    </row>
    <row r="903" spans="1:14" x14ac:dyDescent="0.25">
      <c r="A903" s="1" t="s">
        <v>997</v>
      </c>
      <c r="B903" s="1" t="s">
        <v>507</v>
      </c>
      <c r="C903" s="1" t="s">
        <v>82</v>
      </c>
      <c r="D903" s="2"/>
      <c r="E903" s="1" t="s">
        <v>207</v>
      </c>
      <c r="F903" s="1"/>
      <c r="G903" s="1" t="s">
        <v>35</v>
      </c>
      <c r="H903" s="2"/>
      <c r="I903">
        <v>1</v>
      </c>
      <c r="J903" s="1" t="s">
        <v>234</v>
      </c>
      <c r="K903" s="1" t="s">
        <v>879</v>
      </c>
      <c r="M903" s="1" t="s">
        <v>234</v>
      </c>
      <c r="N903" s="1" t="s">
        <v>235</v>
      </c>
    </row>
    <row r="904" spans="1:14" x14ac:dyDescent="0.25">
      <c r="A904" s="1" t="s">
        <v>998</v>
      </c>
      <c r="B904" s="1" t="s">
        <v>507</v>
      </c>
      <c r="C904" s="1" t="s">
        <v>82</v>
      </c>
      <c r="D904" s="2"/>
      <c r="E904" s="1" t="s">
        <v>207</v>
      </c>
      <c r="F904" s="1"/>
      <c r="G904" s="1" t="s">
        <v>35</v>
      </c>
      <c r="H904" s="2"/>
      <c r="I904">
        <v>1</v>
      </c>
      <c r="J904" s="1" t="s">
        <v>234</v>
      </c>
      <c r="K904" s="1" t="s">
        <v>879</v>
      </c>
      <c r="M904" s="1" t="s">
        <v>234</v>
      </c>
      <c r="N904" s="1" t="s">
        <v>235</v>
      </c>
    </row>
    <row r="905" spans="1:14" x14ac:dyDescent="0.25">
      <c r="A905" s="1" t="s">
        <v>999</v>
      </c>
      <c r="B905" s="1" t="s">
        <v>507</v>
      </c>
      <c r="C905" s="1" t="s">
        <v>82</v>
      </c>
      <c r="D905" s="2"/>
      <c r="E905" s="1" t="s">
        <v>207</v>
      </c>
      <c r="F905" s="1"/>
      <c r="G905" s="1" t="s">
        <v>35</v>
      </c>
      <c r="H905" s="2"/>
      <c r="I905">
        <v>1</v>
      </c>
      <c r="J905" s="1" t="s">
        <v>234</v>
      </c>
      <c r="K905" s="1" t="s">
        <v>879</v>
      </c>
      <c r="M905" s="1" t="s">
        <v>234</v>
      </c>
      <c r="N905" s="1" t="s">
        <v>235</v>
      </c>
    </row>
    <row r="906" spans="1:14" x14ac:dyDescent="0.25">
      <c r="A906" s="1" t="s">
        <v>1000</v>
      </c>
      <c r="B906" s="1" t="s">
        <v>507</v>
      </c>
      <c r="C906" s="1" t="s">
        <v>82</v>
      </c>
      <c r="D906" s="2"/>
      <c r="E906" s="1" t="s">
        <v>207</v>
      </c>
      <c r="F906" s="1"/>
      <c r="G906" s="1" t="s">
        <v>35</v>
      </c>
      <c r="H906" s="2"/>
      <c r="I906">
        <v>1</v>
      </c>
      <c r="J906" s="1" t="s">
        <v>234</v>
      </c>
      <c r="K906" s="1" t="s">
        <v>879</v>
      </c>
      <c r="M906" s="1" t="s">
        <v>234</v>
      </c>
      <c r="N906" s="1" t="s">
        <v>235</v>
      </c>
    </row>
    <row r="907" spans="1:14" x14ac:dyDescent="0.25">
      <c r="A907" s="1" t="s">
        <v>1001</v>
      </c>
      <c r="B907" s="1" t="s">
        <v>507</v>
      </c>
      <c r="C907" s="1" t="s">
        <v>82</v>
      </c>
      <c r="D907" s="2"/>
      <c r="E907" s="1" t="s">
        <v>207</v>
      </c>
      <c r="F907" s="1"/>
      <c r="G907" s="1" t="s">
        <v>35</v>
      </c>
      <c r="H907" s="2"/>
      <c r="I907">
        <v>1</v>
      </c>
      <c r="J907" s="1" t="s">
        <v>234</v>
      </c>
      <c r="K907" s="1" t="s">
        <v>879</v>
      </c>
      <c r="M907" s="1" t="s">
        <v>234</v>
      </c>
      <c r="N907" s="1" t="s">
        <v>235</v>
      </c>
    </row>
    <row r="908" spans="1:14" x14ac:dyDescent="0.25">
      <c r="A908" s="1" t="s">
        <v>1002</v>
      </c>
      <c r="B908" s="1" t="s">
        <v>507</v>
      </c>
      <c r="C908" s="1" t="s">
        <v>82</v>
      </c>
      <c r="D908" s="2"/>
      <c r="E908" s="1" t="s">
        <v>207</v>
      </c>
      <c r="F908" s="1"/>
      <c r="G908" s="1" t="s">
        <v>35</v>
      </c>
      <c r="H908" s="2"/>
      <c r="I908">
        <v>1</v>
      </c>
      <c r="J908" s="1" t="s">
        <v>234</v>
      </c>
      <c r="K908" s="1" t="s">
        <v>879</v>
      </c>
      <c r="M908" s="1" t="s">
        <v>234</v>
      </c>
      <c r="N908" s="1" t="s">
        <v>235</v>
      </c>
    </row>
    <row r="909" spans="1:14" x14ac:dyDescent="0.25">
      <c r="A909" s="1" t="s">
        <v>1003</v>
      </c>
      <c r="B909" s="1" t="s">
        <v>507</v>
      </c>
      <c r="C909" s="1" t="s">
        <v>82</v>
      </c>
      <c r="D909" s="2"/>
      <c r="E909" s="1" t="s">
        <v>207</v>
      </c>
      <c r="F909" s="1"/>
      <c r="G909" s="1" t="s">
        <v>35</v>
      </c>
      <c r="H909" s="2"/>
      <c r="I909">
        <v>1</v>
      </c>
      <c r="J909" s="1" t="s">
        <v>234</v>
      </c>
      <c r="K909" s="1" t="s">
        <v>879</v>
      </c>
      <c r="M909" s="1" t="s">
        <v>234</v>
      </c>
      <c r="N909" s="1" t="s">
        <v>235</v>
      </c>
    </row>
    <row r="910" spans="1:14" x14ac:dyDescent="0.25">
      <c r="A910" s="1" t="s">
        <v>1004</v>
      </c>
      <c r="B910" s="1" t="s">
        <v>507</v>
      </c>
      <c r="C910" s="1" t="s">
        <v>82</v>
      </c>
      <c r="D910" s="2"/>
      <c r="E910" s="1" t="s">
        <v>207</v>
      </c>
      <c r="F910" s="1"/>
      <c r="G910" s="1" t="s">
        <v>35</v>
      </c>
      <c r="H910" s="2"/>
      <c r="I910">
        <v>1</v>
      </c>
      <c r="J910" s="1" t="s">
        <v>234</v>
      </c>
      <c r="K910" s="1" t="s">
        <v>879</v>
      </c>
      <c r="M910" s="1" t="s">
        <v>234</v>
      </c>
      <c r="N910" s="1" t="s">
        <v>235</v>
      </c>
    </row>
    <row r="911" spans="1:14" x14ac:dyDescent="0.25">
      <c r="A911" s="1" t="s">
        <v>1005</v>
      </c>
      <c r="B911" s="1" t="s">
        <v>507</v>
      </c>
      <c r="C911" s="1" t="s">
        <v>82</v>
      </c>
      <c r="D911" s="2"/>
      <c r="E911" s="1" t="s">
        <v>207</v>
      </c>
      <c r="F911" s="1"/>
      <c r="G911" s="1" t="s">
        <v>35</v>
      </c>
      <c r="H911" s="2"/>
      <c r="I911">
        <v>1</v>
      </c>
      <c r="J911" s="1" t="s">
        <v>234</v>
      </c>
      <c r="K911" s="1" t="s">
        <v>879</v>
      </c>
      <c r="M911" s="1" t="s">
        <v>234</v>
      </c>
      <c r="N911" s="1" t="s">
        <v>235</v>
      </c>
    </row>
    <row r="912" spans="1:14" x14ac:dyDescent="0.25">
      <c r="A912" s="1" t="s">
        <v>1006</v>
      </c>
      <c r="B912" s="1" t="s">
        <v>507</v>
      </c>
      <c r="C912" s="1" t="s">
        <v>82</v>
      </c>
      <c r="D912" s="2"/>
      <c r="E912" s="1" t="s">
        <v>207</v>
      </c>
      <c r="F912" s="1"/>
      <c r="G912" s="1" t="s">
        <v>35</v>
      </c>
      <c r="H912" s="2"/>
      <c r="I912">
        <v>1</v>
      </c>
      <c r="J912" s="1" t="s">
        <v>234</v>
      </c>
      <c r="K912" s="1" t="s">
        <v>879</v>
      </c>
      <c r="M912" s="1" t="s">
        <v>234</v>
      </c>
      <c r="N912" s="1" t="s">
        <v>235</v>
      </c>
    </row>
    <row r="913" spans="1:14" x14ac:dyDescent="0.25">
      <c r="A913" s="1" t="s">
        <v>1007</v>
      </c>
      <c r="B913" s="1" t="s">
        <v>507</v>
      </c>
      <c r="C913" s="1" t="s">
        <v>82</v>
      </c>
      <c r="D913" s="2"/>
      <c r="E913" s="1" t="s">
        <v>207</v>
      </c>
      <c r="F913" s="1"/>
      <c r="G913" s="1" t="s">
        <v>35</v>
      </c>
      <c r="H913" s="2"/>
      <c r="I913">
        <v>1</v>
      </c>
      <c r="J913" s="1" t="s">
        <v>234</v>
      </c>
      <c r="K913" s="1" t="s">
        <v>879</v>
      </c>
      <c r="M913" s="1" t="s">
        <v>234</v>
      </c>
      <c r="N913" s="1" t="s">
        <v>235</v>
      </c>
    </row>
    <row r="914" spans="1:14" x14ac:dyDescent="0.25">
      <c r="A914" s="1" t="s">
        <v>1008</v>
      </c>
      <c r="B914" s="1" t="s">
        <v>507</v>
      </c>
      <c r="C914" s="1" t="s">
        <v>82</v>
      </c>
      <c r="D914" s="2"/>
      <c r="E914" s="1" t="s">
        <v>207</v>
      </c>
      <c r="F914" s="1"/>
      <c r="G914" s="1" t="s">
        <v>35</v>
      </c>
      <c r="H914" s="2"/>
      <c r="I914">
        <v>1</v>
      </c>
      <c r="J914" s="1" t="s">
        <v>234</v>
      </c>
      <c r="K914" s="1" t="s">
        <v>879</v>
      </c>
      <c r="M914" s="1" t="s">
        <v>234</v>
      </c>
      <c r="N914" s="1" t="s">
        <v>235</v>
      </c>
    </row>
    <row r="915" spans="1:14" x14ac:dyDescent="0.25">
      <c r="A915" s="1" t="s">
        <v>1009</v>
      </c>
      <c r="B915" s="1" t="s">
        <v>507</v>
      </c>
      <c r="C915" s="1" t="s">
        <v>82</v>
      </c>
      <c r="D915" s="2"/>
      <c r="E915" s="1" t="s">
        <v>207</v>
      </c>
      <c r="F915" s="1"/>
      <c r="G915" s="1" t="s">
        <v>35</v>
      </c>
      <c r="H915" s="2"/>
      <c r="I915">
        <v>1</v>
      </c>
      <c r="J915" s="1" t="s">
        <v>234</v>
      </c>
      <c r="K915" s="1" t="s">
        <v>879</v>
      </c>
      <c r="M915" s="1" t="s">
        <v>234</v>
      </c>
      <c r="N915" s="1" t="s">
        <v>235</v>
      </c>
    </row>
    <row r="916" spans="1:14" x14ac:dyDescent="0.25">
      <c r="A916" s="1" t="s">
        <v>1010</v>
      </c>
      <c r="B916" s="1" t="s">
        <v>507</v>
      </c>
      <c r="C916" s="1" t="s">
        <v>82</v>
      </c>
      <c r="D916" s="2"/>
      <c r="E916" s="1" t="s">
        <v>207</v>
      </c>
      <c r="F916" s="1"/>
      <c r="G916" s="1" t="s">
        <v>35</v>
      </c>
      <c r="H916" s="2"/>
      <c r="I916">
        <v>1</v>
      </c>
      <c r="J916" s="1" t="s">
        <v>234</v>
      </c>
      <c r="K916" s="1" t="s">
        <v>879</v>
      </c>
      <c r="M916" s="1" t="s">
        <v>234</v>
      </c>
      <c r="N916" s="1" t="s">
        <v>235</v>
      </c>
    </row>
    <row r="917" spans="1:14" x14ac:dyDescent="0.25">
      <c r="A917" s="1" t="s">
        <v>1011</v>
      </c>
      <c r="B917" s="1" t="s">
        <v>507</v>
      </c>
      <c r="C917" s="1" t="s">
        <v>82</v>
      </c>
      <c r="D917" s="2"/>
      <c r="E917" s="1" t="s">
        <v>207</v>
      </c>
      <c r="F917" s="1"/>
      <c r="G917" s="1" t="s">
        <v>35</v>
      </c>
      <c r="H917" s="2"/>
      <c r="I917">
        <v>1</v>
      </c>
      <c r="J917" s="1" t="s">
        <v>234</v>
      </c>
      <c r="K917" s="1" t="s">
        <v>879</v>
      </c>
      <c r="M917" s="1" t="s">
        <v>234</v>
      </c>
      <c r="N917" s="1" t="s">
        <v>235</v>
      </c>
    </row>
    <row r="918" spans="1:14" x14ac:dyDescent="0.25">
      <c r="A918" s="1" t="s">
        <v>1012</v>
      </c>
      <c r="B918" s="1" t="s">
        <v>507</v>
      </c>
      <c r="C918" s="1" t="s">
        <v>82</v>
      </c>
      <c r="D918" s="2"/>
      <c r="E918" s="1" t="s">
        <v>207</v>
      </c>
      <c r="F918" s="1"/>
      <c r="G918" s="1" t="s">
        <v>35</v>
      </c>
      <c r="H918" s="2"/>
      <c r="I918">
        <v>1</v>
      </c>
      <c r="J918" s="1" t="s">
        <v>234</v>
      </c>
      <c r="K918" s="1" t="s">
        <v>879</v>
      </c>
      <c r="M918" s="1" t="s">
        <v>234</v>
      </c>
      <c r="N918" s="1" t="s">
        <v>235</v>
      </c>
    </row>
    <row r="919" spans="1:14" x14ac:dyDescent="0.25">
      <c r="A919" s="1" t="s">
        <v>1013</v>
      </c>
      <c r="B919" s="1" t="s">
        <v>507</v>
      </c>
      <c r="C919" s="1" t="s">
        <v>82</v>
      </c>
      <c r="D919" s="2"/>
      <c r="E919" s="1" t="s">
        <v>207</v>
      </c>
      <c r="F919" s="1"/>
      <c r="G919" s="1" t="s">
        <v>35</v>
      </c>
      <c r="H919" s="2"/>
      <c r="I919">
        <v>1</v>
      </c>
      <c r="J919" s="1" t="s">
        <v>234</v>
      </c>
      <c r="K919" s="1" t="s">
        <v>879</v>
      </c>
      <c r="M919" s="1" t="s">
        <v>234</v>
      </c>
      <c r="N919" s="1" t="s">
        <v>235</v>
      </c>
    </row>
    <row r="920" spans="1:14" x14ac:dyDescent="0.25">
      <c r="A920" s="1" t="s">
        <v>1014</v>
      </c>
      <c r="B920" s="1" t="s">
        <v>507</v>
      </c>
      <c r="C920" s="1" t="s">
        <v>82</v>
      </c>
      <c r="D920" s="2"/>
      <c r="E920" s="1" t="s">
        <v>207</v>
      </c>
      <c r="F920" s="1"/>
      <c r="G920" s="1" t="s">
        <v>35</v>
      </c>
      <c r="H920" s="2"/>
      <c r="I920">
        <v>1</v>
      </c>
      <c r="J920" s="1" t="s">
        <v>234</v>
      </c>
      <c r="K920" s="1" t="s">
        <v>879</v>
      </c>
      <c r="M920" s="1" t="s">
        <v>234</v>
      </c>
      <c r="N920" s="1" t="s">
        <v>235</v>
      </c>
    </row>
    <row r="921" spans="1:14" x14ac:dyDescent="0.25">
      <c r="A921" s="1" t="s">
        <v>1015</v>
      </c>
      <c r="B921" s="1" t="s">
        <v>507</v>
      </c>
      <c r="C921" s="1" t="s">
        <v>82</v>
      </c>
      <c r="D921" s="2"/>
      <c r="E921" s="1" t="s">
        <v>207</v>
      </c>
      <c r="F921" s="1"/>
      <c r="G921" s="1" t="s">
        <v>35</v>
      </c>
      <c r="H921" s="2"/>
      <c r="I921">
        <v>1</v>
      </c>
      <c r="J921" s="1" t="s">
        <v>234</v>
      </c>
      <c r="K921" s="1" t="s">
        <v>879</v>
      </c>
      <c r="M921" s="1" t="s">
        <v>234</v>
      </c>
      <c r="N921" s="1" t="s">
        <v>235</v>
      </c>
    </row>
    <row r="922" spans="1:14" x14ac:dyDescent="0.25">
      <c r="A922" s="1" t="s">
        <v>1016</v>
      </c>
      <c r="B922" s="1" t="s">
        <v>507</v>
      </c>
      <c r="C922" s="1" t="s">
        <v>82</v>
      </c>
      <c r="D922" s="2"/>
      <c r="E922" s="1" t="s">
        <v>207</v>
      </c>
      <c r="F922" s="1"/>
      <c r="G922" s="1" t="s">
        <v>35</v>
      </c>
      <c r="H922" s="2"/>
      <c r="I922">
        <v>1</v>
      </c>
      <c r="J922" s="1" t="s">
        <v>234</v>
      </c>
      <c r="K922" s="1" t="s">
        <v>879</v>
      </c>
      <c r="M922" s="1" t="s">
        <v>234</v>
      </c>
      <c r="N922" s="1" t="s">
        <v>235</v>
      </c>
    </row>
    <row r="923" spans="1:14" x14ac:dyDescent="0.25">
      <c r="A923" s="1" t="s">
        <v>1017</v>
      </c>
      <c r="B923" s="1" t="s">
        <v>507</v>
      </c>
      <c r="C923" s="1" t="s">
        <v>82</v>
      </c>
      <c r="D923" s="2"/>
      <c r="E923" s="1" t="s">
        <v>207</v>
      </c>
      <c r="F923" s="1"/>
      <c r="G923" s="1" t="s">
        <v>35</v>
      </c>
      <c r="H923" s="2"/>
      <c r="I923">
        <v>1</v>
      </c>
      <c r="J923" s="1" t="s">
        <v>234</v>
      </c>
      <c r="K923" s="1" t="s">
        <v>879</v>
      </c>
      <c r="M923" s="1" t="s">
        <v>234</v>
      </c>
      <c r="N923" s="1" t="s">
        <v>235</v>
      </c>
    </row>
    <row r="924" spans="1:14" x14ac:dyDescent="0.25">
      <c r="A924" s="1" t="s">
        <v>1018</v>
      </c>
      <c r="B924" s="1" t="s">
        <v>507</v>
      </c>
      <c r="C924" s="1" t="s">
        <v>82</v>
      </c>
      <c r="D924" s="2"/>
      <c r="E924" s="1" t="s">
        <v>207</v>
      </c>
      <c r="F924" s="1"/>
      <c r="G924" s="1" t="s">
        <v>35</v>
      </c>
      <c r="H924" s="2"/>
      <c r="I924">
        <v>1</v>
      </c>
      <c r="J924" s="1" t="s">
        <v>234</v>
      </c>
      <c r="K924" s="1" t="s">
        <v>879</v>
      </c>
      <c r="M924" s="1" t="s">
        <v>234</v>
      </c>
      <c r="N924" s="1" t="s">
        <v>235</v>
      </c>
    </row>
    <row r="925" spans="1:14" x14ac:dyDescent="0.25">
      <c r="A925" s="1" t="s">
        <v>1019</v>
      </c>
      <c r="B925" s="1" t="s">
        <v>507</v>
      </c>
      <c r="C925" s="1" t="s">
        <v>82</v>
      </c>
      <c r="D925" s="2"/>
      <c r="E925" s="1" t="s">
        <v>207</v>
      </c>
      <c r="F925" s="1"/>
      <c r="G925" s="1" t="s">
        <v>35</v>
      </c>
      <c r="H925" s="2"/>
      <c r="I925">
        <v>1</v>
      </c>
      <c r="J925" s="1" t="s">
        <v>234</v>
      </c>
      <c r="K925" s="1" t="s">
        <v>879</v>
      </c>
      <c r="M925" s="1" t="s">
        <v>234</v>
      </c>
      <c r="N925" s="1" t="s">
        <v>235</v>
      </c>
    </row>
    <row r="926" spans="1:14" x14ac:dyDescent="0.25">
      <c r="A926" s="1" t="s">
        <v>1020</v>
      </c>
      <c r="B926" s="1" t="s">
        <v>507</v>
      </c>
      <c r="C926" s="1" t="s">
        <v>82</v>
      </c>
      <c r="D926" s="2"/>
      <c r="E926" s="1" t="s">
        <v>207</v>
      </c>
      <c r="F926" s="1"/>
      <c r="G926" s="1" t="s">
        <v>35</v>
      </c>
      <c r="H926" s="2"/>
      <c r="I926">
        <v>1</v>
      </c>
      <c r="J926" s="1" t="s">
        <v>234</v>
      </c>
      <c r="K926" s="1" t="s">
        <v>879</v>
      </c>
      <c r="M926" s="1" t="s">
        <v>234</v>
      </c>
      <c r="N926" s="1" t="s">
        <v>235</v>
      </c>
    </row>
    <row r="927" spans="1:14" x14ac:dyDescent="0.25">
      <c r="A927" s="1" t="s">
        <v>1021</v>
      </c>
      <c r="B927" s="1" t="s">
        <v>507</v>
      </c>
      <c r="C927" s="1" t="s">
        <v>82</v>
      </c>
      <c r="D927" s="2"/>
      <c r="E927" s="1" t="s">
        <v>207</v>
      </c>
      <c r="F927" s="1"/>
      <c r="G927" s="1" t="s">
        <v>35</v>
      </c>
      <c r="H927" s="2"/>
      <c r="I927">
        <v>1</v>
      </c>
      <c r="J927" s="1" t="s">
        <v>234</v>
      </c>
      <c r="K927" s="1" t="s">
        <v>879</v>
      </c>
      <c r="M927" s="1" t="s">
        <v>234</v>
      </c>
      <c r="N927" s="1" t="s">
        <v>235</v>
      </c>
    </row>
    <row r="928" spans="1:14" x14ac:dyDescent="0.25">
      <c r="A928" s="1" t="s">
        <v>1022</v>
      </c>
      <c r="B928" s="1" t="s">
        <v>507</v>
      </c>
      <c r="C928" s="1" t="s">
        <v>82</v>
      </c>
      <c r="D928" s="2"/>
      <c r="E928" s="1" t="s">
        <v>207</v>
      </c>
      <c r="F928" s="1"/>
      <c r="G928" s="1" t="s">
        <v>35</v>
      </c>
      <c r="H928" s="2"/>
      <c r="I928">
        <v>1</v>
      </c>
      <c r="J928" s="1" t="s">
        <v>234</v>
      </c>
      <c r="K928" s="1" t="s">
        <v>879</v>
      </c>
      <c r="M928" s="1" t="s">
        <v>234</v>
      </c>
      <c r="N928" s="1" t="s">
        <v>235</v>
      </c>
    </row>
    <row r="929" spans="1:14" x14ac:dyDescent="0.25">
      <c r="A929" s="1" t="s">
        <v>1023</v>
      </c>
      <c r="B929" s="1" t="s">
        <v>507</v>
      </c>
      <c r="C929" s="1" t="s">
        <v>82</v>
      </c>
      <c r="D929" s="2"/>
      <c r="E929" s="1" t="s">
        <v>207</v>
      </c>
      <c r="F929" s="1"/>
      <c r="G929" s="1" t="s">
        <v>35</v>
      </c>
      <c r="H929" s="2"/>
      <c r="I929">
        <v>1</v>
      </c>
      <c r="J929" s="1" t="s">
        <v>234</v>
      </c>
      <c r="K929" s="1" t="s">
        <v>879</v>
      </c>
      <c r="M929" s="1" t="s">
        <v>234</v>
      </c>
      <c r="N929" s="1" t="s">
        <v>235</v>
      </c>
    </row>
    <row r="930" spans="1:14" x14ac:dyDescent="0.25">
      <c r="A930" s="1" t="s">
        <v>1024</v>
      </c>
      <c r="B930" s="1" t="s">
        <v>507</v>
      </c>
      <c r="C930" s="1" t="s">
        <v>82</v>
      </c>
      <c r="D930" s="2"/>
      <c r="E930" s="1" t="s">
        <v>207</v>
      </c>
      <c r="F930" s="1"/>
      <c r="G930" s="1" t="s">
        <v>35</v>
      </c>
      <c r="H930" s="2"/>
      <c r="I930">
        <v>1</v>
      </c>
      <c r="J930" s="1" t="s">
        <v>234</v>
      </c>
      <c r="K930" s="1" t="s">
        <v>879</v>
      </c>
      <c r="M930" s="1" t="s">
        <v>234</v>
      </c>
      <c r="N930" s="1" t="s">
        <v>235</v>
      </c>
    </row>
    <row r="931" spans="1:14" x14ac:dyDescent="0.25">
      <c r="A931" s="1" t="s">
        <v>1025</v>
      </c>
      <c r="B931" s="1" t="s">
        <v>507</v>
      </c>
      <c r="C931" s="1" t="s">
        <v>82</v>
      </c>
      <c r="D931" s="2"/>
      <c r="E931" s="1" t="s">
        <v>207</v>
      </c>
      <c r="F931" s="1"/>
      <c r="G931" s="1" t="s">
        <v>35</v>
      </c>
      <c r="H931" s="2"/>
      <c r="I931">
        <v>1</v>
      </c>
      <c r="J931" s="1" t="s">
        <v>234</v>
      </c>
      <c r="K931" s="1" t="s">
        <v>879</v>
      </c>
      <c r="M931" s="1" t="s">
        <v>234</v>
      </c>
      <c r="N931" s="1" t="s">
        <v>235</v>
      </c>
    </row>
    <row r="932" spans="1:14" x14ac:dyDescent="0.25">
      <c r="A932" s="1" t="s">
        <v>1026</v>
      </c>
      <c r="B932" s="1" t="s">
        <v>507</v>
      </c>
      <c r="C932" s="1" t="s">
        <v>82</v>
      </c>
      <c r="D932" s="2"/>
      <c r="E932" s="1" t="s">
        <v>207</v>
      </c>
      <c r="F932" s="1"/>
      <c r="G932" s="1" t="s">
        <v>35</v>
      </c>
      <c r="H932" s="2"/>
      <c r="I932">
        <v>1</v>
      </c>
      <c r="J932" s="1" t="s">
        <v>234</v>
      </c>
      <c r="K932" s="1" t="s">
        <v>879</v>
      </c>
      <c r="M932" s="1" t="s">
        <v>234</v>
      </c>
      <c r="N932" s="1" t="s">
        <v>235</v>
      </c>
    </row>
    <row r="933" spans="1:14" x14ac:dyDescent="0.25">
      <c r="A933" s="1" t="s">
        <v>1027</v>
      </c>
      <c r="B933" s="1" t="s">
        <v>507</v>
      </c>
      <c r="C933" s="1" t="s">
        <v>82</v>
      </c>
      <c r="D933" s="2"/>
      <c r="E933" s="1" t="s">
        <v>207</v>
      </c>
      <c r="F933" s="1"/>
      <c r="G933" s="1" t="s">
        <v>35</v>
      </c>
      <c r="H933" s="2"/>
      <c r="I933">
        <v>1</v>
      </c>
      <c r="J933" s="1" t="s">
        <v>234</v>
      </c>
      <c r="K933" s="1" t="s">
        <v>879</v>
      </c>
      <c r="M933" s="1" t="s">
        <v>234</v>
      </c>
      <c r="N933" s="1" t="s">
        <v>235</v>
      </c>
    </row>
    <row r="934" spans="1:14" x14ac:dyDescent="0.25">
      <c r="A934" s="1" t="s">
        <v>1028</v>
      </c>
      <c r="B934" s="1" t="s">
        <v>507</v>
      </c>
      <c r="C934" s="1" t="s">
        <v>82</v>
      </c>
      <c r="D934" s="2"/>
      <c r="E934" s="1" t="s">
        <v>207</v>
      </c>
      <c r="F934" s="1"/>
      <c r="G934" s="1" t="s">
        <v>35</v>
      </c>
      <c r="H934" s="2"/>
      <c r="I934">
        <v>1</v>
      </c>
      <c r="J934" s="1" t="s">
        <v>234</v>
      </c>
      <c r="K934" s="1" t="s">
        <v>879</v>
      </c>
      <c r="M934" s="1" t="s">
        <v>234</v>
      </c>
      <c r="N934" s="1" t="s">
        <v>235</v>
      </c>
    </row>
    <row r="935" spans="1:14" x14ac:dyDescent="0.25">
      <c r="A935" s="1" t="s">
        <v>1029</v>
      </c>
      <c r="B935" s="1" t="s">
        <v>507</v>
      </c>
      <c r="C935" s="1" t="s">
        <v>82</v>
      </c>
      <c r="D935" s="2"/>
      <c r="E935" s="1" t="s">
        <v>207</v>
      </c>
      <c r="F935" s="1"/>
      <c r="G935" s="1" t="s">
        <v>35</v>
      </c>
      <c r="H935" s="2"/>
      <c r="I935">
        <v>1</v>
      </c>
      <c r="J935" s="1" t="s">
        <v>234</v>
      </c>
      <c r="K935" s="1" t="s">
        <v>879</v>
      </c>
      <c r="M935" s="1" t="s">
        <v>234</v>
      </c>
      <c r="N935" s="1" t="s">
        <v>235</v>
      </c>
    </row>
    <row r="936" spans="1:14" x14ac:dyDescent="0.25">
      <c r="A936" s="1" t="s">
        <v>1030</v>
      </c>
      <c r="B936" s="1" t="s">
        <v>507</v>
      </c>
      <c r="C936" s="1" t="s">
        <v>82</v>
      </c>
      <c r="D936" s="2"/>
      <c r="E936" s="1" t="s">
        <v>207</v>
      </c>
      <c r="F936" s="1"/>
      <c r="G936" s="1" t="s">
        <v>35</v>
      </c>
      <c r="H936" s="2"/>
      <c r="I936">
        <v>1</v>
      </c>
      <c r="J936" s="1" t="s">
        <v>234</v>
      </c>
      <c r="K936" s="1" t="s">
        <v>879</v>
      </c>
      <c r="M936" s="1" t="s">
        <v>234</v>
      </c>
      <c r="N936" s="1" t="s">
        <v>235</v>
      </c>
    </row>
    <row r="937" spans="1:14" x14ac:dyDescent="0.25">
      <c r="A937" s="1" t="s">
        <v>1031</v>
      </c>
      <c r="B937" s="1" t="s">
        <v>507</v>
      </c>
      <c r="C937" s="1" t="s">
        <v>82</v>
      </c>
      <c r="D937" s="2"/>
      <c r="E937" s="1" t="s">
        <v>207</v>
      </c>
      <c r="F937" s="1"/>
      <c r="G937" s="1" t="s">
        <v>35</v>
      </c>
      <c r="H937" s="2"/>
      <c r="I937">
        <v>1</v>
      </c>
      <c r="J937" s="1" t="s">
        <v>234</v>
      </c>
      <c r="K937" s="1" t="s">
        <v>879</v>
      </c>
      <c r="M937" s="1" t="s">
        <v>234</v>
      </c>
      <c r="N937" s="1" t="s">
        <v>235</v>
      </c>
    </row>
    <row r="938" spans="1:14" x14ac:dyDescent="0.25">
      <c r="A938" s="1" t="s">
        <v>1032</v>
      </c>
      <c r="B938" s="1" t="s">
        <v>507</v>
      </c>
      <c r="C938" s="1" t="s">
        <v>82</v>
      </c>
      <c r="D938" s="2"/>
      <c r="E938" s="1" t="s">
        <v>207</v>
      </c>
      <c r="F938" s="1"/>
      <c r="G938" s="1" t="s">
        <v>35</v>
      </c>
      <c r="H938" s="2"/>
      <c r="I938">
        <v>1</v>
      </c>
      <c r="J938" s="1" t="s">
        <v>234</v>
      </c>
      <c r="K938" s="1" t="s">
        <v>879</v>
      </c>
      <c r="M938" s="1" t="s">
        <v>234</v>
      </c>
      <c r="N938" s="1" t="s">
        <v>235</v>
      </c>
    </row>
    <row r="939" spans="1:14" x14ac:dyDescent="0.25">
      <c r="A939" s="1" t="s">
        <v>1033</v>
      </c>
      <c r="B939" s="1" t="s">
        <v>507</v>
      </c>
      <c r="C939" s="1" t="s">
        <v>82</v>
      </c>
      <c r="D939" s="2"/>
      <c r="E939" s="1" t="s">
        <v>207</v>
      </c>
      <c r="F939" s="1"/>
      <c r="G939" s="1" t="s">
        <v>35</v>
      </c>
      <c r="H939" s="2"/>
      <c r="I939">
        <v>1</v>
      </c>
      <c r="J939" s="1" t="s">
        <v>234</v>
      </c>
      <c r="K939" s="1" t="s">
        <v>879</v>
      </c>
      <c r="M939" s="1" t="s">
        <v>234</v>
      </c>
      <c r="N939" s="1" t="s">
        <v>235</v>
      </c>
    </row>
    <row r="940" spans="1:14" x14ac:dyDescent="0.25">
      <c r="A940" s="1" t="s">
        <v>1034</v>
      </c>
      <c r="B940" s="1" t="s">
        <v>507</v>
      </c>
      <c r="C940" s="1" t="s">
        <v>82</v>
      </c>
      <c r="D940" s="2"/>
      <c r="E940" s="1" t="s">
        <v>207</v>
      </c>
      <c r="F940" s="1"/>
      <c r="G940" s="1" t="s">
        <v>35</v>
      </c>
      <c r="H940" s="2"/>
      <c r="I940">
        <v>1</v>
      </c>
      <c r="J940" s="1" t="s">
        <v>234</v>
      </c>
      <c r="K940" s="1" t="s">
        <v>879</v>
      </c>
      <c r="M940" s="1" t="s">
        <v>234</v>
      </c>
      <c r="N940" s="1" t="s">
        <v>235</v>
      </c>
    </row>
    <row r="941" spans="1:14" x14ac:dyDescent="0.25">
      <c r="A941" s="1" t="s">
        <v>1035</v>
      </c>
      <c r="B941" s="1" t="s">
        <v>507</v>
      </c>
      <c r="C941" s="1" t="s">
        <v>82</v>
      </c>
      <c r="D941" s="2"/>
      <c r="E941" s="1" t="s">
        <v>207</v>
      </c>
      <c r="F941" s="1"/>
      <c r="G941" s="1" t="s">
        <v>35</v>
      </c>
      <c r="H941" s="2"/>
      <c r="I941">
        <v>1</v>
      </c>
      <c r="J941" s="1" t="s">
        <v>234</v>
      </c>
      <c r="K941" s="1" t="s">
        <v>879</v>
      </c>
      <c r="M941" s="1" t="s">
        <v>234</v>
      </c>
      <c r="N941" s="1" t="s">
        <v>235</v>
      </c>
    </row>
    <row r="942" spans="1:14" x14ac:dyDescent="0.25">
      <c r="A942" s="1" t="s">
        <v>1036</v>
      </c>
      <c r="B942" s="1" t="s">
        <v>507</v>
      </c>
      <c r="C942" s="1" t="s">
        <v>82</v>
      </c>
      <c r="D942" s="2"/>
      <c r="E942" s="1" t="s">
        <v>207</v>
      </c>
      <c r="F942" s="1"/>
      <c r="G942" s="1" t="s">
        <v>35</v>
      </c>
      <c r="H942" s="2"/>
      <c r="I942">
        <v>1</v>
      </c>
      <c r="J942" s="1" t="s">
        <v>234</v>
      </c>
      <c r="K942" s="1" t="s">
        <v>879</v>
      </c>
      <c r="M942" s="1" t="s">
        <v>234</v>
      </c>
      <c r="N942" s="1" t="s">
        <v>235</v>
      </c>
    </row>
    <row r="943" spans="1:14" x14ac:dyDescent="0.25">
      <c r="A943" s="1" t="s">
        <v>1037</v>
      </c>
      <c r="B943" s="1" t="s">
        <v>507</v>
      </c>
      <c r="C943" s="1" t="s">
        <v>82</v>
      </c>
      <c r="D943" s="2"/>
      <c r="E943" s="1" t="s">
        <v>207</v>
      </c>
      <c r="F943" s="1"/>
      <c r="G943" s="1" t="s">
        <v>35</v>
      </c>
      <c r="H943" s="2"/>
      <c r="I943">
        <v>1</v>
      </c>
      <c r="J943" s="1" t="s">
        <v>234</v>
      </c>
      <c r="K943" s="1" t="s">
        <v>879</v>
      </c>
      <c r="M943" s="1" t="s">
        <v>234</v>
      </c>
      <c r="N943" s="1" t="s">
        <v>235</v>
      </c>
    </row>
    <row r="944" spans="1:14" x14ac:dyDescent="0.25">
      <c r="A944" s="1" t="s">
        <v>1038</v>
      </c>
      <c r="B944" s="1" t="s">
        <v>507</v>
      </c>
      <c r="C944" s="1" t="s">
        <v>82</v>
      </c>
      <c r="D944" s="2"/>
      <c r="E944" s="1" t="s">
        <v>207</v>
      </c>
      <c r="F944" s="1"/>
      <c r="G944" s="1" t="s">
        <v>35</v>
      </c>
      <c r="H944" s="2"/>
      <c r="I944">
        <v>1</v>
      </c>
      <c r="J944" s="1" t="s">
        <v>234</v>
      </c>
      <c r="K944" s="1" t="s">
        <v>879</v>
      </c>
      <c r="M944" s="1" t="s">
        <v>234</v>
      </c>
      <c r="N944" s="1" t="s">
        <v>235</v>
      </c>
    </row>
    <row r="945" spans="1:14" x14ac:dyDescent="0.25">
      <c r="A945" s="1" t="s">
        <v>1039</v>
      </c>
      <c r="B945" s="1" t="s">
        <v>507</v>
      </c>
      <c r="C945" s="1" t="s">
        <v>82</v>
      </c>
      <c r="D945" s="2"/>
      <c r="E945" s="1" t="s">
        <v>207</v>
      </c>
      <c r="F945" s="1"/>
      <c r="G945" s="1" t="s">
        <v>35</v>
      </c>
      <c r="H945" s="2"/>
      <c r="I945">
        <v>1</v>
      </c>
      <c r="J945" s="1" t="s">
        <v>234</v>
      </c>
      <c r="K945" s="1" t="s">
        <v>879</v>
      </c>
      <c r="M945" s="1" t="s">
        <v>234</v>
      </c>
      <c r="N945" s="1" t="s">
        <v>235</v>
      </c>
    </row>
    <row r="946" spans="1:14" x14ac:dyDescent="0.25">
      <c r="A946" s="1" t="s">
        <v>1040</v>
      </c>
      <c r="B946" s="1" t="s">
        <v>507</v>
      </c>
      <c r="C946" s="1" t="s">
        <v>82</v>
      </c>
      <c r="D946" s="2"/>
      <c r="E946" s="1" t="s">
        <v>207</v>
      </c>
      <c r="F946" s="1"/>
      <c r="G946" s="1" t="s">
        <v>35</v>
      </c>
      <c r="H946" s="2"/>
      <c r="I946">
        <v>1</v>
      </c>
      <c r="J946" s="1" t="s">
        <v>234</v>
      </c>
      <c r="K946" s="1" t="s">
        <v>879</v>
      </c>
      <c r="M946" s="1" t="s">
        <v>234</v>
      </c>
      <c r="N946" s="1" t="s">
        <v>235</v>
      </c>
    </row>
    <row r="947" spans="1:14" x14ac:dyDescent="0.25">
      <c r="A947" s="1" t="s">
        <v>1041</v>
      </c>
      <c r="B947" s="1" t="s">
        <v>507</v>
      </c>
      <c r="C947" s="1" t="s">
        <v>82</v>
      </c>
      <c r="D947" s="2"/>
      <c r="E947" s="1" t="s">
        <v>207</v>
      </c>
      <c r="F947" s="1"/>
      <c r="G947" s="1" t="s">
        <v>35</v>
      </c>
      <c r="H947" s="2"/>
      <c r="I947">
        <v>1</v>
      </c>
      <c r="J947" s="1" t="s">
        <v>234</v>
      </c>
      <c r="K947" s="1" t="s">
        <v>879</v>
      </c>
      <c r="M947" s="1" t="s">
        <v>234</v>
      </c>
      <c r="N947" s="1" t="s">
        <v>235</v>
      </c>
    </row>
    <row r="948" spans="1:14" x14ac:dyDescent="0.25">
      <c r="A948" s="1" t="s">
        <v>1042</v>
      </c>
      <c r="B948" s="1" t="s">
        <v>507</v>
      </c>
      <c r="C948" s="1" t="s">
        <v>82</v>
      </c>
      <c r="D948" s="2"/>
      <c r="E948" s="1" t="s">
        <v>207</v>
      </c>
      <c r="F948" s="1"/>
      <c r="G948" s="1" t="s">
        <v>35</v>
      </c>
      <c r="H948" s="2"/>
      <c r="I948">
        <v>1</v>
      </c>
      <c r="J948" s="1" t="s">
        <v>234</v>
      </c>
      <c r="K948" s="1" t="s">
        <v>879</v>
      </c>
      <c r="M948" s="1" t="s">
        <v>234</v>
      </c>
      <c r="N948" s="1" t="s">
        <v>235</v>
      </c>
    </row>
    <row r="949" spans="1:14" x14ac:dyDescent="0.25">
      <c r="A949" s="1" t="s">
        <v>1043</v>
      </c>
      <c r="B949" s="1" t="s">
        <v>507</v>
      </c>
      <c r="C949" s="1" t="s">
        <v>82</v>
      </c>
      <c r="D949" s="2"/>
      <c r="E949" s="1" t="s">
        <v>207</v>
      </c>
      <c r="F949" s="1"/>
      <c r="G949" s="1" t="s">
        <v>35</v>
      </c>
      <c r="H949" s="2"/>
      <c r="I949">
        <v>1</v>
      </c>
      <c r="J949" s="1" t="s">
        <v>234</v>
      </c>
      <c r="K949" s="1" t="s">
        <v>879</v>
      </c>
      <c r="M949" s="1" t="s">
        <v>234</v>
      </c>
      <c r="N949" s="1" t="s">
        <v>235</v>
      </c>
    </row>
    <row r="950" spans="1:14" x14ac:dyDescent="0.25">
      <c r="A950" s="1" t="s">
        <v>1044</v>
      </c>
      <c r="B950" s="1" t="s">
        <v>507</v>
      </c>
      <c r="C950" s="1" t="s">
        <v>82</v>
      </c>
      <c r="D950" s="2"/>
      <c r="E950" s="1" t="s">
        <v>207</v>
      </c>
      <c r="F950" s="1"/>
      <c r="G950" s="1" t="s">
        <v>35</v>
      </c>
      <c r="H950" s="2"/>
      <c r="I950">
        <v>1</v>
      </c>
      <c r="J950" s="1" t="s">
        <v>234</v>
      </c>
      <c r="K950" s="1" t="s">
        <v>879</v>
      </c>
      <c r="M950" s="1" t="s">
        <v>234</v>
      </c>
      <c r="N950" s="1" t="s">
        <v>235</v>
      </c>
    </row>
    <row r="951" spans="1:14" x14ac:dyDescent="0.25">
      <c r="A951" s="1" t="s">
        <v>1045</v>
      </c>
      <c r="B951" s="1" t="s">
        <v>507</v>
      </c>
      <c r="C951" s="1" t="s">
        <v>82</v>
      </c>
      <c r="D951" s="2"/>
      <c r="E951" s="1" t="s">
        <v>207</v>
      </c>
      <c r="F951" s="1"/>
      <c r="G951" s="1" t="s">
        <v>35</v>
      </c>
      <c r="H951" s="2"/>
      <c r="I951">
        <v>1</v>
      </c>
      <c r="J951" s="1" t="s">
        <v>234</v>
      </c>
      <c r="K951" s="1" t="s">
        <v>879</v>
      </c>
      <c r="M951" s="1" t="s">
        <v>234</v>
      </c>
      <c r="N951" s="1" t="s">
        <v>235</v>
      </c>
    </row>
    <row r="952" spans="1:14" x14ac:dyDescent="0.25">
      <c r="A952" s="1" t="s">
        <v>1046</v>
      </c>
      <c r="B952" s="1" t="s">
        <v>507</v>
      </c>
      <c r="C952" s="1" t="s">
        <v>82</v>
      </c>
      <c r="D952" s="2"/>
      <c r="E952" s="1" t="s">
        <v>207</v>
      </c>
      <c r="F952" s="1"/>
      <c r="G952" s="1" t="s">
        <v>35</v>
      </c>
      <c r="H952" s="2"/>
      <c r="I952">
        <v>1</v>
      </c>
      <c r="J952" s="1" t="s">
        <v>234</v>
      </c>
      <c r="K952" s="1" t="s">
        <v>879</v>
      </c>
      <c r="M952" s="1" t="s">
        <v>234</v>
      </c>
      <c r="N952" s="1" t="s">
        <v>235</v>
      </c>
    </row>
    <row r="953" spans="1:14" x14ac:dyDescent="0.25">
      <c r="A953" s="1" t="s">
        <v>1047</v>
      </c>
      <c r="B953" s="1" t="s">
        <v>507</v>
      </c>
      <c r="C953" s="1" t="s">
        <v>82</v>
      </c>
      <c r="D953" s="2"/>
      <c r="E953" s="1" t="s">
        <v>207</v>
      </c>
      <c r="F953" s="1"/>
      <c r="G953" s="1" t="s">
        <v>35</v>
      </c>
      <c r="H953" s="2"/>
      <c r="I953">
        <v>1</v>
      </c>
      <c r="J953" s="1" t="s">
        <v>234</v>
      </c>
      <c r="K953" s="1" t="s">
        <v>879</v>
      </c>
      <c r="M953" s="1" t="s">
        <v>234</v>
      </c>
      <c r="N953" s="1" t="s">
        <v>235</v>
      </c>
    </row>
    <row r="954" spans="1:14" x14ac:dyDescent="0.25">
      <c r="A954" s="1" t="s">
        <v>1048</v>
      </c>
      <c r="B954" s="1" t="s">
        <v>507</v>
      </c>
      <c r="C954" s="1" t="s">
        <v>82</v>
      </c>
      <c r="D954" s="2"/>
      <c r="E954" s="1" t="s">
        <v>207</v>
      </c>
      <c r="F954" s="1"/>
      <c r="G954" s="1" t="s">
        <v>35</v>
      </c>
      <c r="H954" s="2"/>
      <c r="I954">
        <v>1</v>
      </c>
      <c r="J954" s="1" t="s">
        <v>234</v>
      </c>
      <c r="K954" s="1" t="s">
        <v>879</v>
      </c>
      <c r="M954" s="1" t="s">
        <v>234</v>
      </c>
      <c r="N954" s="1" t="s">
        <v>235</v>
      </c>
    </row>
    <row r="955" spans="1:14" x14ac:dyDescent="0.25">
      <c r="A955" s="1" t="s">
        <v>1049</v>
      </c>
      <c r="B955" s="1" t="s">
        <v>507</v>
      </c>
      <c r="C955" s="1" t="s">
        <v>82</v>
      </c>
      <c r="D955" s="2"/>
      <c r="E955" s="1" t="s">
        <v>207</v>
      </c>
      <c r="F955" s="1"/>
      <c r="G955" s="1" t="s">
        <v>35</v>
      </c>
      <c r="H955" s="2"/>
      <c r="I955">
        <v>1</v>
      </c>
      <c r="J955" s="1" t="s">
        <v>234</v>
      </c>
      <c r="K955" s="1" t="s">
        <v>879</v>
      </c>
      <c r="M955" s="1" t="s">
        <v>234</v>
      </c>
      <c r="N955" s="1" t="s">
        <v>235</v>
      </c>
    </row>
    <row r="956" spans="1:14" x14ac:dyDescent="0.25">
      <c r="A956" s="1" t="s">
        <v>1050</v>
      </c>
      <c r="B956" s="1" t="s">
        <v>507</v>
      </c>
      <c r="C956" s="1" t="s">
        <v>82</v>
      </c>
      <c r="D956" s="2"/>
      <c r="E956" s="1" t="s">
        <v>207</v>
      </c>
      <c r="F956" s="1"/>
      <c r="G956" s="1" t="s">
        <v>35</v>
      </c>
      <c r="H956" s="2"/>
      <c r="I956">
        <v>1</v>
      </c>
      <c r="J956" s="1" t="s">
        <v>234</v>
      </c>
      <c r="K956" s="1" t="s">
        <v>879</v>
      </c>
      <c r="M956" s="1" t="s">
        <v>234</v>
      </c>
      <c r="N956" s="1" t="s">
        <v>235</v>
      </c>
    </row>
    <row r="957" spans="1:14" x14ac:dyDescent="0.25">
      <c r="A957" s="1" t="s">
        <v>1051</v>
      </c>
      <c r="B957" s="1" t="s">
        <v>507</v>
      </c>
      <c r="C957" s="1" t="s">
        <v>82</v>
      </c>
      <c r="D957" s="2"/>
      <c r="E957" s="1" t="s">
        <v>207</v>
      </c>
      <c r="F957" s="1"/>
      <c r="G957" s="1" t="s">
        <v>35</v>
      </c>
      <c r="H957" s="2"/>
      <c r="I957">
        <v>1</v>
      </c>
      <c r="J957" s="1" t="s">
        <v>234</v>
      </c>
      <c r="K957" s="1" t="s">
        <v>879</v>
      </c>
      <c r="M957" s="1" t="s">
        <v>234</v>
      </c>
      <c r="N957" s="1" t="s">
        <v>235</v>
      </c>
    </row>
    <row r="958" spans="1:14" x14ac:dyDescent="0.25">
      <c r="A958" s="1" t="s">
        <v>1052</v>
      </c>
      <c r="B958" s="1" t="s">
        <v>507</v>
      </c>
      <c r="C958" s="1" t="s">
        <v>82</v>
      </c>
      <c r="D958" s="2"/>
      <c r="E958" s="1" t="s">
        <v>207</v>
      </c>
      <c r="F958" s="1"/>
      <c r="G958" s="1" t="s">
        <v>35</v>
      </c>
      <c r="H958" s="2"/>
      <c r="I958">
        <v>1</v>
      </c>
      <c r="J958" s="1" t="s">
        <v>234</v>
      </c>
      <c r="K958" s="1" t="s">
        <v>879</v>
      </c>
      <c r="M958" s="1" t="s">
        <v>234</v>
      </c>
      <c r="N958" s="1" t="s">
        <v>235</v>
      </c>
    </row>
    <row r="959" spans="1:14" x14ac:dyDescent="0.25">
      <c r="A959" s="1" t="s">
        <v>1053</v>
      </c>
      <c r="B959" s="1" t="s">
        <v>507</v>
      </c>
      <c r="C959" s="1" t="s">
        <v>82</v>
      </c>
      <c r="D959" s="2"/>
      <c r="E959" s="1" t="s">
        <v>207</v>
      </c>
      <c r="F959" s="1"/>
      <c r="G959" s="1" t="s">
        <v>35</v>
      </c>
      <c r="H959" s="2"/>
      <c r="I959">
        <v>1</v>
      </c>
      <c r="J959" s="1" t="s">
        <v>234</v>
      </c>
      <c r="K959" s="1" t="s">
        <v>879</v>
      </c>
      <c r="M959" s="1" t="s">
        <v>234</v>
      </c>
      <c r="N959" s="1" t="s">
        <v>235</v>
      </c>
    </row>
    <row r="960" spans="1:14" x14ac:dyDescent="0.25">
      <c r="A960" s="1" t="s">
        <v>1054</v>
      </c>
      <c r="B960" s="1" t="s">
        <v>507</v>
      </c>
      <c r="C960" s="1" t="s">
        <v>82</v>
      </c>
      <c r="D960" s="2"/>
      <c r="E960" s="1" t="s">
        <v>207</v>
      </c>
      <c r="F960" s="1"/>
      <c r="G960" s="1" t="s">
        <v>35</v>
      </c>
      <c r="H960" s="2"/>
      <c r="I960">
        <v>1</v>
      </c>
      <c r="J960" s="1" t="s">
        <v>234</v>
      </c>
      <c r="K960" s="1" t="s">
        <v>879</v>
      </c>
      <c r="M960" s="1" t="s">
        <v>234</v>
      </c>
      <c r="N960" s="1" t="s">
        <v>235</v>
      </c>
    </row>
    <row r="961" spans="1:14" x14ac:dyDescent="0.25">
      <c r="A961" s="1" t="s">
        <v>1055</v>
      </c>
      <c r="B961" s="1" t="s">
        <v>507</v>
      </c>
      <c r="C961" s="1" t="s">
        <v>82</v>
      </c>
      <c r="D961" s="2"/>
      <c r="E961" s="1" t="s">
        <v>207</v>
      </c>
      <c r="F961" s="1"/>
      <c r="G961" s="1" t="s">
        <v>35</v>
      </c>
      <c r="H961" s="2"/>
      <c r="I961">
        <v>1</v>
      </c>
      <c r="J961" s="1" t="s">
        <v>234</v>
      </c>
      <c r="K961" s="1" t="s">
        <v>879</v>
      </c>
      <c r="M961" s="1" t="s">
        <v>234</v>
      </c>
      <c r="N961" s="1" t="s">
        <v>235</v>
      </c>
    </row>
    <row r="962" spans="1:14" x14ac:dyDescent="0.25">
      <c r="A962" s="1" t="s">
        <v>1056</v>
      </c>
      <c r="B962" s="1" t="s">
        <v>507</v>
      </c>
      <c r="C962" s="1" t="s">
        <v>82</v>
      </c>
      <c r="D962" s="2"/>
      <c r="E962" s="1" t="s">
        <v>207</v>
      </c>
      <c r="F962" s="1"/>
      <c r="G962" s="1" t="s">
        <v>35</v>
      </c>
      <c r="H962" s="2"/>
      <c r="I962">
        <v>1</v>
      </c>
      <c r="J962" s="1" t="s">
        <v>234</v>
      </c>
      <c r="K962" s="1" t="s">
        <v>879</v>
      </c>
      <c r="M962" s="1" t="s">
        <v>234</v>
      </c>
      <c r="N962" s="1" t="s">
        <v>235</v>
      </c>
    </row>
    <row r="963" spans="1:14" x14ac:dyDescent="0.25">
      <c r="A963" s="1" t="s">
        <v>1057</v>
      </c>
      <c r="B963" s="1" t="s">
        <v>507</v>
      </c>
      <c r="C963" s="1" t="s">
        <v>82</v>
      </c>
      <c r="D963" s="2"/>
      <c r="E963" s="1" t="s">
        <v>207</v>
      </c>
      <c r="F963" s="1"/>
      <c r="G963" s="1" t="s">
        <v>35</v>
      </c>
      <c r="H963" s="2"/>
      <c r="I963">
        <v>1</v>
      </c>
      <c r="J963" s="1" t="s">
        <v>234</v>
      </c>
      <c r="K963" s="1" t="s">
        <v>879</v>
      </c>
      <c r="M963" s="1" t="s">
        <v>234</v>
      </c>
      <c r="N963" s="1" t="s">
        <v>235</v>
      </c>
    </row>
    <row r="964" spans="1:14" x14ac:dyDescent="0.25">
      <c r="A964" s="1" t="s">
        <v>1058</v>
      </c>
      <c r="B964" s="1" t="s">
        <v>507</v>
      </c>
      <c r="C964" s="1" t="s">
        <v>82</v>
      </c>
      <c r="D964" s="2"/>
      <c r="E964" s="1" t="s">
        <v>207</v>
      </c>
      <c r="F964" s="1"/>
      <c r="G964" s="1" t="s">
        <v>35</v>
      </c>
      <c r="H964" s="2"/>
      <c r="I964">
        <v>1</v>
      </c>
      <c r="J964" s="1" t="s">
        <v>234</v>
      </c>
      <c r="K964" s="1" t="s">
        <v>879</v>
      </c>
      <c r="M964" s="1" t="s">
        <v>234</v>
      </c>
      <c r="N964" s="1" t="s">
        <v>235</v>
      </c>
    </row>
    <row r="965" spans="1:14" x14ac:dyDescent="0.25">
      <c r="A965" s="1" t="s">
        <v>1059</v>
      </c>
      <c r="B965" s="1" t="s">
        <v>507</v>
      </c>
      <c r="C965" s="1" t="s">
        <v>82</v>
      </c>
      <c r="D965" s="2"/>
      <c r="E965" s="1" t="s">
        <v>207</v>
      </c>
      <c r="F965" s="1"/>
      <c r="G965" s="1" t="s">
        <v>35</v>
      </c>
      <c r="H965" s="2"/>
      <c r="I965">
        <v>1</v>
      </c>
      <c r="J965" s="1" t="s">
        <v>234</v>
      </c>
      <c r="K965" s="1" t="s">
        <v>879</v>
      </c>
      <c r="M965" s="1" t="s">
        <v>234</v>
      </c>
      <c r="N965" s="1" t="s">
        <v>235</v>
      </c>
    </row>
    <row r="966" spans="1:14" x14ac:dyDescent="0.25">
      <c r="A966" s="1" t="s">
        <v>1060</v>
      </c>
      <c r="B966" s="1" t="s">
        <v>507</v>
      </c>
      <c r="C966" s="1" t="s">
        <v>82</v>
      </c>
      <c r="D966" s="2"/>
      <c r="E966" s="1" t="s">
        <v>207</v>
      </c>
      <c r="F966" s="1"/>
      <c r="G966" s="1" t="s">
        <v>35</v>
      </c>
      <c r="H966" s="2"/>
      <c r="I966">
        <v>1</v>
      </c>
      <c r="J966" s="1" t="s">
        <v>234</v>
      </c>
      <c r="K966" s="1" t="s">
        <v>879</v>
      </c>
      <c r="M966" s="1" t="s">
        <v>234</v>
      </c>
      <c r="N966" s="1" t="s">
        <v>235</v>
      </c>
    </row>
    <row r="967" spans="1:14" x14ac:dyDescent="0.25">
      <c r="A967" s="1" t="s">
        <v>1061</v>
      </c>
      <c r="B967" s="1" t="s">
        <v>507</v>
      </c>
      <c r="C967" s="1" t="s">
        <v>82</v>
      </c>
      <c r="D967" s="2"/>
      <c r="E967" s="1" t="s">
        <v>207</v>
      </c>
      <c r="F967" s="1"/>
      <c r="G967" s="1" t="s">
        <v>35</v>
      </c>
      <c r="H967" s="2"/>
      <c r="I967">
        <v>1</v>
      </c>
      <c r="J967" s="1" t="s">
        <v>234</v>
      </c>
      <c r="K967" s="1" t="s">
        <v>879</v>
      </c>
      <c r="M967" s="1" t="s">
        <v>234</v>
      </c>
      <c r="N967" s="1" t="s">
        <v>235</v>
      </c>
    </row>
    <row r="968" spans="1:14" x14ac:dyDescent="0.25">
      <c r="A968" s="1" t="s">
        <v>1062</v>
      </c>
      <c r="B968" s="1" t="s">
        <v>507</v>
      </c>
      <c r="C968" s="1" t="s">
        <v>82</v>
      </c>
      <c r="D968" s="2"/>
      <c r="E968" s="1" t="s">
        <v>207</v>
      </c>
      <c r="F968" s="1"/>
      <c r="G968" s="1" t="s">
        <v>35</v>
      </c>
      <c r="H968" s="2"/>
      <c r="I968">
        <v>1</v>
      </c>
      <c r="J968" s="1" t="s">
        <v>234</v>
      </c>
      <c r="K968" s="1" t="s">
        <v>879</v>
      </c>
      <c r="M968" s="1" t="s">
        <v>234</v>
      </c>
      <c r="N968" s="1" t="s">
        <v>235</v>
      </c>
    </row>
    <row r="969" spans="1:14" x14ac:dyDescent="0.25">
      <c r="A969" s="1" t="s">
        <v>1063</v>
      </c>
      <c r="B969" s="1" t="s">
        <v>507</v>
      </c>
      <c r="C969" s="1" t="s">
        <v>82</v>
      </c>
      <c r="D969" s="2"/>
      <c r="E969" s="1" t="s">
        <v>207</v>
      </c>
      <c r="F969" s="1"/>
      <c r="G969" s="1" t="s">
        <v>35</v>
      </c>
      <c r="H969" s="2"/>
      <c r="I969">
        <v>1</v>
      </c>
      <c r="J969" s="1" t="s">
        <v>234</v>
      </c>
      <c r="K969" s="1" t="s">
        <v>879</v>
      </c>
      <c r="M969" s="1" t="s">
        <v>234</v>
      </c>
      <c r="N969" s="1" t="s">
        <v>235</v>
      </c>
    </row>
    <row r="970" spans="1:14" x14ac:dyDescent="0.25">
      <c r="A970" s="1" t="s">
        <v>1064</v>
      </c>
      <c r="B970" s="1" t="s">
        <v>507</v>
      </c>
      <c r="C970" s="1" t="s">
        <v>82</v>
      </c>
      <c r="D970" s="2"/>
      <c r="E970" s="1" t="s">
        <v>207</v>
      </c>
      <c r="F970" s="1"/>
      <c r="G970" s="1" t="s">
        <v>35</v>
      </c>
      <c r="H970" s="2"/>
      <c r="I970">
        <v>1</v>
      </c>
      <c r="J970" s="1" t="s">
        <v>234</v>
      </c>
      <c r="K970" s="1" t="s">
        <v>879</v>
      </c>
      <c r="M970" s="1" t="s">
        <v>234</v>
      </c>
      <c r="N970" s="1" t="s">
        <v>235</v>
      </c>
    </row>
    <row r="971" spans="1:14" x14ac:dyDescent="0.25">
      <c r="A971" s="1" t="s">
        <v>1065</v>
      </c>
      <c r="B971" s="1" t="s">
        <v>507</v>
      </c>
      <c r="C971" s="1" t="s">
        <v>82</v>
      </c>
      <c r="D971" s="2"/>
      <c r="E971" s="1" t="s">
        <v>207</v>
      </c>
      <c r="F971" s="1"/>
      <c r="G971" s="1" t="s">
        <v>35</v>
      </c>
      <c r="H971" s="2"/>
      <c r="I971">
        <v>1</v>
      </c>
      <c r="J971" s="1" t="s">
        <v>234</v>
      </c>
      <c r="K971" s="1" t="s">
        <v>879</v>
      </c>
      <c r="M971" s="1" t="s">
        <v>234</v>
      </c>
      <c r="N971" s="1" t="s">
        <v>235</v>
      </c>
    </row>
    <row r="972" spans="1:14" x14ac:dyDescent="0.25">
      <c r="A972" s="1" t="s">
        <v>1066</v>
      </c>
      <c r="B972" s="1" t="s">
        <v>507</v>
      </c>
      <c r="C972" s="1" t="s">
        <v>82</v>
      </c>
      <c r="D972" s="2"/>
      <c r="E972" s="1" t="s">
        <v>207</v>
      </c>
      <c r="F972" s="1"/>
      <c r="G972" s="1" t="s">
        <v>35</v>
      </c>
      <c r="H972" s="2"/>
      <c r="I972">
        <v>1</v>
      </c>
      <c r="J972" s="1" t="s">
        <v>234</v>
      </c>
      <c r="K972" s="1" t="s">
        <v>879</v>
      </c>
      <c r="M972" s="1" t="s">
        <v>234</v>
      </c>
      <c r="N972" s="1" t="s">
        <v>235</v>
      </c>
    </row>
    <row r="973" spans="1:14" x14ac:dyDescent="0.25">
      <c r="A973" s="1" t="s">
        <v>1067</v>
      </c>
      <c r="B973" s="1" t="s">
        <v>507</v>
      </c>
      <c r="C973" s="1" t="s">
        <v>82</v>
      </c>
      <c r="D973" s="2"/>
      <c r="E973" s="1" t="s">
        <v>207</v>
      </c>
      <c r="F973" s="1"/>
      <c r="G973" s="1" t="s">
        <v>35</v>
      </c>
      <c r="H973" s="2"/>
      <c r="I973">
        <v>1</v>
      </c>
      <c r="J973" s="1" t="s">
        <v>234</v>
      </c>
      <c r="K973" s="1" t="s">
        <v>879</v>
      </c>
      <c r="M973" s="1" t="s">
        <v>234</v>
      </c>
      <c r="N973" s="1" t="s">
        <v>235</v>
      </c>
    </row>
    <row r="974" spans="1:14" x14ac:dyDescent="0.25">
      <c r="A974" s="1" t="s">
        <v>1068</v>
      </c>
      <c r="B974" s="1" t="s">
        <v>507</v>
      </c>
      <c r="C974" s="1" t="s">
        <v>82</v>
      </c>
      <c r="D974" s="2"/>
      <c r="E974" s="1" t="s">
        <v>207</v>
      </c>
      <c r="F974" s="1"/>
      <c r="G974" s="1" t="s">
        <v>35</v>
      </c>
      <c r="H974" s="2"/>
      <c r="I974">
        <v>1</v>
      </c>
      <c r="J974" s="1" t="s">
        <v>234</v>
      </c>
      <c r="K974" s="1" t="s">
        <v>879</v>
      </c>
      <c r="M974" s="1" t="s">
        <v>234</v>
      </c>
      <c r="N974" s="1" t="s">
        <v>235</v>
      </c>
    </row>
    <row r="975" spans="1:14" x14ac:dyDescent="0.25">
      <c r="A975" s="1" t="s">
        <v>1069</v>
      </c>
      <c r="B975" s="1" t="s">
        <v>507</v>
      </c>
      <c r="C975" s="1" t="s">
        <v>82</v>
      </c>
      <c r="D975" s="2"/>
      <c r="E975" s="1" t="s">
        <v>207</v>
      </c>
      <c r="F975" s="1"/>
      <c r="G975" s="1" t="s">
        <v>35</v>
      </c>
      <c r="H975" s="2"/>
      <c r="I975">
        <v>1</v>
      </c>
      <c r="J975" s="1" t="s">
        <v>234</v>
      </c>
      <c r="K975" s="1" t="s">
        <v>879</v>
      </c>
      <c r="M975" s="1" t="s">
        <v>234</v>
      </c>
      <c r="N975" s="1" t="s">
        <v>235</v>
      </c>
    </row>
    <row r="976" spans="1:14" x14ac:dyDescent="0.25">
      <c r="A976" s="1" t="s">
        <v>1070</v>
      </c>
      <c r="B976" s="1" t="s">
        <v>507</v>
      </c>
      <c r="C976" s="1" t="s">
        <v>82</v>
      </c>
      <c r="D976" s="2"/>
      <c r="E976" s="1" t="s">
        <v>207</v>
      </c>
      <c r="F976" s="1"/>
      <c r="G976" s="1" t="s">
        <v>35</v>
      </c>
      <c r="H976" s="2"/>
      <c r="I976">
        <v>1</v>
      </c>
      <c r="J976" s="1" t="s">
        <v>234</v>
      </c>
      <c r="K976" s="1" t="s">
        <v>879</v>
      </c>
      <c r="M976" s="1" t="s">
        <v>234</v>
      </c>
      <c r="N976" s="1" t="s">
        <v>235</v>
      </c>
    </row>
    <row r="977" spans="1:14" x14ac:dyDescent="0.25">
      <c r="A977" s="1" t="s">
        <v>1071</v>
      </c>
      <c r="B977" s="1" t="s">
        <v>507</v>
      </c>
      <c r="C977" s="1" t="s">
        <v>82</v>
      </c>
      <c r="D977" s="2"/>
      <c r="E977" s="1" t="s">
        <v>207</v>
      </c>
      <c r="F977" s="1"/>
      <c r="G977" s="1" t="s">
        <v>35</v>
      </c>
      <c r="H977" s="2"/>
      <c r="I977">
        <v>1</v>
      </c>
      <c r="J977" s="1" t="s">
        <v>234</v>
      </c>
      <c r="K977" s="1" t="s">
        <v>879</v>
      </c>
      <c r="M977" s="1" t="s">
        <v>234</v>
      </c>
      <c r="N977" s="1" t="s">
        <v>235</v>
      </c>
    </row>
    <row r="978" spans="1:14" x14ac:dyDescent="0.25">
      <c r="A978" s="1" t="s">
        <v>1072</v>
      </c>
      <c r="B978" s="1" t="s">
        <v>507</v>
      </c>
      <c r="C978" s="1" t="s">
        <v>82</v>
      </c>
      <c r="D978" s="2"/>
      <c r="E978" s="1" t="s">
        <v>207</v>
      </c>
      <c r="F978" s="1"/>
      <c r="G978" s="1" t="s">
        <v>35</v>
      </c>
      <c r="H978" s="2"/>
      <c r="I978">
        <v>1</v>
      </c>
      <c r="J978" s="1" t="s">
        <v>234</v>
      </c>
      <c r="K978" s="1" t="s">
        <v>879</v>
      </c>
      <c r="M978" s="1" t="s">
        <v>234</v>
      </c>
      <c r="N978" s="1" t="s">
        <v>235</v>
      </c>
    </row>
    <row r="979" spans="1:14" x14ac:dyDescent="0.25">
      <c r="A979" s="1" t="s">
        <v>1073</v>
      </c>
      <c r="B979" s="1" t="s">
        <v>507</v>
      </c>
      <c r="C979" s="1" t="s">
        <v>82</v>
      </c>
      <c r="D979" s="2"/>
      <c r="E979" s="1" t="s">
        <v>207</v>
      </c>
      <c r="F979" s="1"/>
      <c r="G979" s="1" t="s">
        <v>35</v>
      </c>
      <c r="H979" s="2"/>
      <c r="I979">
        <v>1</v>
      </c>
      <c r="J979" s="1" t="s">
        <v>234</v>
      </c>
      <c r="K979" s="1" t="s">
        <v>879</v>
      </c>
      <c r="M979" s="1" t="s">
        <v>234</v>
      </c>
      <c r="N979" s="1" t="s">
        <v>235</v>
      </c>
    </row>
    <row r="980" spans="1:14" x14ac:dyDescent="0.25">
      <c r="A980" s="1" t="s">
        <v>1074</v>
      </c>
      <c r="B980" s="1" t="s">
        <v>507</v>
      </c>
      <c r="C980" s="1" t="s">
        <v>82</v>
      </c>
      <c r="D980" s="2"/>
      <c r="E980" s="1" t="s">
        <v>207</v>
      </c>
      <c r="F980" s="1"/>
      <c r="G980" s="1" t="s">
        <v>35</v>
      </c>
      <c r="H980" s="2"/>
      <c r="I980">
        <v>1</v>
      </c>
      <c r="J980" s="1" t="s">
        <v>234</v>
      </c>
      <c r="K980" s="1" t="s">
        <v>879</v>
      </c>
      <c r="M980" s="1" t="s">
        <v>234</v>
      </c>
      <c r="N980" s="1" t="s">
        <v>235</v>
      </c>
    </row>
    <row r="981" spans="1:14" x14ac:dyDescent="0.25">
      <c r="A981" s="1" t="s">
        <v>1075</v>
      </c>
      <c r="B981" s="1" t="s">
        <v>507</v>
      </c>
      <c r="C981" s="1" t="s">
        <v>82</v>
      </c>
      <c r="D981" s="2"/>
      <c r="E981" s="1" t="s">
        <v>207</v>
      </c>
      <c r="F981" s="1"/>
      <c r="G981" s="1" t="s">
        <v>35</v>
      </c>
      <c r="H981" s="2"/>
      <c r="I981">
        <v>1</v>
      </c>
      <c r="J981" s="1" t="s">
        <v>234</v>
      </c>
      <c r="K981" s="1" t="s">
        <v>879</v>
      </c>
      <c r="M981" s="1" t="s">
        <v>234</v>
      </c>
      <c r="N981" s="1" t="s">
        <v>235</v>
      </c>
    </row>
    <row r="982" spans="1:14" x14ac:dyDescent="0.25">
      <c r="A982" s="1" t="s">
        <v>1076</v>
      </c>
      <c r="B982" s="1" t="s">
        <v>507</v>
      </c>
      <c r="C982" s="1" t="s">
        <v>82</v>
      </c>
      <c r="D982" s="2"/>
      <c r="E982" s="1" t="s">
        <v>207</v>
      </c>
      <c r="F982" s="1"/>
      <c r="G982" s="1" t="s">
        <v>35</v>
      </c>
      <c r="H982" s="2"/>
      <c r="I982">
        <v>1</v>
      </c>
      <c r="J982" s="1" t="s">
        <v>234</v>
      </c>
      <c r="K982" s="1" t="s">
        <v>879</v>
      </c>
      <c r="M982" s="1" t="s">
        <v>234</v>
      </c>
      <c r="N982" s="1" t="s">
        <v>235</v>
      </c>
    </row>
    <row r="983" spans="1:14" x14ac:dyDescent="0.25">
      <c r="A983" s="1" t="s">
        <v>1077</v>
      </c>
      <c r="B983" s="1" t="s">
        <v>507</v>
      </c>
      <c r="C983" s="1" t="s">
        <v>82</v>
      </c>
      <c r="D983" s="2"/>
      <c r="E983" s="1" t="s">
        <v>207</v>
      </c>
      <c r="F983" s="1"/>
      <c r="G983" s="1" t="s">
        <v>35</v>
      </c>
      <c r="H983" s="2"/>
      <c r="I983">
        <v>1</v>
      </c>
      <c r="J983" s="1" t="s">
        <v>234</v>
      </c>
      <c r="K983" s="1" t="s">
        <v>879</v>
      </c>
      <c r="M983" s="1" t="s">
        <v>234</v>
      </c>
      <c r="N983" s="1" t="s">
        <v>235</v>
      </c>
    </row>
    <row r="984" spans="1:14" x14ac:dyDescent="0.25">
      <c r="A984" s="1" t="s">
        <v>1078</v>
      </c>
      <c r="B984" s="1" t="s">
        <v>507</v>
      </c>
      <c r="C984" s="1" t="s">
        <v>82</v>
      </c>
      <c r="D984" s="2"/>
      <c r="E984" s="1" t="s">
        <v>207</v>
      </c>
      <c r="F984" s="1"/>
      <c r="G984" s="1" t="s">
        <v>35</v>
      </c>
      <c r="H984" s="2"/>
      <c r="I984">
        <v>1</v>
      </c>
      <c r="J984" s="1" t="s">
        <v>234</v>
      </c>
      <c r="K984" s="1" t="s">
        <v>879</v>
      </c>
      <c r="M984" s="1" t="s">
        <v>234</v>
      </c>
      <c r="N984" s="1" t="s">
        <v>235</v>
      </c>
    </row>
    <row r="985" spans="1:14" x14ac:dyDescent="0.25">
      <c r="A985" s="1" t="s">
        <v>1079</v>
      </c>
      <c r="B985" s="1" t="s">
        <v>507</v>
      </c>
      <c r="C985" s="1" t="s">
        <v>82</v>
      </c>
      <c r="D985" s="2"/>
      <c r="E985" s="1" t="s">
        <v>207</v>
      </c>
      <c r="F985" s="1"/>
      <c r="G985" s="1" t="s">
        <v>35</v>
      </c>
      <c r="H985" s="2"/>
      <c r="I985">
        <v>1</v>
      </c>
      <c r="J985" s="1" t="s">
        <v>234</v>
      </c>
      <c r="K985" s="1" t="s">
        <v>879</v>
      </c>
      <c r="M985" s="1" t="s">
        <v>234</v>
      </c>
      <c r="N985" s="1" t="s">
        <v>235</v>
      </c>
    </row>
    <row r="986" spans="1:14" x14ac:dyDescent="0.25">
      <c r="A986" s="1" t="s">
        <v>1080</v>
      </c>
      <c r="B986" s="1" t="s">
        <v>507</v>
      </c>
      <c r="C986" s="1" t="s">
        <v>82</v>
      </c>
      <c r="D986" s="2"/>
      <c r="E986" s="1" t="s">
        <v>207</v>
      </c>
      <c r="F986" s="1"/>
      <c r="G986" s="1" t="s">
        <v>35</v>
      </c>
      <c r="H986" s="2"/>
      <c r="I986">
        <v>1</v>
      </c>
      <c r="J986" s="1" t="s">
        <v>234</v>
      </c>
      <c r="K986" s="1" t="s">
        <v>879</v>
      </c>
      <c r="M986" s="1" t="s">
        <v>234</v>
      </c>
      <c r="N986" s="1" t="s">
        <v>235</v>
      </c>
    </row>
    <row r="987" spans="1:14" x14ac:dyDescent="0.25">
      <c r="A987" s="1" t="s">
        <v>1081</v>
      </c>
      <c r="B987" s="1" t="s">
        <v>507</v>
      </c>
      <c r="C987" s="1" t="s">
        <v>82</v>
      </c>
      <c r="D987" s="2"/>
      <c r="E987" s="1" t="s">
        <v>207</v>
      </c>
      <c r="F987" s="1"/>
      <c r="G987" s="1" t="s">
        <v>35</v>
      </c>
      <c r="H987" s="2"/>
      <c r="I987">
        <v>1</v>
      </c>
      <c r="J987" s="1" t="s">
        <v>234</v>
      </c>
      <c r="K987" s="1" t="s">
        <v>879</v>
      </c>
      <c r="M987" s="1" t="s">
        <v>234</v>
      </c>
      <c r="N987" s="1" t="s">
        <v>235</v>
      </c>
    </row>
    <row r="988" spans="1:14" x14ac:dyDescent="0.25">
      <c r="A988" s="1" t="s">
        <v>1082</v>
      </c>
      <c r="B988" s="1" t="s">
        <v>507</v>
      </c>
      <c r="C988" s="1" t="s">
        <v>82</v>
      </c>
      <c r="D988" s="2"/>
      <c r="E988" s="1" t="s">
        <v>207</v>
      </c>
      <c r="F988" s="1"/>
      <c r="G988" s="1" t="s">
        <v>35</v>
      </c>
      <c r="H988" s="2"/>
      <c r="I988">
        <v>1</v>
      </c>
      <c r="J988" s="1" t="s">
        <v>234</v>
      </c>
      <c r="K988" s="1" t="s">
        <v>879</v>
      </c>
      <c r="M988" s="1" t="s">
        <v>234</v>
      </c>
      <c r="N988" s="1" t="s">
        <v>235</v>
      </c>
    </row>
    <row r="989" spans="1:14" x14ac:dyDescent="0.25">
      <c r="A989" s="1" t="s">
        <v>1083</v>
      </c>
      <c r="B989" s="1" t="s">
        <v>507</v>
      </c>
      <c r="C989" s="1" t="s">
        <v>82</v>
      </c>
      <c r="D989" s="2"/>
      <c r="E989" s="1" t="s">
        <v>207</v>
      </c>
      <c r="F989" s="1"/>
      <c r="G989" s="1" t="s">
        <v>35</v>
      </c>
      <c r="H989" s="2"/>
      <c r="I989">
        <v>1</v>
      </c>
      <c r="J989" s="1" t="s">
        <v>234</v>
      </c>
      <c r="K989" s="1" t="s">
        <v>879</v>
      </c>
      <c r="M989" s="1" t="s">
        <v>234</v>
      </c>
      <c r="N989" s="1" t="s">
        <v>235</v>
      </c>
    </row>
    <row r="990" spans="1:14" x14ac:dyDescent="0.25">
      <c r="A990" s="1" t="s">
        <v>1084</v>
      </c>
      <c r="B990" s="1" t="s">
        <v>507</v>
      </c>
      <c r="C990" s="1" t="s">
        <v>82</v>
      </c>
      <c r="D990" s="2"/>
      <c r="E990" s="1" t="s">
        <v>207</v>
      </c>
      <c r="F990" s="1"/>
      <c r="G990" s="1" t="s">
        <v>35</v>
      </c>
      <c r="H990" s="2"/>
      <c r="I990">
        <v>1</v>
      </c>
      <c r="J990" s="1" t="s">
        <v>234</v>
      </c>
      <c r="K990" s="1" t="s">
        <v>879</v>
      </c>
      <c r="M990" s="1" t="s">
        <v>234</v>
      </c>
      <c r="N990" s="1" t="s">
        <v>235</v>
      </c>
    </row>
    <row r="991" spans="1:14" x14ac:dyDescent="0.25">
      <c r="A991" s="1" t="s">
        <v>1085</v>
      </c>
      <c r="B991" s="1" t="s">
        <v>507</v>
      </c>
      <c r="C991" s="1" t="s">
        <v>82</v>
      </c>
      <c r="D991" s="2"/>
      <c r="E991" s="1" t="s">
        <v>207</v>
      </c>
      <c r="F991" s="1"/>
      <c r="G991" s="1" t="s">
        <v>35</v>
      </c>
      <c r="H991" s="2"/>
      <c r="I991">
        <v>1</v>
      </c>
      <c r="J991" s="1" t="s">
        <v>234</v>
      </c>
      <c r="K991" s="1" t="s">
        <v>879</v>
      </c>
      <c r="M991" s="1" t="s">
        <v>234</v>
      </c>
      <c r="N991" s="1" t="s">
        <v>235</v>
      </c>
    </row>
    <row r="992" spans="1:14" x14ac:dyDescent="0.25">
      <c r="A992" s="1" t="s">
        <v>1086</v>
      </c>
      <c r="B992" s="1" t="s">
        <v>507</v>
      </c>
      <c r="C992" s="1" t="s">
        <v>82</v>
      </c>
      <c r="D992" s="2"/>
      <c r="E992" s="1" t="s">
        <v>207</v>
      </c>
      <c r="F992" s="1"/>
      <c r="G992" s="1" t="s">
        <v>35</v>
      </c>
      <c r="H992" s="2"/>
      <c r="I992">
        <v>1</v>
      </c>
      <c r="J992" s="1" t="s">
        <v>234</v>
      </c>
      <c r="K992" s="1" t="s">
        <v>879</v>
      </c>
      <c r="M992" s="1" t="s">
        <v>234</v>
      </c>
      <c r="N992" s="1" t="s">
        <v>235</v>
      </c>
    </row>
    <row r="993" spans="1:14" x14ac:dyDescent="0.25">
      <c r="A993" s="1" t="s">
        <v>1087</v>
      </c>
      <c r="B993" s="1" t="s">
        <v>507</v>
      </c>
      <c r="C993" s="1" t="s">
        <v>82</v>
      </c>
      <c r="D993" s="2"/>
      <c r="E993" s="1" t="s">
        <v>207</v>
      </c>
      <c r="F993" s="1"/>
      <c r="G993" s="1" t="s">
        <v>35</v>
      </c>
      <c r="H993" s="2"/>
      <c r="I993">
        <v>1</v>
      </c>
      <c r="J993" s="1" t="s">
        <v>234</v>
      </c>
      <c r="K993" s="1" t="s">
        <v>879</v>
      </c>
      <c r="M993" s="1" t="s">
        <v>234</v>
      </c>
      <c r="N993" s="1" t="s">
        <v>235</v>
      </c>
    </row>
    <row r="994" spans="1:14" x14ac:dyDescent="0.25">
      <c r="A994" s="1" t="s">
        <v>1088</v>
      </c>
      <c r="B994" s="1" t="s">
        <v>507</v>
      </c>
      <c r="C994" s="1" t="s">
        <v>82</v>
      </c>
      <c r="D994" s="2"/>
      <c r="E994" s="1" t="s">
        <v>207</v>
      </c>
      <c r="F994" s="1"/>
      <c r="G994" s="1" t="s">
        <v>35</v>
      </c>
      <c r="H994" s="2"/>
      <c r="I994">
        <v>1</v>
      </c>
      <c r="J994" s="1" t="s">
        <v>234</v>
      </c>
      <c r="K994" s="1" t="s">
        <v>879</v>
      </c>
      <c r="M994" s="1" t="s">
        <v>234</v>
      </c>
      <c r="N994" s="1" t="s">
        <v>235</v>
      </c>
    </row>
    <row r="995" spans="1:14" x14ac:dyDescent="0.25">
      <c r="A995" s="1" t="s">
        <v>1089</v>
      </c>
      <c r="B995" s="1" t="s">
        <v>507</v>
      </c>
      <c r="C995" s="1" t="s">
        <v>82</v>
      </c>
      <c r="D995" s="2"/>
      <c r="E995" s="1" t="s">
        <v>207</v>
      </c>
      <c r="F995" s="1"/>
      <c r="G995" s="1" t="s">
        <v>35</v>
      </c>
      <c r="H995" s="2"/>
      <c r="I995">
        <v>1</v>
      </c>
      <c r="J995" s="1" t="s">
        <v>234</v>
      </c>
      <c r="K995" s="1" t="s">
        <v>879</v>
      </c>
      <c r="M995" s="1" t="s">
        <v>234</v>
      </c>
      <c r="N995" s="1" t="s">
        <v>235</v>
      </c>
    </row>
    <row r="996" spans="1:14" x14ac:dyDescent="0.25">
      <c r="A996" s="1" t="s">
        <v>1090</v>
      </c>
      <c r="B996" s="1" t="s">
        <v>507</v>
      </c>
      <c r="C996" s="1" t="s">
        <v>82</v>
      </c>
      <c r="D996" s="2"/>
      <c r="E996" s="1" t="s">
        <v>207</v>
      </c>
      <c r="F996" s="1"/>
      <c r="G996" s="1" t="s">
        <v>35</v>
      </c>
      <c r="H996" s="2"/>
      <c r="I996">
        <v>1</v>
      </c>
      <c r="J996" s="1" t="s">
        <v>234</v>
      </c>
      <c r="K996" s="1" t="s">
        <v>879</v>
      </c>
      <c r="M996" s="1" t="s">
        <v>234</v>
      </c>
      <c r="N996" s="1" t="s">
        <v>235</v>
      </c>
    </row>
    <row r="997" spans="1:14" x14ac:dyDescent="0.25">
      <c r="A997" s="1" t="s">
        <v>1091</v>
      </c>
      <c r="B997" s="1" t="s">
        <v>507</v>
      </c>
      <c r="C997" s="1" t="s">
        <v>82</v>
      </c>
      <c r="D997" s="2"/>
      <c r="E997" s="1" t="s">
        <v>207</v>
      </c>
      <c r="F997" s="1"/>
      <c r="G997" s="1" t="s">
        <v>35</v>
      </c>
      <c r="H997" s="2"/>
      <c r="I997">
        <v>1</v>
      </c>
      <c r="J997" s="1" t="s">
        <v>234</v>
      </c>
      <c r="K997" s="1" t="s">
        <v>879</v>
      </c>
      <c r="M997" s="1" t="s">
        <v>234</v>
      </c>
      <c r="N997" s="1" t="s">
        <v>235</v>
      </c>
    </row>
    <row r="998" spans="1:14" x14ac:dyDescent="0.25">
      <c r="A998" s="1" t="s">
        <v>1092</v>
      </c>
      <c r="B998" s="1" t="s">
        <v>507</v>
      </c>
      <c r="C998" s="1" t="s">
        <v>82</v>
      </c>
      <c r="D998" s="2"/>
      <c r="E998" s="1" t="s">
        <v>207</v>
      </c>
      <c r="F998" s="1"/>
      <c r="G998" s="1" t="s">
        <v>35</v>
      </c>
      <c r="H998" s="2"/>
      <c r="I998">
        <v>1</v>
      </c>
      <c r="J998" s="1" t="s">
        <v>234</v>
      </c>
      <c r="K998" s="1" t="s">
        <v>879</v>
      </c>
      <c r="M998" s="1" t="s">
        <v>234</v>
      </c>
      <c r="N998" s="1" t="s">
        <v>235</v>
      </c>
    </row>
    <row r="999" spans="1:14" x14ac:dyDescent="0.25">
      <c r="A999" s="1" t="s">
        <v>1093</v>
      </c>
      <c r="B999" s="1" t="s">
        <v>507</v>
      </c>
      <c r="C999" s="1" t="s">
        <v>82</v>
      </c>
      <c r="D999" s="2"/>
      <c r="E999" s="1" t="s">
        <v>207</v>
      </c>
      <c r="F999" s="1"/>
      <c r="G999" s="1" t="s">
        <v>35</v>
      </c>
      <c r="H999" s="2"/>
      <c r="I999">
        <v>1</v>
      </c>
      <c r="J999" s="1" t="s">
        <v>234</v>
      </c>
      <c r="K999" s="1" t="s">
        <v>879</v>
      </c>
      <c r="M999" s="1" t="s">
        <v>234</v>
      </c>
      <c r="N999" s="1" t="s">
        <v>235</v>
      </c>
    </row>
    <row r="1000" spans="1:14" x14ac:dyDescent="0.25">
      <c r="A1000" s="1" t="s">
        <v>1094</v>
      </c>
      <c r="B1000" s="1" t="s">
        <v>507</v>
      </c>
      <c r="C1000" s="1" t="s">
        <v>82</v>
      </c>
      <c r="D1000" s="2"/>
      <c r="E1000" s="1" t="s">
        <v>207</v>
      </c>
      <c r="F1000" s="1"/>
      <c r="G1000" s="1" t="s">
        <v>35</v>
      </c>
      <c r="H1000" s="2"/>
      <c r="I1000">
        <v>1</v>
      </c>
      <c r="J1000" s="1" t="s">
        <v>234</v>
      </c>
      <c r="K1000" s="1" t="s">
        <v>879</v>
      </c>
      <c r="M1000" s="1" t="s">
        <v>234</v>
      </c>
      <c r="N1000" s="1" t="s">
        <v>235</v>
      </c>
    </row>
    <row r="1001" spans="1:14" x14ac:dyDescent="0.25">
      <c r="A1001" s="1" t="s">
        <v>1095</v>
      </c>
      <c r="B1001" s="1" t="s">
        <v>507</v>
      </c>
      <c r="C1001" s="1" t="s">
        <v>82</v>
      </c>
      <c r="D1001" s="2"/>
      <c r="E1001" s="1" t="s">
        <v>207</v>
      </c>
      <c r="F1001" s="1"/>
      <c r="G1001" s="1" t="s">
        <v>35</v>
      </c>
      <c r="H1001" s="2"/>
      <c r="I1001">
        <v>1</v>
      </c>
      <c r="J1001" s="1" t="s">
        <v>234</v>
      </c>
      <c r="K1001" s="1" t="s">
        <v>879</v>
      </c>
      <c r="M1001" s="1" t="s">
        <v>234</v>
      </c>
      <c r="N1001" s="1" t="s">
        <v>235</v>
      </c>
    </row>
    <row r="1002" spans="1:14" x14ac:dyDescent="0.25">
      <c r="A1002" s="1" t="s">
        <v>1096</v>
      </c>
      <c r="B1002" s="1" t="s">
        <v>507</v>
      </c>
      <c r="C1002" s="1" t="s">
        <v>82</v>
      </c>
      <c r="D1002" s="2"/>
      <c r="E1002" s="1" t="s">
        <v>207</v>
      </c>
      <c r="F1002" s="1"/>
      <c r="G1002" s="1" t="s">
        <v>35</v>
      </c>
      <c r="H1002" s="2"/>
      <c r="I1002">
        <v>1</v>
      </c>
      <c r="J1002" s="1" t="s">
        <v>234</v>
      </c>
      <c r="K1002" s="1" t="s">
        <v>879</v>
      </c>
      <c r="M1002" s="1" t="s">
        <v>234</v>
      </c>
      <c r="N1002" s="1" t="s">
        <v>235</v>
      </c>
    </row>
    <row r="1003" spans="1:14" x14ac:dyDescent="0.25">
      <c r="A1003" s="1" t="s">
        <v>1097</v>
      </c>
      <c r="B1003" s="1" t="s">
        <v>507</v>
      </c>
      <c r="C1003" s="1" t="s">
        <v>82</v>
      </c>
      <c r="D1003" s="2"/>
      <c r="E1003" s="1" t="s">
        <v>207</v>
      </c>
      <c r="F1003" s="1"/>
      <c r="G1003" s="1" t="s">
        <v>35</v>
      </c>
      <c r="H1003" s="2"/>
      <c r="I1003">
        <v>1</v>
      </c>
      <c r="J1003" s="1" t="s">
        <v>234</v>
      </c>
      <c r="K1003" s="1" t="s">
        <v>879</v>
      </c>
      <c r="M1003" s="1" t="s">
        <v>234</v>
      </c>
      <c r="N1003" s="1" t="s">
        <v>235</v>
      </c>
    </row>
    <row r="1004" spans="1:14" x14ac:dyDescent="0.25">
      <c r="A1004" s="1" t="s">
        <v>1098</v>
      </c>
      <c r="B1004" s="1" t="s">
        <v>507</v>
      </c>
      <c r="C1004" s="1" t="s">
        <v>82</v>
      </c>
      <c r="D1004" s="2"/>
      <c r="E1004" s="1" t="s">
        <v>207</v>
      </c>
      <c r="F1004" s="1"/>
      <c r="G1004" s="1" t="s">
        <v>35</v>
      </c>
      <c r="H1004" s="2"/>
      <c r="I1004">
        <v>1</v>
      </c>
      <c r="J1004" s="1" t="s">
        <v>234</v>
      </c>
      <c r="K1004" s="1" t="s">
        <v>879</v>
      </c>
      <c r="M1004" s="1" t="s">
        <v>234</v>
      </c>
      <c r="N1004" s="1" t="s">
        <v>235</v>
      </c>
    </row>
    <row r="1005" spans="1:14" x14ac:dyDescent="0.25">
      <c r="A1005" s="1" t="s">
        <v>1099</v>
      </c>
      <c r="B1005" s="1" t="s">
        <v>507</v>
      </c>
      <c r="C1005" s="1" t="s">
        <v>82</v>
      </c>
      <c r="D1005" s="2"/>
      <c r="E1005" s="1" t="s">
        <v>207</v>
      </c>
      <c r="F1005" s="1"/>
      <c r="G1005" s="1" t="s">
        <v>35</v>
      </c>
      <c r="H1005" s="2"/>
      <c r="I1005">
        <v>1</v>
      </c>
      <c r="J1005" s="1" t="s">
        <v>234</v>
      </c>
      <c r="K1005" s="1" t="s">
        <v>879</v>
      </c>
      <c r="M1005" s="1" t="s">
        <v>234</v>
      </c>
      <c r="N1005" s="1" t="s">
        <v>235</v>
      </c>
    </row>
    <row r="1006" spans="1:14" x14ac:dyDescent="0.25">
      <c r="A1006" s="1" t="s">
        <v>1100</v>
      </c>
      <c r="B1006" s="1" t="s">
        <v>507</v>
      </c>
      <c r="C1006" s="1" t="s">
        <v>82</v>
      </c>
      <c r="D1006" s="2"/>
      <c r="E1006" s="1" t="s">
        <v>207</v>
      </c>
      <c r="F1006" s="1"/>
      <c r="G1006" s="1" t="s">
        <v>35</v>
      </c>
      <c r="H1006" s="2"/>
      <c r="I1006">
        <v>1</v>
      </c>
      <c r="J1006" s="1" t="s">
        <v>234</v>
      </c>
      <c r="K1006" s="1" t="s">
        <v>879</v>
      </c>
      <c r="M1006" s="1" t="s">
        <v>234</v>
      </c>
      <c r="N1006" s="1" t="s">
        <v>235</v>
      </c>
    </row>
    <row r="1007" spans="1:14" x14ac:dyDescent="0.25">
      <c r="A1007" s="1" t="s">
        <v>1359</v>
      </c>
      <c r="B1007" s="1" t="s">
        <v>1360</v>
      </c>
      <c r="C1007" s="1" t="s">
        <v>80</v>
      </c>
      <c r="D1007" s="2"/>
      <c r="E1007" s="1" t="s">
        <v>207</v>
      </c>
      <c r="F1007" s="1"/>
      <c r="G1007" s="1" t="s">
        <v>35</v>
      </c>
      <c r="H1007" s="2"/>
      <c r="I1007">
        <v>1</v>
      </c>
      <c r="J1007" s="1" t="s">
        <v>234</v>
      </c>
      <c r="K1007" s="1" t="s">
        <v>879</v>
      </c>
      <c r="M1007" s="1" t="s">
        <v>234</v>
      </c>
      <c r="N1007" s="1" t="s">
        <v>235</v>
      </c>
    </row>
    <row r="1008" spans="1:14" x14ac:dyDescent="0.25">
      <c r="A1008" s="1" t="s">
        <v>1361</v>
      </c>
      <c r="B1008" s="1" t="s">
        <v>1360</v>
      </c>
      <c r="C1008" s="1" t="s">
        <v>80</v>
      </c>
      <c r="D1008" s="2"/>
      <c r="E1008" s="1" t="s">
        <v>207</v>
      </c>
      <c r="F1008" s="1"/>
      <c r="G1008" s="1" t="s">
        <v>35</v>
      </c>
      <c r="H1008" s="2"/>
      <c r="I1008">
        <v>1</v>
      </c>
      <c r="J1008" s="1" t="s">
        <v>234</v>
      </c>
      <c r="K1008" s="1" t="s">
        <v>879</v>
      </c>
      <c r="M1008" s="1" t="s">
        <v>234</v>
      </c>
      <c r="N1008" s="1" t="s">
        <v>235</v>
      </c>
    </row>
    <row r="1009" spans="1:14" x14ac:dyDescent="0.25">
      <c r="A1009" s="1" t="s">
        <v>1362</v>
      </c>
      <c r="B1009" s="1" t="s">
        <v>1360</v>
      </c>
      <c r="C1009" s="1" t="s">
        <v>80</v>
      </c>
      <c r="D1009" s="2"/>
      <c r="E1009" s="1" t="s">
        <v>207</v>
      </c>
      <c r="F1009" s="1"/>
      <c r="G1009" s="1" t="s">
        <v>35</v>
      </c>
      <c r="H1009" s="2"/>
      <c r="I1009">
        <v>1</v>
      </c>
      <c r="J1009" s="1" t="s">
        <v>234</v>
      </c>
      <c r="K1009" s="1" t="s">
        <v>879</v>
      </c>
      <c r="M1009" s="1" t="s">
        <v>234</v>
      </c>
      <c r="N1009" s="1" t="s">
        <v>235</v>
      </c>
    </row>
    <row r="1010" spans="1:14" x14ac:dyDescent="0.25">
      <c r="A1010" s="1" t="s">
        <v>1363</v>
      </c>
      <c r="B1010" s="1" t="s">
        <v>1364</v>
      </c>
      <c r="C1010" s="1" t="s">
        <v>82</v>
      </c>
      <c r="D1010" s="2"/>
      <c r="E1010" s="1" t="s">
        <v>207</v>
      </c>
      <c r="F1010" s="1"/>
      <c r="G1010" s="1" t="s">
        <v>35</v>
      </c>
      <c r="H1010" s="2"/>
      <c r="I1010">
        <v>1</v>
      </c>
      <c r="J1010" s="1" t="s">
        <v>234</v>
      </c>
      <c r="K1010" s="1" t="s">
        <v>879</v>
      </c>
      <c r="M1010" s="1" t="s">
        <v>234</v>
      </c>
      <c r="N1010" s="1" t="s">
        <v>235</v>
      </c>
    </row>
    <row r="1011" spans="1:14" x14ac:dyDescent="0.25">
      <c r="A1011" s="1" t="s">
        <v>1365</v>
      </c>
      <c r="B1011" s="1" t="s">
        <v>1364</v>
      </c>
      <c r="C1011" s="1" t="s">
        <v>82</v>
      </c>
      <c r="D1011" s="2"/>
      <c r="E1011" s="1" t="s">
        <v>207</v>
      </c>
      <c r="F1011" s="1"/>
      <c r="G1011" s="1" t="s">
        <v>35</v>
      </c>
      <c r="H1011" s="2"/>
      <c r="I1011">
        <v>1</v>
      </c>
      <c r="J1011" s="1" t="s">
        <v>234</v>
      </c>
      <c r="K1011" s="1" t="s">
        <v>879</v>
      </c>
      <c r="M1011" s="1" t="s">
        <v>234</v>
      </c>
      <c r="N1011" s="1" t="s">
        <v>235</v>
      </c>
    </row>
    <row r="1012" spans="1:14" x14ac:dyDescent="0.25">
      <c r="A1012" s="1" t="s">
        <v>1366</v>
      </c>
      <c r="B1012" s="1" t="s">
        <v>1364</v>
      </c>
      <c r="C1012" s="1" t="s">
        <v>82</v>
      </c>
      <c r="D1012" s="2"/>
      <c r="E1012" s="1" t="s">
        <v>207</v>
      </c>
      <c r="F1012" s="1"/>
      <c r="G1012" s="1" t="s">
        <v>35</v>
      </c>
      <c r="H1012" s="2"/>
      <c r="I1012">
        <v>1</v>
      </c>
      <c r="J1012" s="1" t="s">
        <v>234</v>
      </c>
      <c r="K1012" s="1" t="s">
        <v>879</v>
      </c>
      <c r="M1012" s="1" t="s">
        <v>234</v>
      </c>
      <c r="N1012" s="1" t="s">
        <v>235</v>
      </c>
    </row>
    <row r="1013" spans="1:14" x14ac:dyDescent="0.25">
      <c r="A1013" s="1" t="s">
        <v>1367</v>
      </c>
      <c r="B1013" s="1" t="s">
        <v>1364</v>
      </c>
      <c r="C1013" s="1" t="s">
        <v>82</v>
      </c>
      <c r="D1013" s="2"/>
      <c r="E1013" s="1" t="s">
        <v>207</v>
      </c>
      <c r="F1013" s="1"/>
      <c r="G1013" s="1" t="s">
        <v>35</v>
      </c>
      <c r="H1013" s="2"/>
      <c r="I1013">
        <v>1</v>
      </c>
      <c r="J1013" s="1" t="s">
        <v>234</v>
      </c>
      <c r="K1013" s="1" t="s">
        <v>879</v>
      </c>
      <c r="M1013" s="1" t="s">
        <v>234</v>
      </c>
      <c r="N1013" s="1" t="s">
        <v>235</v>
      </c>
    </row>
    <row r="1014" spans="1:14" x14ac:dyDescent="0.25">
      <c r="A1014" s="1" t="s">
        <v>1368</v>
      </c>
      <c r="B1014" s="1" t="s">
        <v>1364</v>
      </c>
      <c r="C1014" s="1" t="s">
        <v>82</v>
      </c>
      <c r="D1014" s="2"/>
      <c r="E1014" s="1" t="s">
        <v>207</v>
      </c>
      <c r="F1014" s="1"/>
      <c r="G1014" s="1" t="s">
        <v>35</v>
      </c>
      <c r="H1014" s="2"/>
      <c r="I1014">
        <v>1</v>
      </c>
      <c r="J1014" s="1" t="s">
        <v>234</v>
      </c>
      <c r="K1014" s="1" t="s">
        <v>879</v>
      </c>
      <c r="M1014" s="1" t="s">
        <v>234</v>
      </c>
      <c r="N1014" s="1" t="s">
        <v>235</v>
      </c>
    </row>
    <row r="1015" spans="1:14" x14ac:dyDescent="0.25">
      <c r="A1015" s="1" t="s">
        <v>1369</v>
      </c>
      <c r="B1015" s="1" t="s">
        <v>1364</v>
      </c>
      <c r="C1015" s="1" t="s">
        <v>82</v>
      </c>
      <c r="D1015" s="2"/>
      <c r="E1015" s="1" t="s">
        <v>207</v>
      </c>
      <c r="F1015" s="1"/>
      <c r="G1015" s="1" t="s">
        <v>35</v>
      </c>
      <c r="H1015" s="2"/>
      <c r="I1015">
        <v>1</v>
      </c>
      <c r="J1015" s="1" t="s">
        <v>234</v>
      </c>
      <c r="K1015" s="1" t="s">
        <v>879</v>
      </c>
      <c r="M1015" s="1" t="s">
        <v>234</v>
      </c>
      <c r="N1015" s="1" t="s">
        <v>235</v>
      </c>
    </row>
    <row r="1016" spans="1:14" x14ac:dyDescent="0.25">
      <c r="A1016" s="1" t="s">
        <v>1370</v>
      </c>
      <c r="B1016" s="1" t="s">
        <v>1364</v>
      </c>
      <c r="C1016" s="1" t="s">
        <v>82</v>
      </c>
      <c r="D1016" s="2"/>
      <c r="E1016" s="1" t="s">
        <v>207</v>
      </c>
      <c r="F1016" s="1"/>
      <c r="G1016" s="1" t="s">
        <v>35</v>
      </c>
      <c r="H1016" s="2"/>
      <c r="I1016">
        <v>1</v>
      </c>
      <c r="J1016" s="1" t="s">
        <v>234</v>
      </c>
      <c r="K1016" s="1" t="s">
        <v>879</v>
      </c>
      <c r="M1016" s="1" t="s">
        <v>234</v>
      </c>
      <c r="N1016" s="1" t="s">
        <v>235</v>
      </c>
    </row>
    <row r="1017" spans="1:14" x14ac:dyDescent="0.25">
      <c r="A1017" s="1" t="s">
        <v>1371</v>
      </c>
      <c r="B1017" s="1" t="s">
        <v>1364</v>
      </c>
      <c r="C1017" s="1" t="s">
        <v>82</v>
      </c>
      <c r="D1017" s="2"/>
      <c r="E1017" s="1" t="s">
        <v>207</v>
      </c>
      <c r="F1017" s="1"/>
      <c r="G1017" s="1" t="s">
        <v>35</v>
      </c>
      <c r="H1017" s="2"/>
      <c r="I1017">
        <v>1</v>
      </c>
      <c r="J1017" s="1" t="s">
        <v>234</v>
      </c>
      <c r="K1017" s="1" t="s">
        <v>879</v>
      </c>
      <c r="M1017" s="1" t="s">
        <v>234</v>
      </c>
      <c r="N1017" s="1" t="s">
        <v>235</v>
      </c>
    </row>
    <row r="1018" spans="1:14" x14ac:dyDescent="0.25">
      <c r="A1018" s="1" t="s">
        <v>1372</v>
      </c>
      <c r="B1018" s="1" t="s">
        <v>1364</v>
      </c>
      <c r="C1018" s="1" t="s">
        <v>82</v>
      </c>
      <c r="D1018" s="2"/>
      <c r="E1018" s="1" t="s">
        <v>207</v>
      </c>
      <c r="F1018" s="1"/>
      <c r="G1018" s="1" t="s">
        <v>35</v>
      </c>
      <c r="H1018" s="2"/>
      <c r="I1018">
        <v>1</v>
      </c>
      <c r="J1018" s="1" t="s">
        <v>234</v>
      </c>
      <c r="K1018" s="1" t="s">
        <v>879</v>
      </c>
      <c r="M1018" s="1" t="s">
        <v>234</v>
      </c>
      <c r="N1018" s="1" t="s">
        <v>235</v>
      </c>
    </row>
    <row r="1019" spans="1:14" x14ac:dyDescent="0.25">
      <c r="A1019" s="1" t="s">
        <v>1373</v>
      </c>
      <c r="B1019" s="1" t="s">
        <v>1364</v>
      </c>
      <c r="C1019" s="1" t="s">
        <v>82</v>
      </c>
      <c r="D1019" s="2"/>
      <c r="E1019" s="1" t="s">
        <v>207</v>
      </c>
      <c r="F1019" s="1"/>
      <c r="G1019" s="1" t="s">
        <v>35</v>
      </c>
      <c r="H1019" s="2"/>
      <c r="I1019">
        <v>1</v>
      </c>
      <c r="J1019" s="1" t="s">
        <v>234</v>
      </c>
      <c r="K1019" s="1" t="s">
        <v>879</v>
      </c>
      <c r="M1019" s="1" t="s">
        <v>234</v>
      </c>
      <c r="N1019" s="1" t="s">
        <v>235</v>
      </c>
    </row>
    <row r="1020" spans="1:14" x14ac:dyDescent="0.25">
      <c r="A1020" s="1" t="s">
        <v>1374</v>
      </c>
      <c r="B1020" s="1" t="s">
        <v>1364</v>
      </c>
      <c r="C1020" s="1" t="s">
        <v>82</v>
      </c>
      <c r="D1020" s="2"/>
      <c r="E1020" s="1" t="s">
        <v>207</v>
      </c>
      <c r="F1020" s="1"/>
      <c r="G1020" s="1" t="s">
        <v>35</v>
      </c>
      <c r="H1020" s="2"/>
      <c r="I1020">
        <v>1</v>
      </c>
      <c r="J1020" s="1" t="s">
        <v>234</v>
      </c>
      <c r="K1020" s="1" t="s">
        <v>879</v>
      </c>
      <c r="M1020" s="1" t="s">
        <v>234</v>
      </c>
      <c r="N1020" s="1" t="s">
        <v>235</v>
      </c>
    </row>
    <row r="1021" spans="1:14" x14ac:dyDescent="0.25">
      <c r="A1021" s="1" t="s">
        <v>1375</v>
      </c>
      <c r="B1021" s="1" t="s">
        <v>1364</v>
      </c>
      <c r="C1021" s="1" t="s">
        <v>82</v>
      </c>
      <c r="D1021" s="2"/>
      <c r="E1021" s="1" t="s">
        <v>207</v>
      </c>
      <c r="F1021" s="1"/>
      <c r="G1021" s="1" t="s">
        <v>35</v>
      </c>
      <c r="H1021" s="2"/>
      <c r="I1021">
        <v>1</v>
      </c>
      <c r="J1021" s="1" t="s">
        <v>234</v>
      </c>
      <c r="K1021" s="1" t="s">
        <v>879</v>
      </c>
      <c r="M1021" s="1" t="s">
        <v>234</v>
      </c>
      <c r="N1021" s="1" t="s">
        <v>235</v>
      </c>
    </row>
    <row r="1022" spans="1:14" x14ac:dyDescent="0.25">
      <c r="A1022" s="1" t="s">
        <v>1376</v>
      </c>
      <c r="B1022" s="1" t="s">
        <v>1364</v>
      </c>
      <c r="C1022" s="1" t="s">
        <v>82</v>
      </c>
      <c r="D1022" s="2"/>
      <c r="E1022" s="1" t="s">
        <v>207</v>
      </c>
      <c r="F1022" s="1"/>
      <c r="G1022" s="1" t="s">
        <v>35</v>
      </c>
      <c r="H1022" s="2"/>
      <c r="I1022">
        <v>1</v>
      </c>
      <c r="J1022" s="1" t="s">
        <v>234</v>
      </c>
      <c r="K1022" s="1" t="s">
        <v>879</v>
      </c>
      <c r="M1022" s="1" t="s">
        <v>234</v>
      </c>
      <c r="N1022" s="1" t="s">
        <v>235</v>
      </c>
    </row>
    <row r="1023" spans="1:14" x14ac:dyDescent="0.25">
      <c r="A1023" s="1" t="s">
        <v>1377</v>
      </c>
      <c r="B1023" s="1" t="s">
        <v>1364</v>
      </c>
      <c r="C1023" s="1" t="s">
        <v>82</v>
      </c>
      <c r="D1023" s="2"/>
      <c r="E1023" s="1" t="s">
        <v>207</v>
      </c>
      <c r="F1023" s="1"/>
      <c r="G1023" s="1" t="s">
        <v>35</v>
      </c>
      <c r="H1023" s="2"/>
      <c r="I1023">
        <v>1</v>
      </c>
      <c r="J1023" s="1" t="s">
        <v>234</v>
      </c>
      <c r="K1023" s="1" t="s">
        <v>879</v>
      </c>
      <c r="M1023" s="1" t="s">
        <v>234</v>
      </c>
      <c r="N1023" s="1" t="s">
        <v>235</v>
      </c>
    </row>
    <row r="1024" spans="1:14" x14ac:dyDescent="0.25">
      <c r="A1024" s="1" t="s">
        <v>1378</v>
      </c>
      <c r="B1024" s="1" t="s">
        <v>1364</v>
      </c>
      <c r="C1024" s="1" t="s">
        <v>82</v>
      </c>
      <c r="D1024" s="2"/>
      <c r="E1024" s="1" t="s">
        <v>207</v>
      </c>
      <c r="F1024" s="1"/>
      <c r="G1024" s="1" t="s">
        <v>35</v>
      </c>
      <c r="H1024" s="2"/>
      <c r="I1024">
        <v>1</v>
      </c>
      <c r="J1024" s="1" t="s">
        <v>234</v>
      </c>
      <c r="K1024" s="1" t="s">
        <v>879</v>
      </c>
      <c r="M1024" s="1" t="s">
        <v>234</v>
      </c>
      <c r="N1024" s="1" t="s">
        <v>235</v>
      </c>
    </row>
    <row r="1025" spans="1:14" x14ac:dyDescent="0.25">
      <c r="A1025" s="1" t="s">
        <v>1379</v>
      </c>
      <c r="B1025" s="1" t="s">
        <v>1364</v>
      </c>
      <c r="C1025" s="1" t="s">
        <v>82</v>
      </c>
      <c r="D1025" s="2"/>
      <c r="E1025" s="1" t="s">
        <v>207</v>
      </c>
      <c r="F1025" s="1"/>
      <c r="G1025" s="1" t="s">
        <v>35</v>
      </c>
      <c r="H1025" s="2"/>
      <c r="I1025">
        <v>1</v>
      </c>
      <c r="J1025" s="1" t="s">
        <v>234</v>
      </c>
      <c r="K1025" s="1" t="s">
        <v>879</v>
      </c>
      <c r="M1025" s="1" t="s">
        <v>234</v>
      </c>
      <c r="N1025" s="1" t="s">
        <v>235</v>
      </c>
    </row>
    <row r="1026" spans="1:14" x14ac:dyDescent="0.25">
      <c r="A1026" s="1" t="s">
        <v>1380</v>
      </c>
      <c r="B1026" s="1" t="s">
        <v>1364</v>
      </c>
      <c r="C1026" s="1" t="s">
        <v>82</v>
      </c>
      <c r="D1026" s="2"/>
      <c r="E1026" s="1" t="s">
        <v>207</v>
      </c>
      <c r="F1026" s="1"/>
      <c r="G1026" s="1" t="s">
        <v>35</v>
      </c>
      <c r="H1026" s="2"/>
      <c r="I1026">
        <v>1</v>
      </c>
      <c r="J1026" s="1" t="s">
        <v>234</v>
      </c>
      <c r="K1026" s="1" t="s">
        <v>879</v>
      </c>
      <c r="M1026" s="1" t="s">
        <v>234</v>
      </c>
      <c r="N1026" s="1" t="s">
        <v>235</v>
      </c>
    </row>
    <row r="1027" spans="1:14" x14ac:dyDescent="0.25">
      <c r="A1027" s="1" t="s">
        <v>1381</v>
      </c>
      <c r="B1027" s="1" t="s">
        <v>1364</v>
      </c>
      <c r="C1027" s="1" t="s">
        <v>82</v>
      </c>
      <c r="D1027" s="2"/>
      <c r="E1027" s="1" t="s">
        <v>207</v>
      </c>
      <c r="F1027" s="1"/>
      <c r="G1027" s="1" t="s">
        <v>35</v>
      </c>
      <c r="H1027" s="2"/>
      <c r="I1027">
        <v>1</v>
      </c>
      <c r="J1027" s="1" t="s">
        <v>234</v>
      </c>
      <c r="K1027" s="1" t="s">
        <v>879</v>
      </c>
      <c r="M1027" s="1" t="s">
        <v>234</v>
      </c>
      <c r="N1027" s="1" t="s">
        <v>235</v>
      </c>
    </row>
    <row r="1028" spans="1:14" x14ac:dyDescent="0.25">
      <c r="A1028" s="1" t="s">
        <v>1382</v>
      </c>
      <c r="B1028" s="1" t="s">
        <v>1364</v>
      </c>
      <c r="C1028" s="1" t="s">
        <v>82</v>
      </c>
      <c r="D1028" s="2"/>
      <c r="E1028" s="1" t="s">
        <v>207</v>
      </c>
      <c r="F1028" s="1"/>
      <c r="G1028" s="1" t="s">
        <v>35</v>
      </c>
      <c r="H1028" s="2"/>
      <c r="I1028">
        <v>1</v>
      </c>
      <c r="J1028" s="1" t="s">
        <v>234</v>
      </c>
      <c r="K1028" s="1" t="s">
        <v>879</v>
      </c>
      <c r="M1028" s="1" t="s">
        <v>234</v>
      </c>
      <c r="N1028" s="1" t="s">
        <v>235</v>
      </c>
    </row>
    <row r="1029" spans="1:14" x14ac:dyDescent="0.25">
      <c r="A1029" s="1" t="s">
        <v>1383</v>
      </c>
      <c r="B1029" s="1" t="s">
        <v>1364</v>
      </c>
      <c r="C1029" s="1" t="s">
        <v>82</v>
      </c>
      <c r="D1029" s="2"/>
      <c r="E1029" s="1" t="s">
        <v>207</v>
      </c>
      <c r="F1029" s="1"/>
      <c r="G1029" s="1" t="s">
        <v>35</v>
      </c>
      <c r="H1029" s="2"/>
      <c r="I1029">
        <v>1</v>
      </c>
      <c r="J1029" s="1" t="s">
        <v>234</v>
      </c>
      <c r="K1029" s="1" t="s">
        <v>879</v>
      </c>
      <c r="M1029" s="1" t="s">
        <v>234</v>
      </c>
      <c r="N1029" s="1" t="s">
        <v>235</v>
      </c>
    </row>
    <row r="1030" spans="1:14" x14ac:dyDescent="0.25">
      <c r="A1030" s="1" t="s">
        <v>1384</v>
      </c>
      <c r="B1030" s="1" t="s">
        <v>1364</v>
      </c>
      <c r="C1030" s="1" t="s">
        <v>82</v>
      </c>
      <c r="D1030" s="2"/>
      <c r="E1030" s="1" t="s">
        <v>207</v>
      </c>
      <c r="F1030" s="1"/>
      <c r="G1030" s="1" t="s">
        <v>35</v>
      </c>
      <c r="H1030" s="2"/>
      <c r="I1030">
        <v>1</v>
      </c>
      <c r="J1030" s="1" t="s">
        <v>234</v>
      </c>
      <c r="K1030" s="1" t="s">
        <v>879</v>
      </c>
      <c r="M1030" s="1" t="s">
        <v>234</v>
      </c>
      <c r="N1030" s="1" t="s">
        <v>235</v>
      </c>
    </row>
    <row r="1031" spans="1:14" x14ac:dyDescent="0.25">
      <c r="A1031" s="1" t="s">
        <v>1385</v>
      </c>
      <c r="B1031" s="1" t="s">
        <v>1364</v>
      </c>
      <c r="C1031" s="1" t="s">
        <v>82</v>
      </c>
      <c r="D1031" s="2"/>
      <c r="E1031" s="1" t="s">
        <v>207</v>
      </c>
      <c r="F1031" s="1"/>
      <c r="G1031" s="1" t="s">
        <v>35</v>
      </c>
      <c r="H1031" s="2"/>
      <c r="I1031">
        <v>1</v>
      </c>
      <c r="J1031" s="1" t="s">
        <v>234</v>
      </c>
      <c r="K1031" s="1" t="s">
        <v>879</v>
      </c>
      <c r="M1031" s="1" t="s">
        <v>234</v>
      </c>
      <c r="N1031" s="1" t="s">
        <v>235</v>
      </c>
    </row>
    <row r="1032" spans="1:14" x14ac:dyDescent="0.25">
      <c r="A1032" s="1" t="s">
        <v>1386</v>
      </c>
      <c r="B1032" s="1" t="s">
        <v>1364</v>
      </c>
      <c r="C1032" s="1" t="s">
        <v>82</v>
      </c>
      <c r="D1032" s="2"/>
      <c r="E1032" s="1" t="s">
        <v>207</v>
      </c>
      <c r="F1032" s="1"/>
      <c r="G1032" s="1" t="s">
        <v>35</v>
      </c>
      <c r="H1032" s="2"/>
      <c r="I1032">
        <v>1</v>
      </c>
      <c r="J1032" s="1" t="s">
        <v>234</v>
      </c>
      <c r="K1032" s="1" t="s">
        <v>879</v>
      </c>
      <c r="M1032" s="1" t="s">
        <v>234</v>
      </c>
      <c r="N1032" s="1" t="s">
        <v>235</v>
      </c>
    </row>
    <row r="1033" spans="1:14" x14ac:dyDescent="0.25">
      <c r="A1033" s="1" t="s">
        <v>1387</v>
      </c>
      <c r="B1033" s="1" t="s">
        <v>1364</v>
      </c>
      <c r="C1033" s="1" t="s">
        <v>82</v>
      </c>
      <c r="D1033" s="2"/>
      <c r="E1033" s="1" t="s">
        <v>207</v>
      </c>
      <c r="F1033" s="1"/>
      <c r="G1033" s="1" t="s">
        <v>35</v>
      </c>
      <c r="H1033" s="2"/>
      <c r="I1033">
        <v>1</v>
      </c>
      <c r="J1033" s="1" t="s">
        <v>234</v>
      </c>
      <c r="K1033" s="1" t="s">
        <v>879</v>
      </c>
      <c r="M1033" s="1" t="s">
        <v>234</v>
      </c>
      <c r="N1033" s="1" t="s">
        <v>235</v>
      </c>
    </row>
    <row r="1034" spans="1:14" x14ac:dyDescent="0.25">
      <c r="A1034" s="1" t="s">
        <v>1388</v>
      </c>
      <c r="B1034" s="1" t="s">
        <v>1364</v>
      </c>
      <c r="C1034" s="1" t="s">
        <v>82</v>
      </c>
      <c r="D1034" s="2"/>
      <c r="E1034" s="1" t="s">
        <v>207</v>
      </c>
      <c r="F1034" s="1"/>
      <c r="G1034" s="1" t="s">
        <v>35</v>
      </c>
      <c r="H1034" s="2"/>
      <c r="I1034">
        <v>1</v>
      </c>
      <c r="J1034" s="1" t="s">
        <v>234</v>
      </c>
      <c r="K1034" s="1" t="s">
        <v>879</v>
      </c>
      <c r="M1034" s="1" t="s">
        <v>234</v>
      </c>
      <c r="N1034" s="1" t="s">
        <v>235</v>
      </c>
    </row>
    <row r="1035" spans="1:14" x14ac:dyDescent="0.25">
      <c r="A1035" s="1" t="s">
        <v>1389</v>
      </c>
      <c r="B1035" s="1" t="s">
        <v>1364</v>
      </c>
      <c r="C1035" s="1" t="s">
        <v>82</v>
      </c>
      <c r="D1035" s="2"/>
      <c r="E1035" s="1" t="s">
        <v>207</v>
      </c>
      <c r="F1035" s="1"/>
      <c r="G1035" s="1" t="s">
        <v>35</v>
      </c>
      <c r="H1035" s="2"/>
      <c r="I1035">
        <v>1</v>
      </c>
      <c r="J1035" s="1" t="s">
        <v>234</v>
      </c>
      <c r="K1035" s="1" t="s">
        <v>879</v>
      </c>
      <c r="M1035" s="1" t="s">
        <v>234</v>
      </c>
      <c r="N1035" s="1" t="s">
        <v>235</v>
      </c>
    </row>
    <row r="1036" spans="1:14" x14ac:dyDescent="0.25">
      <c r="A1036" s="1" t="s">
        <v>1390</v>
      </c>
      <c r="B1036" s="1" t="s">
        <v>1364</v>
      </c>
      <c r="C1036" s="1" t="s">
        <v>82</v>
      </c>
      <c r="D1036" s="2"/>
      <c r="E1036" s="1" t="s">
        <v>207</v>
      </c>
      <c r="F1036" s="1"/>
      <c r="G1036" s="1" t="s">
        <v>35</v>
      </c>
      <c r="H1036" s="2"/>
      <c r="I1036">
        <v>1</v>
      </c>
      <c r="J1036" s="1" t="s">
        <v>234</v>
      </c>
      <c r="K1036" s="1" t="s">
        <v>879</v>
      </c>
      <c r="M1036" s="1" t="s">
        <v>234</v>
      </c>
      <c r="N1036" s="1" t="s">
        <v>235</v>
      </c>
    </row>
    <row r="1037" spans="1:14" x14ac:dyDescent="0.25">
      <c r="A1037" s="1" t="s">
        <v>1391</v>
      </c>
      <c r="B1037" s="1" t="s">
        <v>1364</v>
      </c>
      <c r="C1037" s="1" t="s">
        <v>82</v>
      </c>
      <c r="D1037" s="2"/>
      <c r="E1037" s="1" t="s">
        <v>207</v>
      </c>
      <c r="F1037" s="1"/>
      <c r="G1037" s="1" t="s">
        <v>35</v>
      </c>
      <c r="H1037" s="2"/>
      <c r="I1037">
        <v>1</v>
      </c>
      <c r="J1037" s="1" t="s">
        <v>234</v>
      </c>
      <c r="K1037" s="1" t="s">
        <v>879</v>
      </c>
      <c r="M1037" s="1" t="s">
        <v>234</v>
      </c>
      <c r="N1037" s="1" t="s">
        <v>235</v>
      </c>
    </row>
    <row r="1038" spans="1:14" x14ac:dyDescent="0.25">
      <c r="A1038" s="1" t="s">
        <v>1392</v>
      </c>
      <c r="B1038" s="1" t="s">
        <v>1364</v>
      </c>
      <c r="C1038" s="1" t="s">
        <v>82</v>
      </c>
      <c r="D1038" s="2"/>
      <c r="E1038" s="1" t="s">
        <v>207</v>
      </c>
      <c r="F1038" s="1"/>
      <c r="G1038" s="1" t="s">
        <v>35</v>
      </c>
      <c r="H1038" s="2"/>
      <c r="I1038">
        <v>1</v>
      </c>
      <c r="J1038" s="1" t="s">
        <v>234</v>
      </c>
      <c r="K1038" s="1" t="s">
        <v>879</v>
      </c>
      <c r="M1038" s="1" t="s">
        <v>234</v>
      </c>
      <c r="N1038" s="1" t="s">
        <v>235</v>
      </c>
    </row>
    <row r="1039" spans="1:14" x14ac:dyDescent="0.25">
      <c r="A1039" s="1" t="s">
        <v>1393</v>
      </c>
      <c r="B1039" s="1" t="s">
        <v>1364</v>
      </c>
      <c r="C1039" s="1" t="s">
        <v>82</v>
      </c>
      <c r="D1039" s="2"/>
      <c r="E1039" s="1" t="s">
        <v>207</v>
      </c>
      <c r="F1039" s="1"/>
      <c r="G1039" s="1" t="s">
        <v>35</v>
      </c>
      <c r="H1039" s="2"/>
      <c r="I1039">
        <v>1</v>
      </c>
      <c r="J1039" s="1" t="s">
        <v>234</v>
      </c>
      <c r="K1039" s="1" t="s">
        <v>879</v>
      </c>
      <c r="M1039" s="1" t="s">
        <v>234</v>
      </c>
      <c r="N1039" s="1" t="s">
        <v>235</v>
      </c>
    </row>
    <row r="1040" spans="1:14" x14ac:dyDescent="0.25">
      <c r="A1040" s="1" t="s">
        <v>1394</v>
      </c>
      <c r="B1040" s="1" t="s">
        <v>1364</v>
      </c>
      <c r="C1040" s="1" t="s">
        <v>82</v>
      </c>
      <c r="D1040" s="2"/>
      <c r="E1040" s="1" t="s">
        <v>207</v>
      </c>
      <c r="F1040" s="1"/>
      <c r="G1040" s="1" t="s">
        <v>35</v>
      </c>
      <c r="H1040" s="2"/>
      <c r="I1040">
        <v>1</v>
      </c>
      <c r="J1040" s="1" t="s">
        <v>234</v>
      </c>
      <c r="K1040" s="1" t="s">
        <v>879</v>
      </c>
      <c r="M1040" s="1" t="s">
        <v>234</v>
      </c>
      <c r="N1040" s="1" t="s">
        <v>235</v>
      </c>
    </row>
    <row r="1041" spans="1:14" x14ac:dyDescent="0.25">
      <c r="A1041" s="1" t="s">
        <v>1395</v>
      </c>
      <c r="B1041" s="1" t="s">
        <v>1364</v>
      </c>
      <c r="C1041" s="1" t="s">
        <v>82</v>
      </c>
      <c r="D1041" s="2"/>
      <c r="E1041" s="1" t="s">
        <v>207</v>
      </c>
      <c r="F1041" s="1"/>
      <c r="G1041" s="1" t="s">
        <v>35</v>
      </c>
      <c r="H1041" s="2"/>
      <c r="I1041">
        <v>1</v>
      </c>
      <c r="J1041" s="1" t="s">
        <v>234</v>
      </c>
      <c r="K1041" s="1" t="s">
        <v>879</v>
      </c>
      <c r="M1041" s="1" t="s">
        <v>234</v>
      </c>
      <c r="N1041" s="1" t="s">
        <v>235</v>
      </c>
    </row>
    <row r="1042" spans="1:14" x14ac:dyDescent="0.25">
      <c r="A1042" s="1" t="s">
        <v>1396</v>
      </c>
      <c r="B1042" s="1" t="s">
        <v>1364</v>
      </c>
      <c r="C1042" s="1" t="s">
        <v>82</v>
      </c>
      <c r="D1042" s="2"/>
      <c r="E1042" s="1" t="s">
        <v>207</v>
      </c>
      <c r="F1042" s="1"/>
      <c r="G1042" s="1" t="s">
        <v>35</v>
      </c>
      <c r="H1042" s="2"/>
      <c r="I1042">
        <v>1</v>
      </c>
      <c r="J1042" s="1" t="s">
        <v>234</v>
      </c>
      <c r="K1042" s="1" t="s">
        <v>879</v>
      </c>
      <c r="M1042" s="1" t="s">
        <v>234</v>
      </c>
      <c r="N1042" s="1" t="s">
        <v>235</v>
      </c>
    </row>
    <row r="1043" spans="1:14" x14ac:dyDescent="0.25">
      <c r="A1043" s="1" t="s">
        <v>1397</v>
      </c>
      <c r="B1043" s="1" t="s">
        <v>1364</v>
      </c>
      <c r="C1043" s="1" t="s">
        <v>82</v>
      </c>
      <c r="D1043" s="2"/>
      <c r="E1043" s="1" t="s">
        <v>207</v>
      </c>
      <c r="F1043" s="1"/>
      <c r="G1043" s="1" t="s">
        <v>35</v>
      </c>
      <c r="H1043" s="2"/>
      <c r="I1043">
        <v>1</v>
      </c>
      <c r="J1043" s="1" t="s">
        <v>234</v>
      </c>
      <c r="K1043" s="1" t="s">
        <v>879</v>
      </c>
      <c r="M1043" s="1" t="s">
        <v>234</v>
      </c>
      <c r="N1043" s="1" t="s">
        <v>235</v>
      </c>
    </row>
    <row r="1044" spans="1:14" x14ac:dyDescent="0.25">
      <c r="A1044" s="1" t="s">
        <v>1398</v>
      </c>
      <c r="B1044" s="1" t="s">
        <v>1364</v>
      </c>
      <c r="C1044" s="1" t="s">
        <v>82</v>
      </c>
      <c r="D1044" s="2"/>
      <c r="E1044" s="1" t="s">
        <v>207</v>
      </c>
      <c r="F1044" s="1"/>
      <c r="G1044" s="1" t="s">
        <v>35</v>
      </c>
      <c r="H1044" s="2"/>
      <c r="I1044">
        <v>1</v>
      </c>
      <c r="J1044" s="1" t="s">
        <v>234</v>
      </c>
      <c r="K1044" s="1" t="s">
        <v>879</v>
      </c>
      <c r="M1044" s="1" t="s">
        <v>234</v>
      </c>
      <c r="N1044" s="1" t="s">
        <v>235</v>
      </c>
    </row>
    <row r="1045" spans="1:14" x14ac:dyDescent="0.25">
      <c r="A1045" s="1" t="s">
        <v>1399</v>
      </c>
      <c r="B1045" s="1" t="s">
        <v>1364</v>
      </c>
      <c r="C1045" s="1" t="s">
        <v>82</v>
      </c>
      <c r="D1045" s="2"/>
      <c r="E1045" s="1" t="s">
        <v>207</v>
      </c>
      <c r="F1045" s="1"/>
      <c r="G1045" s="1" t="s">
        <v>35</v>
      </c>
      <c r="H1045" s="2"/>
      <c r="I1045">
        <v>1</v>
      </c>
      <c r="J1045" s="1" t="s">
        <v>234</v>
      </c>
      <c r="K1045" s="1" t="s">
        <v>879</v>
      </c>
      <c r="M1045" s="1" t="s">
        <v>234</v>
      </c>
      <c r="N1045" s="1" t="s">
        <v>235</v>
      </c>
    </row>
    <row r="1046" spans="1:14" x14ac:dyDescent="0.25">
      <c r="A1046" s="1" t="s">
        <v>1400</v>
      </c>
      <c r="B1046" s="1" t="s">
        <v>1364</v>
      </c>
      <c r="C1046" s="1" t="s">
        <v>82</v>
      </c>
      <c r="D1046" s="2"/>
      <c r="E1046" s="1" t="s">
        <v>207</v>
      </c>
      <c r="F1046" s="1"/>
      <c r="G1046" s="1" t="s">
        <v>35</v>
      </c>
      <c r="H1046" s="2"/>
      <c r="I1046">
        <v>1</v>
      </c>
      <c r="J1046" s="1" t="s">
        <v>234</v>
      </c>
      <c r="K1046" s="1" t="s">
        <v>879</v>
      </c>
      <c r="M1046" s="1" t="s">
        <v>234</v>
      </c>
      <c r="N1046" s="1" t="s">
        <v>235</v>
      </c>
    </row>
    <row r="1047" spans="1:14" x14ac:dyDescent="0.25">
      <c r="A1047" s="1" t="s">
        <v>1401</v>
      </c>
      <c r="B1047" s="1" t="s">
        <v>1364</v>
      </c>
      <c r="C1047" s="1" t="s">
        <v>82</v>
      </c>
      <c r="D1047" s="2"/>
      <c r="E1047" s="1" t="s">
        <v>207</v>
      </c>
      <c r="F1047" s="1"/>
      <c r="G1047" s="1" t="s">
        <v>35</v>
      </c>
      <c r="H1047" s="2"/>
      <c r="I1047">
        <v>1</v>
      </c>
      <c r="J1047" s="1" t="s">
        <v>234</v>
      </c>
      <c r="K1047" s="1" t="s">
        <v>879</v>
      </c>
      <c r="M1047" s="1" t="s">
        <v>234</v>
      </c>
      <c r="N1047" s="1" t="s">
        <v>235</v>
      </c>
    </row>
    <row r="1048" spans="1:14" x14ac:dyDescent="0.25">
      <c r="A1048" s="1" t="s">
        <v>1402</v>
      </c>
      <c r="B1048" s="1" t="s">
        <v>1364</v>
      </c>
      <c r="C1048" s="1" t="s">
        <v>82</v>
      </c>
      <c r="D1048" s="2"/>
      <c r="E1048" s="1" t="s">
        <v>207</v>
      </c>
      <c r="F1048" s="1"/>
      <c r="G1048" s="1" t="s">
        <v>35</v>
      </c>
      <c r="H1048" s="2"/>
      <c r="I1048">
        <v>1</v>
      </c>
      <c r="J1048" s="1" t="s">
        <v>234</v>
      </c>
      <c r="K1048" s="1" t="s">
        <v>879</v>
      </c>
      <c r="M1048" s="1" t="s">
        <v>234</v>
      </c>
      <c r="N1048" s="1" t="s">
        <v>235</v>
      </c>
    </row>
    <row r="1049" spans="1:14" x14ac:dyDescent="0.25">
      <c r="A1049" s="1" t="s">
        <v>1403</v>
      </c>
      <c r="B1049" s="1" t="s">
        <v>1364</v>
      </c>
      <c r="C1049" s="1" t="s">
        <v>82</v>
      </c>
      <c r="D1049" s="2"/>
      <c r="E1049" s="1" t="s">
        <v>207</v>
      </c>
      <c r="F1049" s="1"/>
      <c r="G1049" s="1" t="s">
        <v>35</v>
      </c>
      <c r="H1049" s="2"/>
      <c r="I1049">
        <v>1</v>
      </c>
      <c r="J1049" s="1" t="s">
        <v>234</v>
      </c>
      <c r="K1049" s="1" t="s">
        <v>879</v>
      </c>
      <c r="M1049" s="1" t="s">
        <v>234</v>
      </c>
      <c r="N1049" s="1" t="s">
        <v>235</v>
      </c>
    </row>
    <row r="1050" spans="1:14" x14ac:dyDescent="0.25">
      <c r="A1050" s="1" t="s">
        <v>1404</v>
      </c>
      <c r="B1050" s="1" t="s">
        <v>1364</v>
      </c>
      <c r="C1050" s="1" t="s">
        <v>82</v>
      </c>
      <c r="D1050" s="2"/>
      <c r="E1050" s="1" t="s">
        <v>207</v>
      </c>
      <c r="F1050" s="1"/>
      <c r="G1050" s="1" t="s">
        <v>35</v>
      </c>
      <c r="H1050" s="2"/>
      <c r="I1050">
        <v>1</v>
      </c>
      <c r="J1050" s="1" t="s">
        <v>234</v>
      </c>
      <c r="K1050" s="1" t="s">
        <v>879</v>
      </c>
      <c r="M1050" s="1" t="s">
        <v>234</v>
      </c>
      <c r="N1050" s="1" t="s">
        <v>235</v>
      </c>
    </row>
    <row r="1051" spans="1:14" x14ac:dyDescent="0.25">
      <c r="A1051" s="1" t="s">
        <v>1405</v>
      </c>
      <c r="B1051" s="1" t="s">
        <v>1364</v>
      </c>
      <c r="C1051" s="1" t="s">
        <v>82</v>
      </c>
      <c r="D1051" s="2"/>
      <c r="E1051" s="1" t="s">
        <v>207</v>
      </c>
      <c r="F1051" s="1"/>
      <c r="G1051" s="1" t="s">
        <v>35</v>
      </c>
      <c r="H1051" s="2"/>
      <c r="I1051">
        <v>1</v>
      </c>
      <c r="J1051" s="1" t="s">
        <v>234</v>
      </c>
      <c r="K1051" s="1" t="s">
        <v>879</v>
      </c>
      <c r="M1051" s="1" t="s">
        <v>234</v>
      </c>
      <c r="N1051" s="1" t="s">
        <v>235</v>
      </c>
    </row>
    <row r="1052" spans="1:14" x14ac:dyDescent="0.25">
      <c r="A1052" s="1" t="s">
        <v>1406</v>
      </c>
      <c r="B1052" s="1" t="s">
        <v>1364</v>
      </c>
      <c r="C1052" s="1" t="s">
        <v>82</v>
      </c>
      <c r="D1052" s="2"/>
      <c r="E1052" s="1" t="s">
        <v>207</v>
      </c>
      <c r="F1052" s="1"/>
      <c r="G1052" s="1" t="s">
        <v>35</v>
      </c>
      <c r="H1052" s="2"/>
      <c r="I1052">
        <v>1</v>
      </c>
      <c r="J1052" s="1" t="s">
        <v>234</v>
      </c>
      <c r="K1052" s="1" t="s">
        <v>879</v>
      </c>
      <c r="M1052" s="1" t="s">
        <v>234</v>
      </c>
      <c r="N1052" s="1" t="s">
        <v>235</v>
      </c>
    </row>
    <row r="1053" spans="1:14" x14ac:dyDescent="0.25">
      <c r="A1053" s="1" t="s">
        <v>1407</v>
      </c>
      <c r="B1053" s="1" t="s">
        <v>1364</v>
      </c>
      <c r="C1053" s="1" t="s">
        <v>82</v>
      </c>
      <c r="D1053" s="2"/>
      <c r="E1053" s="1" t="s">
        <v>207</v>
      </c>
      <c r="F1053" s="1"/>
      <c r="G1053" s="1" t="s">
        <v>35</v>
      </c>
      <c r="H1053" s="2"/>
      <c r="I1053">
        <v>1</v>
      </c>
      <c r="J1053" s="1" t="s">
        <v>234</v>
      </c>
      <c r="K1053" s="1" t="s">
        <v>879</v>
      </c>
      <c r="M1053" s="1" t="s">
        <v>234</v>
      </c>
      <c r="N1053" s="1" t="s">
        <v>235</v>
      </c>
    </row>
    <row r="1054" spans="1:14" x14ac:dyDescent="0.25">
      <c r="A1054" s="1" t="s">
        <v>1408</v>
      </c>
      <c r="B1054" s="1" t="s">
        <v>1364</v>
      </c>
      <c r="C1054" s="1" t="s">
        <v>82</v>
      </c>
      <c r="D1054" s="2"/>
      <c r="E1054" s="1" t="s">
        <v>207</v>
      </c>
      <c r="F1054" s="1"/>
      <c r="G1054" s="1" t="s">
        <v>35</v>
      </c>
      <c r="H1054" s="2"/>
      <c r="I1054">
        <v>1</v>
      </c>
      <c r="J1054" s="1" t="s">
        <v>234</v>
      </c>
      <c r="K1054" s="1" t="s">
        <v>879</v>
      </c>
      <c r="M1054" s="1" t="s">
        <v>234</v>
      </c>
      <c r="N1054" s="1" t="s">
        <v>235</v>
      </c>
    </row>
    <row r="1055" spans="1:14" x14ac:dyDescent="0.25">
      <c r="A1055" s="1" t="s">
        <v>1409</v>
      </c>
      <c r="B1055" s="1" t="s">
        <v>1364</v>
      </c>
      <c r="C1055" s="1" t="s">
        <v>82</v>
      </c>
      <c r="D1055" s="2"/>
      <c r="E1055" s="1" t="s">
        <v>207</v>
      </c>
      <c r="F1055" s="1"/>
      <c r="G1055" s="1" t="s">
        <v>35</v>
      </c>
      <c r="H1055" s="2"/>
      <c r="I1055">
        <v>1</v>
      </c>
      <c r="J1055" s="1" t="s">
        <v>234</v>
      </c>
      <c r="K1055" s="1" t="s">
        <v>879</v>
      </c>
      <c r="M1055" s="1" t="s">
        <v>234</v>
      </c>
      <c r="N1055" s="1" t="s">
        <v>235</v>
      </c>
    </row>
    <row r="1056" spans="1:14" x14ac:dyDescent="0.25">
      <c r="A1056" s="1" t="s">
        <v>1410</v>
      </c>
      <c r="B1056" s="1" t="s">
        <v>1364</v>
      </c>
      <c r="C1056" s="1" t="s">
        <v>82</v>
      </c>
      <c r="D1056" s="2"/>
      <c r="E1056" s="1" t="s">
        <v>207</v>
      </c>
      <c r="F1056" s="1"/>
      <c r="G1056" s="1" t="s">
        <v>35</v>
      </c>
      <c r="H1056" s="2"/>
      <c r="I1056">
        <v>1</v>
      </c>
      <c r="J1056" s="1" t="s">
        <v>234</v>
      </c>
      <c r="K1056" s="1" t="s">
        <v>879</v>
      </c>
      <c r="M1056" s="1" t="s">
        <v>234</v>
      </c>
      <c r="N1056" s="1" t="s">
        <v>235</v>
      </c>
    </row>
    <row r="1057" spans="1:14" x14ac:dyDescent="0.25">
      <c r="A1057" s="1" t="s">
        <v>1411</v>
      </c>
      <c r="B1057" s="1" t="s">
        <v>1364</v>
      </c>
      <c r="C1057" s="1" t="s">
        <v>82</v>
      </c>
      <c r="D1057" s="2"/>
      <c r="E1057" s="1" t="s">
        <v>207</v>
      </c>
      <c r="F1057" s="1"/>
      <c r="G1057" s="1" t="s">
        <v>35</v>
      </c>
      <c r="H1057" s="2"/>
      <c r="I1057">
        <v>1</v>
      </c>
      <c r="J1057" s="1" t="s">
        <v>234</v>
      </c>
      <c r="K1057" s="1" t="s">
        <v>879</v>
      </c>
      <c r="M1057" s="1" t="s">
        <v>234</v>
      </c>
      <c r="N1057" s="1" t="s">
        <v>235</v>
      </c>
    </row>
    <row r="1058" spans="1:14" x14ac:dyDescent="0.25">
      <c r="A1058" s="1" t="s">
        <v>1412</v>
      </c>
      <c r="B1058" s="1" t="s">
        <v>1364</v>
      </c>
      <c r="C1058" s="1" t="s">
        <v>82</v>
      </c>
      <c r="D1058" s="2"/>
      <c r="E1058" s="1" t="s">
        <v>207</v>
      </c>
      <c r="F1058" s="1"/>
      <c r="G1058" s="1" t="s">
        <v>35</v>
      </c>
      <c r="H1058" s="2"/>
      <c r="I1058">
        <v>1</v>
      </c>
      <c r="J1058" s="1" t="s">
        <v>234</v>
      </c>
      <c r="K1058" s="1" t="s">
        <v>879</v>
      </c>
      <c r="M1058" s="1" t="s">
        <v>234</v>
      </c>
      <c r="N1058" s="1" t="s">
        <v>235</v>
      </c>
    </row>
    <row r="1059" spans="1:14" x14ac:dyDescent="0.25">
      <c r="A1059" s="1" t="s">
        <v>1413</v>
      </c>
      <c r="B1059" s="1" t="s">
        <v>1364</v>
      </c>
      <c r="C1059" s="1" t="s">
        <v>82</v>
      </c>
      <c r="D1059" s="2"/>
      <c r="E1059" s="1" t="s">
        <v>207</v>
      </c>
      <c r="F1059" s="1"/>
      <c r="G1059" s="1" t="s">
        <v>35</v>
      </c>
      <c r="H1059" s="2"/>
      <c r="I1059">
        <v>1</v>
      </c>
      <c r="J1059" s="1" t="s">
        <v>234</v>
      </c>
      <c r="K1059" s="1" t="s">
        <v>879</v>
      </c>
      <c r="M1059" s="1" t="s">
        <v>234</v>
      </c>
      <c r="N1059" s="1" t="s">
        <v>235</v>
      </c>
    </row>
    <row r="1060" spans="1:14" x14ac:dyDescent="0.25">
      <c r="A1060" s="1" t="s">
        <v>1414</v>
      </c>
      <c r="B1060" s="1" t="s">
        <v>1364</v>
      </c>
      <c r="C1060" s="1" t="s">
        <v>82</v>
      </c>
      <c r="D1060" s="2"/>
      <c r="E1060" s="1" t="s">
        <v>207</v>
      </c>
      <c r="F1060" s="1"/>
      <c r="G1060" s="1" t="s">
        <v>35</v>
      </c>
      <c r="H1060" s="2"/>
      <c r="I1060">
        <v>1</v>
      </c>
      <c r="J1060" s="1" t="s">
        <v>234</v>
      </c>
      <c r="K1060" s="1" t="s">
        <v>879</v>
      </c>
      <c r="M1060" s="1" t="s">
        <v>234</v>
      </c>
      <c r="N1060" s="1" t="s">
        <v>235</v>
      </c>
    </row>
    <row r="1061" spans="1:14" x14ac:dyDescent="0.25">
      <c r="A1061" s="1" t="s">
        <v>1415</v>
      </c>
      <c r="B1061" s="1" t="s">
        <v>1364</v>
      </c>
      <c r="C1061" s="1" t="s">
        <v>82</v>
      </c>
      <c r="D1061" s="2"/>
      <c r="E1061" s="1" t="s">
        <v>207</v>
      </c>
      <c r="F1061" s="1"/>
      <c r="G1061" s="1" t="s">
        <v>35</v>
      </c>
      <c r="H1061" s="2"/>
      <c r="I1061">
        <v>1</v>
      </c>
      <c r="J1061" s="1" t="s">
        <v>234</v>
      </c>
      <c r="K1061" s="1" t="s">
        <v>879</v>
      </c>
      <c r="M1061" s="1" t="s">
        <v>234</v>
      </c>
      <c r="N1061" s="1" t="s">
        <v>235</v>
      </c>
    </row>
    <row r="1062" spans="1:14" x14ac:dyDescent="0.25">
      <c r="A1062" s="1" t="s">
        <v>1416</v>
      </c>
      <c r="B1062" s="1" t="s">
        <v>1364</v>
      </c>
      <c r="C1062" s="1" t="s">
        <v>82</v>
      </c>
      <c r="D1062" s="2"/>
      <c r="E1062" s="1" t="s">
        <v>207</v>
      </c>
      <c r="F1062" s="1"/>
      <c r="G1062" s="1" t="s">
        <v>35</v>
      </c>
      <c r="H1062" s="2"/>
      <c r="I1062">
        <v>1</v>
      </c>
      <c r="J1062" s="1" t="s">
        <v>234</v>
      </c>
      <c r="K1062" s="1" t="s">
        <v>879</v>
      </c>
      <c r="M1062" s="1" t="s">
        <v>234</v>
      </c>
      <c r="N1062" s="1" t="s">
        <v>235</v>
      </c>
    </row>
    <row r="1063" spans="1:14" x14ac:dyDescent="0.25">
      <c r="A1063" s="1" t="s">
        <v>1417</v>
      </c>
      <c r="B1063" s="1" t="s">
        <v>1364</v>
      </c>
      <c r="C1063" s="1" t="s">
        <v>82</v>
      </c>
      <c r="D1063" s="2"/>
      <c r="E1063" s="1" t="s">
        <v>207</v>
      </c>
      <c r="F1063" s="1"/>
      <c r="G1063" s="1" t="s">
        <v>35</v>
      </c>
      <c r="H1063" s="2"/>
      <c r="I1063">
        <v>1</v>
      </c>
      <c r="J1063" s="1" t="s">
        <v>234</v>
      </c>
      <c r="K1063" s="1" t="s">
        <v>879</v>
      </c>
      <c r="M1063" s="1" t="s">
        <v>234</v>
      </c>
      <c r="N1063" s="1" t="s">
        <v>235</v>
      </c>
    </row>
    <row r="1064" spans="1:14" x14ac:dyDescent="0.25">
      <c r="A1064" s="1" t="s">
        <v>1418</v>
      </c>
      <c r="B1064" s="1" t="s">
        <v>1364</v>
      </c>
      <c r="C1064" s="1" t="s">
        <v>82</v>
      </c>
      <c r="D1064" s="2"/>
      <c r="E1064" s="1" t="s">
        <v>207</v>
      </c>
      <c r="F1064" s="1"/>
      <c r="G1064" s="1" t="s">
        <v>35</v>
      </c>
      <c r="H1064" s="2"/>
      <c r="I1064">
        <v>1</v>
      </c>
      <c r="J1064" s="1" t="s">
        <v>234</v>
      </c>
      <c r="K1064" s="1" t="s">
        <v>879</v>
      </c>
      <c r="M1064" s="1" t="s">
        <v>234</v>
      </c>
      <c r="N1064" s="1" t="s">
        <v>235</v>
      </c>
    </row>
    <row r="1065" spans="1:14" x14ac:dyDescent="0.25">
      <c r="A1065" s="1" t="s">
        <v>1419</v>
      </c>
      <c r="B1065" s="1" t="s">
        <v>1364</v>
      </c>
      <c r="C1065" s="1" t="s">
        <v>82</v>
      </c>
      <c r="D1065" s="2"/>
      <c r="E1065" s="1" t="s">
        <v>207</v>
      </c>
      <c r="F1065" s="1"/>
      <c r="G1065" s="1" t="s">
        <v>35</v>
      </c>
      <c r="H1065" s="2"/>
      <c r="I1065">
        <v>1</v>
      </c>
      <c r="J1065" s="1" t="s">
        <v>234</v>
      </c>
      <c r="K1065" s="1" t="s">
        <v>879</v>
      </c>
      <c r="M1065" s="1" t="s">
        <v>234</v>
      </c>
      <c r="N1065" s="1" t="s">
        <v>235</v>
      </c>
    </row>
    <row r="1066" spans="1:14" x14ac:dyDescent="0.25">
      <c r="A1066" s="1" t="s">
        <v>1420</v>
      </c>
      <c r="B1066" s="1" t="s">
        <v>1364</v>
      </c>
      <c r="C1066" s="1" t="s">
        <v>82</v>
      </c>
      <c r="D1066" s="2"/>
      <c r="E1066" s="1" t="s">
        <v>207</v>
      </c>
      <c r="F1066" s="1"/>
      <c r="G1066" s="1" t="s">
        <v>35</v>
      </c>
      <c r="H1066" s="2"/>
      <c r="I1066">
        <v>1</v>
      </c>
      <c r="J1066" s="1" t="s">
        <v>234</v>
      </c>
      <c r="K1066" s="1" t="s">
        <v>879</v>
      </c>
      <c r="M1066" s="1" t="s">
        <v>234</v>
      </c>
      <c r="N1066" s="1" t="s">
        <v>235</v>
      </c>
    </row>
    <row r="1067" spans="1:14" x14ac:dyDescent="0.25">
      <c r="A1067" s="1" t="s">
        <v>1421</v>
      </c>
      <c r="B1067" s="1" t="s">
        <v>1364</v>
      </c>
      <c r="C1067" s="1" t="s">
        <v>82</v>
      </c>
      <c r="D1067" s="2"/>
      <c r="E1067" s="1" t="s">
        <v>207</v>
      </c>
      <c r="F1067" s="1"/>
      <c r="G1067" s="1" t="s">
        <v>35</v>
      </c>
      <c r="H1067" s="2"/>
      <c r="I1067">
        <v>1</v>
      </c>
      <c r="J1067" s="1" t="s">
        <v>234</v>
      </c>
      <c r="K1067" s="1" t="s">
        <v>879</v>
      </c>
      <c r="M1067" s="1" t="s">
        <v>234</v>
      </c>
      <c r="N1067" s="1" t="s">
        <v>235</v>
      </c>
    </row>
    <row r="1068" spans="1:14" x14ac:dyDescent="0.25">
      <c r="A1068" s="1" t="s">
        <v>1422</v>
      </c>
      <c r="B1068" s="1" t="s">
        <v>1364</v>
      </c>
      <c r="C1068" s="1" t="s">
        <v>82</v>
      </c>
      <c r="D1068" s="2"/>
      <c r="E1068" s="1" t="s">
        <v>207</v>
      </c>
      <c r="F1068" s="1"/>
      <c r="G1068" s="1" t="s">
        <v>35</v>
      </c>
      <c r="H1068" s="2"/>
      <c r="I1068">
        <v>1</v>
      </c>
      <c r="J1068" s="1" t="s">
        <v>234</v>
      </c>
      <c r="K1068" s="1" t="s">
        <v>879</v>
      </c>
      <c r="M1068" s="1" t="s">
        <v>234</v>
      </c>
      <c r="N1068" s="1" t="s">
        <v>235</v>
      </c>
    </row>
    <row r="1069" spans="1:14" x14ac:dyDescent="0.25">
      <c r="A1069" s="1" t="s">
        <v>1423</v>
      </c>
      <c r="B1069" s="1" t="s">
        <v>1364</v>
      </c>
      <c r="C1069" s="1" t="s">
        <v>82</v>
      </c>
      <c r="D1069" s="2"/>
      <c r="E1069" s="1" t="s">
        <v>207</v>
      </c>
      <c r="F1069" s="1"/>
      <c r="G1069" s="1" t="s">
        <v>35</v>
      </c>
      <c r="H1069" s="2"/>
      <c r="I1069">
        <v>1</v>
      </c>
      <c r="J1069" s="1" t="s">
        <v>234</v>
      </c>
      <c r="K1069" s="1" t="s">
        <v>879</v>
      </c>
      <c r="M1069" s="1" t="s">
        <v>234</v>
      </c>
      <c r="N1069" s="1" t="s">
        <v>235</v>
      </c>
    </row>
    <row r="1070" spans="1:14" x14ac:dyDescent="0.25">
      <c r="A1070" s="1" t="s">
        <v>1424</v>
      </c>
      <c r="B1070" s="1" t="s">
        <v>1364</v>
      </c>
      <c r="C1070" s="1" t="s">
        <v>82</v>
      </c>
      <c r="D1070" s="2"/>
      <c r="E1070" s="1" t="s">
        <v>207</v>
      </c>
      <c r="F1070" s="1"/>
      <c r="G1070" s="1" t="s">
        <v>35</v>
      </c>
      <c r="H1070" s="2"/>
      <c r="I1070">
        <v>1</v>
      </c>
      <c r="J1070" s="1" t="s">
        <v>234</v>
      </c>
      <c r="K1070" s="1" t="s">
        <v>879</v>
      </c>
      <c r="M1070" s="1" t="s">
        <v>234</v>
      </c>
      <c r="N1070" s="1" t="s">
        <v>235</v>
      </c>
    </row>
    <row r="1071" spans="1:14" x14ac:dyDescent="0.25">
      <c r="A1071" s="1" t="s">
        <v>1425</v>
      </c>
      <c r="B1071" s="1" t="s">
        <v>1364</v>
      </c>
      <c r="C1071" s="1" t="s">
        <v>82</v>
      </c>
      <c r="D1071" s="2"/>
      <c r="E1071" s="1" t="s">
        <v>207</v>
      </c>
      <c r="F1071" s="1"/>
      <c r="G1071" s="1" t="s">
        <v>35</v>
      </c>
      <c r="H1071" s="2"/>
      <c r="I1071">
        <v>1</v>
      </c>
      <c r="J1071" s="1" t="s">
        <v>234</v>
      </c>
      <c r="K1071" s="1" t="s">
        <v>879</v>
      </c>
      <c r="M1071" s="1" t="s">
        <v>234</v>
      </c>
      <c r="N1071" s="1" t="s">
        <v>235</v>
      </c>
    </row>
    <row r="1072" spans="1:14" x14ac:dyDescent="0.25">
      <c r="A1072" s="1" t="s">
        <v>1426</v>
      </c>
      <c r="B1072" s="1" t="s">
        <v>1364</v>
      </c>
      <c r="C1072" s="1" t="s">
        <v>82</v>
      </c>
      <c r="D1072" s="2"/>
      <c r="E1072" s="1" t="s">
        <v>207</v>
      </c>
      <c r="F1072" s="1"/>
      <c r="G1072" s="1" t="s">
        <v>35</v>
      </c>
      <c r="H1072" s="2"/>
      <c r="I1072">
        <v>1</v>
      </c>
      <c r="J1072" s="1" t="s">
        <v>234</v>
      </c>
      <c r="K1072" s="1" t="s">
        <v>879</v>
      </c>
      <c r="M1072" s="1" t="s">
        <v>234</v>
      </c>
      <c r="N1072" s="1" t="s">
        <v>235</v>
      </c>
    </row>
    <row r="1073" spans="1:14" x14ac:dyDescent="0.25">
      <c r="A1073" s="1" t="s">
        <v>1427</v>
      </c>
      <c r="B1073" s="1" t="s">
        <v>1364</v>
      </c>
      <c r="C1073" s="1" t="s">
        <v>82</v>
      </c>
      <c r="D1073" s="2"/>
      <c r="E1073" s="1" t="s">
        <v>207</v>
      </c>
      <c r="F1073" s="1"/>
      <c r="G1073" s="1" t="s">
        <v>35</v>
      </c>
      <c r="H1073" s="2"/>
      <c r="I1073">
        <v>1</v>
      </c>
      <c r="J1073" s="1" t="s">
        <v>234</v>
      </c>
      <c r="K1073" s="1" t="s">
        <v>879</v>
      </c>
      <c r="M1073" s="1" t="s">
        <v>234</v>
      </c>
      <c r="N1073" s="1" t="s">
        <v>235</v>
      </c>
    </row>
    <row r="1074" spans="1:14" x14ac:dyDescent="0.25">
      <c r="A1074" s="1" t="s">
        <v>1428</v>
      </c>
      <c r="B1074" s="1" t="s">
        <v>1364</v>
      </c>
      <c r="C1074" s="1" t="s">
        <v>82</v>
      </c>
      <c r="D1074" s="2"/>
      <c r="E1074" s="1" t="s">
        <v>207</v>
      </c>
      <c r="F1074" s="1"/>
      <c r="G1074" s="1" t="s">
        <v>35</v>
      </c>
      <c r="H1074" s="2"/>
      <c r="I1074">
        <v>1</v>
      </c>
      <c r="J1074" s="1" t="s">
        <v>234</v>
      </c>
      <c r="K1074" s="1" t="s">
        <v>879</v>
      </c>
      <c r="M1074" s="1" t="s">
        <v>234</v>
      </c>
      <c r="N1074" s="1" t="s">
        <v>235</v>
      </c>
    </row>
    <row r="1075" spans="1:14" x14ac:dyDescent="0.25">
      <c r="A1075" s="1" t="s">
        <v>1429</v>
      </c>
      <c r="B1075" s="1" t="s">
        <v>1364</v>
      </c>
      <c r="C1075" s="1" t="s">
        <v>82</v>
      </c>
      <c r="D1075" s="2"/>
      <c r="E1075" s="1" t="s">
        <v>207</v>
      </c>
      <c r="F1075" s="1"/>
      <c r="G1075" s="1" t="s">
        <v>35</v>
      </c>
      <c r="H1075" s="2"/>
      <c r="I1075">
        <v>1</v>
      </c>
      <c r="J1075" s="1" t="s">
        <v>234</v>
      </c>
      <c r="K1075" s="1" t="s">
        <v>879</v>
      </c>
      <c r="M1075" s="1" t="s">
        <v>234</v>
      </c>
      <c r="N1075" s="1" t="s">
        <v>235</v>
      </c>
    </row>
    <row r="1076" spans="1:14" x14ac:dyDescent="0.25">
      <c r="A1076" s="1" t="s">
        <v>1430</v>
      </c>
      <c r="B1076" s="1" t="s">
        <v>1364</v>
      </c>
      <c r="C1076" s="1" t="s">
        <v>82</v>
      </c>
      <c r="D1076" s="2"/>
      <c r="E1076" s="1" t="s">
        <v>207</v>
      </c>
      <c r="F1076" s="1"/>
      <c r="G1076" s="1" t="s">
        <v>35</v>
      </c>
      <c r="H1076" s="2"/>
      <c r="I1076">
        <v>1</v>
      </c>
      <c r="J1076" s="1" t="s">
        <v>234</v>
      </c>
      <c r="K1076" s="1" t="s">
        <v>879</v>
      </c>
      <c r="M1076" s="1" t="s">
        <v>234</v>
      </c>
      <c r="N1076" s="1" t="s">
        <v>235</v>
      </c>
    </row>
    <row r="1077" spans="1:14" x14ac:dyDescent="0.25">
      <c r="A1077" s="1" t="s">
        <v>1431</v>
      </c>
      <c r="B1077" s="1" t="s">
        <v>1364</v>
      </c>
      <c r="C1077" s="1" t="s">
        <v>82</v>
      </c>
      <c r="D1077" s="2"/>
      <c r="E1077" s="1" t="s">
        <v>207</v>
      </c>
      <c r="F1077" s="1"/>
      <c r="G1077" s="1" t="s">
        <v>35</v>
      </c>
      <c r="H1077" s="2"/>
      <c r="I1077">
        <v>1</v>
      </c>
      <c r="J1077" s="1" t="s">
        <v>234</v>
      </c>
      <c r="K1077" s="1" t="s">
        <v>879</v>
      </c>
      <c r="M1077" s="1" t="s">
        <v>234</v>
      </c>
      <c r="N1077" s="1" t="s">
        <v>235</v>
      </c>
    </row>
    <row r="1078" spans="1:14" x14ac:dyDescent="0.25">
      <c r="A1078" s="1" t="s">
        <v>1432</v>
      </c>
      <c r="B1078" s="1" t="s">
        <v>1364</v>
      </c>
      <c r="C1078" s="1" t="s">
        <v>82</v>
      </c>
      <c r="D1078" s="2"/>
      <c r="E1078" s="1" t="s">
        <v>207</v>
      </c>
      <c r="F1078" s="1"/>
      <c r="G1078" s="1" t="s">
        <v>35</v>
      </c>
      <c r="H1078" s="2"/>
      <c r="I1078">
        <v>1</v>
      </c>
      <c r="J1078" s="1" t="s">
        <v>234</v>
      </c>
      <c r="K1078" s="1" t="s">
        <v>879</v>
      </c>
      <c r="M1078" s="1" t="s">
        <v>234</v>
      </c>
      <c r="N1078" s="1" t="s">
        <v>235</v>
      </c>
    </row>
    <row r="1079" spans="1:14" x14ac:dyDescent="0.25">
      <c r="A1079" s="1" t="s">
        <v>1433</v>
      </c>
      <c r="B1079" s="1" t="s">
        <v>1364</v>
      </c>
      <c r="C1079" s="1" t="s">
        <v>82</v>
      </c>
      <c r="D1079" s="2"/>
      <c r="E1079" s="1" t="s">
        <v>207</v>
      </c>
      <c r="F1079" s="1"/>
      <c r="G1079" s="1" t="s">
        <v>35</v>
      </c>
      <c r="H1079" s="2"/>
      <c r="I1079">
        <v>1</v>
      </c>
      <c r="J1079" s="1" t="s">
        <v>234</v>
      </c>
      <c r="K1079" s="1" t="s">
        <v>879</v>
      </c>
      <c r="M1079" s="1" t="s">
        <v>234</v>
      </c>
      <c r="N1079" s="1" t="s">
        <v>235</v>
      </c>
    </row>
    <row r="1080" spans="1:14" x14ac:dyDescent="0.25">
      <c r="A1080" s="1" t="s">
        <v>1434</v>
      </c>
      <c r="B1080" s="1" t="s">
        <v>1364</v>
      </c>
      <c r="C1080" s="1" t="s">
        <v>82</v>
      </c>
      <c r="D1080" s="2"/>
      <c r="E1080" s="1" t="s">
        <v>207</v>
      </c>
      <c r="F1080" s="1"/>
      <c r="G1080" s="1" t="s">
        <v>35</v>
      </c>
      <c r="H1080" s="2"/>
      <c r="I1080">
        <v>1</v>
      </c>
      <c r="J1080" s="1" t="s">
        <v>234</v>
      </c>
      <c r="K1080" s="1" t="s">
        <v>879</v>
      </c>
      <c r="M1080" s="1" t="s">
        <v>234</v>
      </c>
      <c r="N1080" s="1" t="s">
        <v>235</v>
      </c>
    </row>
    <row r="1081" spans="1:14" x14ac:dyDescent="0.25">
      <c r="A1081" s="1" t="s">
        <v>1435</v>
      </c>
      <c r="B1081" s="1" t="s">
        <v>1364</v>
      </c>
      <c r="C1081" s="1" t="s">
        <v>82</v>
      </c>
      <c r="D1081" s="2"/>
      <c r="E1081" s="1" t="s">
        <v>207</v>
      </c>
      <c r="F1081" s="1"/>
      <c r="G1081" s="1" t="s">
        <v>35</v>
      </c>
      <c r="H1081" s="2"/>
      <c r="I1081">
        <v>1</v>
      </c>
      <c r="J1081" s="1" t="s">
        <v>234</v>
      </c>
      <c r="K1081" s="1" t="s">
        <v>879</v>
      </c>
      <c r="M1081" s="1" t="s">
        <v>234</v>
      </c>
      <c r="N1081" s="1" t="s">
        <v>235</v>
      </c>
    </row>
    <row r="1082" spans="1:14" x14ac:dyDescent="0.25">
      <c r="A1082" s="1" t="s">
        <v>1436</v>
      </c>
      <c r="B1082" s="1" t="s">
        <v>1364</v>
      </c>
      <c r="C1082" s="1" t="s">
        <v>82</v>
      </c>
      <c r="D1082" s="2"/>
      <c r="E1082" s="1" t="s">
        <v>207</v>
      </c>
      <c r="F1082" s="1"/>
      <c r="G1082" s="1" t="s">
        <v>35</v>
      </c>
      <c r="H1082" s="2"/>
      <c r="I1082">
        <v>1</v>
      </c>
      <c r="J1082" s="1" t="s">
        <v>234</v>
      </c>
      <c r="K1082" s="1" t="s">
        <v>879</v>
      </c>
      <c r="M1082" s="1" t="s">
        <v>234</v>
      </c>
      <c r="N1082" s="1" t="s">
        <v>235</v>
      </c>
    </row>
    <row r="1083" spans="1:14" x14ac:dyDescent="0.25">
      <c r="A1083" s="1" t="s">
        <v>1437</v>
      </c>
      <c r="B1083" s="1" t="s">
        <v>1364</v>
      </c>
      <c r="C1083" s="1" t="s">
        <v>82</v>
      </c>
      <c r="D1083" s="2"/>
      <c r="E1083" s="1" t="s">
        <v>207</v>
      </c>
      <c r="F1083" s="1"/>
      <c r="G1083" s="1" t="s">
        <v>35</v>
      </c>
      <c r="H1083" s="2"/>
      <c r="I1083">
        <v>1</v>
      </c>
      <c r="J1083" s="1" t="s">
        <v>234</v>
      </c>
      <c r="K1083" s="1" t="s">
        <v>879</v>
      </c>
      <c r="M1083" s="1" t="s">
        <v>234</v>
      </c>
      <c r="N1083" s="1" t="s">
        <v>235</v>
      </c>
    </row>
    <row r="1084" spans="1:14" x14ac:dyDescent="0.25">
      <c r="A1084" s="1" t="s">
        <v>1438</v>
      </c>
      <c r="B1084" s="1" t="s">
        <v>1364</v>
      </c>
      <c r="C1084" s="1" t="s">
        <v>82</v>
      </c>
      <c r="D1084" s="2"/>
      <c r="E1084" s="1" t="s">
        <v>207</v>
      </c>
      <c r="F1084" s="1"/>
      <c r="G1084" s="1" t="s">
        <v>35</v>
      </c>
      <c r="H1084" s="2"/>
      <c r="I1084">
        <v>1</v>
      </c>
      <c r="J1084" s="1" t="s">
        <v>234</v>
      </c>
      <c r="K1084" s="1" t="s">
        <v>879</v>
      </c>
      <c r="M1084" s="1" t="s">
        <v>234</v>
      </c>
      <c r="N1084" s="1" t="s">
        <v>235</v>
      </c>
    </row>
    <row r="1085" spans="1:14" x14ac:dyDescent="0.25">
      <c r="A1085" s="1" t="s">
        <v>1439</v>
      </c>
      <c r="B1085" s="1" t="s">
        <v>1364</v>
      </c>
      <c r="C1085" s="1" t="s">
        <v>82</v>
      </c>
      <c r="D1085" s="2"/>
      <c r="E1085" s="1" t="s">
        <v>207</v>
      </c>
      <c r="F1085" s="1"/>
      <c r="G1085" s="1" t="s">
        <v>35</v>
      </c>
      <c r="H1085" s="2"/>
      <c r="I1085">
        <v>1</v>
      </c>
      <c r="J1085" s="1" t="s">
        <v>234</v>
      </c>
      <c r="K1085" s="1" t="s">
        <v>879</v>
      </c>
      <c r="M1085" s="1" t="s">
        <v>234</v>
      </c>
      <c r="N1085" s="1" t="s">
        <v>235</v>
      </c>
    </row>
    <row r="1086" spans="1:14" x14ac:dyDescent="0.25">
      <c r="A1086" s="1" t="s">
        <v>1440</v>
      </c>
      <c r="B1086" s="1" t="s">
        <v>1364</v>
      </c>
      <c r="C1086" s="1" t="s">
        <v>82</v>
      </c>
      <c r="D1086" s="2"/>
      <c r="E1086" s="1" t="s">
        <v>207</v>
      </c>
      <c r="F1086" s="1"/>
      <c r="G1086" s="1" t="s">
        <v>35</v>
      </c>
      <c r="H1086" s="2"/>
      <c r="I1086">
        <v>1</v>
      </c>
      <c r="J1086" s="1" t="s">
        <v>234</v>
      </c>
      <c r="K1086" s="1" t="s">
        <v>879</v>
      </c>
      <c r="M1086" s="1" t="s">
        <v>234</v>
      </c>
      <c r="N1086" s="1" t="s">
        <v>235</v>
      </c>
    </row>
    <row r="1087" spans="1:14" x14ac:dyDescent="0.25">
      <c r="A1087" s="1" t="s">
        <v>1441</v>
      </c>
      <c r="B1087" s="1" t="s">
        <v>1364</v>
      </c>
      <c r="C1087" s="1" t="s">
        <v>82</v>
      </c>
      <c r="D1087" s="2"/>
      <c r="E1087" s="1" t="s">
        <v>207</v>
      </c>
      <c r="F1087" s="1"/>
      <c r="G1087" s="1" t="s">
        <v>35</v>
      </c>
      <c r="H1087" s="2"/>
      <c r="I1087">
        <v>1</v>
      </c>
      <c r="J1087" s="1" t="s">
        <v>234</v>
      </c>
      <c r="K1087" s="1" t="s">
        <v>879</v>
      </c>
      <c r="M1087" s="1" t="s">
        <v>234</v>
      </c>
      <c r="N1087" s="1" t="s">
        <v>235</v>
      </c>
    </row>
    <row r="1088" spans="1:14" x14ac:dyDescent="0.25">
      <c r="A1088" s="1" t="s">
        <v>1442</v>
      </c>
      <c r="B1088" s="1" t="s">
        <v>1364</v>
      </c>
      <c r="C1088" s="1" t="s">
        <v>82</v>
      </c>
      <c r="D1088" s="2"/>
      <c r="E1088" s="1" t="s">
        <v>207</v>
      </c>
      <c r="F1088" s="1"/>
      <c r="G1088" s="1" t="s">
        <v>35</v>
      </c>
      <c r="H1088" s="2"/>
      <c r="I1088">
        <v>1</v>
      </c>
      <c r="J1088" s="1" t="s">
        <v>234</v>
      </c>
      <c r="K1088" s="1" t="s">
        <v>879</v>
      </c>
      <c r="M1088" s="1" t="s">
        <v>234</v>
      </c>
      <c r="N1088" s="1" t="s">
        <v>235</v>
      </c>
    </row>
    <row r="1089" spans="1:14" x14ac:dyDescent="0.25">
      <c r="A1089" s="1" t="s">
        <v>1443</v>
      </c>
      <c r="B1089" s="1" t="s">
        <v>1364</v>
      </c>
      <c r="C1089" s="1" t="s">
        <v>82</v>
      </c>
      <c r="D1089" s="2"/>
      <c r="E1089" s="1" t="s">
        <v>207</v>
      </c>
      <c r="F1089" s="1"/>
      <c r="G1089" s="1" t="s">
        <v>35</v>
      </c>
      <c r="H1089" s="2"/>
      <c r="I1089">
        <v>1</v>
      </c>
      <c r="J1089" s="1" t="s">
        <v>234</v>
      </c>
      <c r="K1089" s="1" t="s">
        <v>879</v>
      </c>
      <c r="M1089" s="1" t="s">
        <v>234</v>
      </c>
      <c r="N1089" s="1" t="s">
        <v>235</v>
      </c>
    </row>
    <row r="1090" spans="1:14" x14ac:dyDescent="0.25">
      <c r="A1090" s="1" t="s">
        <v>1444</v>
      </c>
      <c r="B1090" s="1" t="s">
        <v>1364</v>
      </c>
      <c r="C1090" s="1" t="s">
        <v>82</v>
      </c>
      <c r="D1090" s="2"/>
      <c r="E1090" s="1" t="s">
        <v>207</v>
      </c>
      <c r="F1090" s="1"/>
      <c r="G1090" s="1" t="s">
        <v>35</v>
      </c>
      <c r="H1090" s="2"/>
      <c r="I1090">
        <v>1</v>
      </c>
      <c r="J1090" s="1" t="s">
        <v>234</v>
      </c>
      <c r="K1090" s="1" t="s">
        <v>879</v>
      </c>
      <c r="M1090" s="1" t="s">
        <v>234</v>
      </c>
      <c r="N1090" s="1" t="s">
        <v>235</v>
      </c>
    </row>
    <row r="1091" spans="1:14" x14ac:dyDescent="0.25">
      <c r="A1091" s="1" t="s">
        <v>1445</v>
      </c>
      <c r="B1091" s="1" t="s">
        <v>1364</v>
      </c>
      <c r="C1091" s="1" t="s">
        <v>82</v>
      </c>
      <c r="D1091" s="2"/>
      <c r="E1091" s="1" t="s">
        <v>207</v>
      </c>
      <c r="F1091" s="1"/>
      <c r="G1091" s="1" t="s">
        <v>35</v>
      </c>
      <c r="H1091" s="2"/>
      <c r="I1091">
        <v>1</v>
      </c>
      <c r="J1091" s="1" t="s">
        <v>234</v>
      </c>
      <c r="K1091" s="1" t="s">
        <v>879</v>
      </c>
      <c r="M1091" s="1" t="s">
        <v>234</v>
      </c>
      <c r="N1091" s="1" t="s">
        <v>235</v>
      </c>
    </row>
    <row r="1092" spans="1:14" x14ac:dyDescent="0.25">
      <c r="A1092" s="1" t="s">
        <v>1446</v>
      </c>
      <c r="B1092" s="1" t="s">
        <v>1364</v>
      </c>
      <c r="C1092" s="1" t="s">
        <v>82</v>
      </c>
      <c r="D1092" s="2"/>
      <c r="E1092" s="1" t="s">
        <v>207</v>
      </c>
      <c r="F1092" s="1"/>
      <c r="G1092" s="1" t="s">
        <v>35</v>
      </c>
      <c r="H1092" s="2"/>
      <c r="I1092">
        <v>1</v>
      </c>
      <c r="J1092" s="1" t="s">
        <v>234</v>
      </c>
      <c r="K1092" s="1" t="s">
        <v>879</v>
      </c>
      <c r="M1092" s="1" t="s">
        <v>234</v>
      </c>
      <c r="N1092" s="1" t="s">
        <v>235</v>
      </c>
    </row>
    <row r="1093" spans="1:14" x14ac:dyDescent="0.25">
      <c r="A1093" s="1" t="s">
        <v>1447</v>
      </c>
      <c r="B1093" s="1" t="s">
        <v>1364</v>
      </c>
      <c r="C1093" s="1" t="s">
        <v>82</v>
      </c>
      <c r="D1093" s="2"/>
      <c r="E1093" s="1" t="s">
        <v>207</v>
      </c>
      <c r="F1093" s="1"/>
      <c r="G1093" s="1" t="s">
        <v>35</v>
      </c>
      <c r="H1093" s="2"/>
      <c r="I1093">
        <v>1</v>
      </c>
      <c r="J1093" s="1" t="s">
        <v>234</v>
      </c>
      <c r="K1093" s="1" t="s">
        <v>879</v>
      </c>
      <c r="M1093" s="1" t="s">
        <v>234</v>
      </c>
      <c r="N1093" s="1" t="s">
        <v>235</v>
      </c>
    </row>
    <row r="1094" spans="1:14" x14ac:dyDescent="0.25">
      <c r="A1094" s="1" t="s">
        <v>1448</v>
      </c>
      <c r="B1094" s="1" t="s">
        <v>1364</v>
      </c>
      <c r="C1094" s="1" t="s">
        <v>82</v>
      </c>
      <c r="D1094" s="2"/>
      <c r="E1094" s="1" t="s">
        <v>207</v>
      </c>
      <c r="F1094" s="1"/>
      <c r="G1094" s="1" t="s">
        <v>35</v>
      </c>
      <c r="H1094" s="2"/>
      <c r="I1094">
        <v>1</v>
      </c>
      <c r="J1094" s="1" t="s">
        <v>234</v>
      </c>
      <c r="K1094" s="1" t="s">
        <v>879</v>
      </c>
      <c r="M1094" s="1" t="s">
        <v>234</v>
      </c>
      <c r="N1094" s="1" t="s">
        <v>235</v>
      </c>
    </row>
    <row r="1095" spans="1:14" x14ac:dyDescent="0.25">
      <c r="A1095" s="1" t="s">
        <v>1449</v>
      </c>
      <c r="B1095" s="1" t="s">
        <v>1364</v>
      </c>
      <c r="C1095" s="1" t="s">
        <v>82</v>
      </c>
      <c r="D1095" s="2"/>
      <c r="E1095" s="1" t="s">
        <v>207</v>
      </c>
      <c r="F1095" s="1"/>
      <c r="G1095" s="1" t="s">
        <v>35</v>
      </c>
      <c r="H1095" s="2"/>
      <c r="I1095">
        <v>1</v>
      </c>
      <c r="J1095" s="1" t="s">
        <v>234</v>
      </c>
      <c r="K1095" s="1" t="s">
        <v>879</v>
      </c>
      <c r="M1095" s="1" t="s">
        <v>234</v>
      </c>
      <c r="N1095" s="1" t="s">
        <v>235</v>
      </c>
    </row>
    <row r="1096" spans="1:14" x14ac:dyDescent="0.25">
      <c r="A1096" s="1" t="s">
        <v>1450</v>
      </c>
      <c r="B1096" s="1" t="s">
        <v>1364</v>
      </c>
      <c r="C1096" s="1" t="s">
        <v>82</v>
      </c>
      <c r="D1096" s="2"/>
      <c r="E1096" s="1" t="s">
        <v>207</v>
      </c>
      <c r="F1096" s="1"/>
      <c r="G1096" s="1" t="s">
        <v>35</v>
      </c>
      <c r="H1096" s="2"/>
      <c r="I1096">
        <v>1</v>
      </c>
      <c r="J1096" s="1" t="s">
        <v>234</v>
      </c>
      <c r="K1096" s="1" t="s">
        <v>879</v>
      </c>
      <c r="M1096" s="1" t="s">
        <v>234</v>
      </c>
      <c r="N1096" s="1" t="s">
        <v>235</v>
      </c>
    </row>
    <row r="1097" spans="1:14" x14ac:dyDescent="0.25">
      <c r="A1097" s="1" t="s">
        <v>1451</v>
      </c>
      <c r="B1097" s="1" t="s">
        <v>1364</v>
      </c>
      <c r="C1097" s="1" t="s">
        <v>82</v>
      </c>
      <c r="D1097" s="2"/>
      <c r="E1097" s="1" t="s">
        <v>207</v>
      </c>
      <c r="F1097" s="1"/>
      <c r="G1097" s="1" t="s">
        <v>35</v>
      </c>
      <c r="H1097" s="2"/>
      <c r="I1097">
        <v>1</v>
      </c>
      <c r="J1097" s="1" t="s">
        <v>234</v>
      </c>
      <c r="K1097" s="1" t="s">
        <v>879</v>
      </c>
      <c r="M1097" s="1" t="s">
        <v>234</v>
      </c>
      <c r="N1097" s="1" t="s">
        <v>235</v>
      </c>
    </row>
    <row r="1098" spans="1:14" x14ac:dyDescent="0.25">
      <c r="A1098" s="1" t="s">
        <v>1452</v>
      </c>
      <c r="B1098" s="1" t="s">
        <v>1364</v>
      </c>
      <c r="C1098" s="1" t="s">
        <v>82</v>
      </c>
      <c r="D1098" s="2"/>
      <c r="E1098" s="1" t="s">
        <v>207</v>
      </c>
      <c r="F1098" s="1"/>
      <c r="G1098" s="1" t="s">
        <v>35</v>
      </c>
      <c r="H1098" s="2"/>
      <c r="I1098">
        <v>1</v>
      </c>
      <c r="J1098" s="1" t="s">
        <v>234</v>
      </c>
      <c r="K1098" s="1" t="s">
        <v>879</v>
      </c>
      <c r="M1098" s="1" t="s">
        <v>234</v>
      </c>
      <c r="N1098" s="1" t="s">
        <v>235</v>
      </c>
    </row>
    <row r="1099" spans="1:14" x14ac:dyDescent="0.25">
      <c r="A1099" s="1" t="s">
        <v>1453</v>
      </c>
      <c r="B1099" s="1" t="s">
        <v>1364</v>
      </c>
      <c r="C1099" s="1" t="s">
        <v>82</v>
      </c>
      <c r="D1099" s="2"/>
      <c r="E1099" s="1" t="s">
        <v>207</v>
      </c>
      <c r="F1099" s="1"/>
      <c r="G1099" s="1" t="s">
        <v>35</v>
      </c>
      <c r="H1099" s="2"/>
      <c r="I1099">
        <v>1</v>
      </c>
      <c r="J1099" s="1" t="s">
        <v>234</v>
      </c>
      <c r="K1099" s="1" t="s">
        <v>879</v>
      </c>
      <c r="M1099" s="1" t="s">
        <v>234</v>
      </c>
      <c r="N1099" s="1" t="s">
        <v>235</v>
      </c>
    </row>
    <row r="1100" spans="1:14" x14ac:dyDescent="0.25">
      <c r="A1100" s="1" t="s">
        <v>1454</v>
      </c>
      <c r="B1100" s="1" t="s">
        <v>1364</v>
      </c>
      <c r="C1100" s="1" t="s">
        <v>82</v>
      </c>
      <c r="D1100" s="2"/>
      <c r="E1100" s="1" t="s">
        <v>207</v>
      </c>
      <c r="F1100" s="1"/>
      <c r="G1100" s="1" t="s">
        <v>35</v>
      </c>
      <c r="H1100" s="2"/>
      <c r="I1100">
        <v>1</v>
      </c>
      <c r="J1100" s="1" t="s">
        <v>234</v>
      </c>
      <c r="K1100" s="1" t="s">
        <v>879</v>
      </c>
      <c r="M1100" s="1" t="s">
        <v>234</v>
      </c>
      <c r="N1100" s="1" t="s">
        <v>235</v>
      </c>
    </row>
    <row r="1101" spans="1:14" x14ac:dyDescent="0.25">
      <c r="A1101" s="1" t="s">
        <v>1455</v>
      </c>
      <c r="B1101" s="1" t="s">
        <v>1364</v>
      </c>
      <c r="C1101" s="1" t="s">
        <v>82</v>
      </c>
      <c r="D1101" s="2"/>
      <c r="E1101" s="1" t="s">
        <v>207</v>
      </c>
      <c r="F1101" s="1"/>
      <c r="G1101" s="1" t="s">
        <v>35</v>
      </c>
      <c r="H1101" s="2"/>
      <c r="I1101">
        <v>1</v>
      </c>
      <c r="J1101" s="1" t="s">
        <v>234</v>
      </c>
      <c r="K1101" s="1" t="s">
        <v>879</v>
      </c>
      <c r="M1101" s="1" t="s">
        <v>234</v>
      </c>
      <c r="N1101" s="1" t="s">
        <v>235</v>
      </c>
    </row>
    <row r="1102" spans="1:14" x14ac:dyDescent="0.25">
      <c r="A1102" s="1" t="s">
        <v>1456</v>
      </c>
      <c r="B1102" s="1" t="s">
        <v>1364</v>
      </c>
      <c r="C1102" s="1" t="s">
        <v>82</v>
      </c>
      <c r="D1102" s="2"/>
      <c r="E1102" s="1" t="s">
        <v>207</v>
      </c>
      <c r="F1102" s="1"/>
      <c r="G1102" s="1" t="s">
        <v>35</v>
      </c>
      <c r="H1102" s="2"/>
      <c r="I1102">
        <v>1</v>
      </c>
      <c r="J1102" s="1" t="s">
        <v>234</v>
      </c>
      <c r="K1102" s="1" t="s">
        <v>879</v>
      </c>
      <c r="M1102" s="1" t="s">
        <v>234</v>
      </c>
      <c r="N1102" s="1" t="s">
        <v>235</v>
      </c>
    </row>
    <row r="1103" spans="1:14" x14ac:dyDescent="0.25">
      <c r="A1103" s="1" t="s">
        <v>1457</v>
      </c>
      <c r="B1103" s="1" t="s">
        <v>1364</v>
      </c>
      <c r="C1103" s="1" t="s">
        <v>82</v>
      </c>
      <c r="D1103" s="2"/>
      <c r="E1103" s="1" t="s">
        <v>207</v>
      </c>
      <c r="F1103" s="1"/>
      <c r="G1103" s="1" t="s">
        <v>35</v>
      </c>
      <c r="H1103" s="2"/>
      <c r="I1103">
        <v>1</v>
      </c>
      <c r="J1103" s="1" t="s">
        <v>234</v>
      </c>
      <c r="K1103" s="1" t="s">
        <v>879</v>
      </c>
      <c r="M1103" s="1" t="s">
        <v>234</v>
      </c>
      <c r="N1103" s="1" t="s">
        <v>235</v>
      </c>
    </row>
    <row r="1104" spans="1:14" x14ac:dyDescent="0.25">
      <c r="A1104" s="1" t="s">
        <v>1458</v>
      </c>
      <c r="B1104" s="1" t="s">
        <v>1364</v>
      </c>
      <c r="C1104" s="1" t="s">
        <v>82</v>
      </c>
      <c r="D1104" s="2"/>
      <c r="E1104" s="1" t="s">
        <v>207</v>
      </c>
      <c r="F1104" s="1"/>
      <c r="G1104" s="1" t="s">
        <v>35</v>
      </c>
      <c r="H1104" s="2"/>
      <c r="I1104">
        <v>1</v>
      </c>
      <c r="J1104" s="1" t="s">
        <v>234</v>
      </c>
      <c r="K1104" s="1" t="s">
        <v>879</v>
      </c>
      <c r="M1104" s="1" t="s">
        <v>234</v>
      </c>
      <c r="N1104" s="1" t="s">
        <v>235</v>
      </c>
    </row>
    <row r="1105" spans="1:14" x14ac:dyDescent="0.25">
      <c r="A1105" s="1" t="s">
        <v>1459</v>
      </c>
      <c r="B1105" s="1" t="s">
        <v>1364</v>
      </c>
      <c r="C1105" s="1" t="s">
        <v>82</v>
      </c>
      <c r="D1105" s="2"/>
      <c r="E1105" s="1" t="s">
        <v>207</v>
      </c>
      <c r="F1105" s="1"/>
      <c r="G1105" s="1" t="s">
        <v>35</v>
      </c>
      <c r="H1105" s="2"/>
      <c r="I1105">
        <v>1</v>
      </c>
      <c r="J1105" s="1" t="s">
        <v>234</v>
      </c>
      <c r="K1105" s="1" t="s">
        <v>879</v>
      </c>
      <c r="M1105" s="1" t="s">
        <v>234</v>
      </c>
      <c r="N1105" s="1" t="s">
        <v>235</v>
      </c>
    </row>
    <row r="1106" spans="1:14" x14ac:dyDescent="0.25">
      <c r="A1106" s="1" t="s">
        <v>1460</v>
      </c>
      <c r="B1106" s="1" t="s">
        <v>1364</v>
      </c>
      <c r="C1106" s="1" t="s">
        <v>82</v>
      </c>
      <c r="D1106" s="2"/>
      <c r="E1106" s="1" t="s">
        <v>207</v>
      </c>
      <c r="F1106" s="1"/>
      <c r="G1106" s="1" t="s">
        <v>35</v>
      </c>
      <c r="H1106" s="2"/>
      <c r="I1106">
        <v>1</v>
      </c>
      <c r="J1106" s="1" t="s">
        <v>234</v>
      </c>
      <c r="K1106" s="1" t="s">
        <v>879</v>
      </c>
      <c r="M1106" s="1" t="s">
        <v>234</v>
      </c>
      <c r="N1106" s="1" t="s">
        <v>235</v>
      </c>
    </row>
    <row r="1107" spans="1:14" x14ac:dyDescent="0.25">
      <c r="A1107" s="1" t="s">
        <v>1461</v>
      </c>
      <c r="B1107" s="1" t="s">
        <v>1364</v>
      </c>
      <c r="C1107" s="1" t="s">
        <v>82</v>
      </c>
      <c r="D1107" s="2"/>
      <c r="E1107" s="1" t="s">
        <v>207</v>
      </c>
      <c r="F1107" s="1"/>
      <c r="G1107" s="1" t="s">
        <v>35</v>
      </c>
      <c r="H1107" s="2"/>
      <c r="I1107">
        <v>1</v>
      </c>
      <c r="J1107" s="1" t="s">
        <v>234</v>
      </c>
      <c r="K1107" s="1" t="s">
        <v>879</v>
      </c>
      <c r="M1107" s="1" t="s">
        <v>234</v>
      </c>
      <c r="N1107" s="1" t="s">
        <v>235</v>
      </c>
    </row>
    <row r="1108" spans="1:14" x14ac:dyDescent="0.25">
      <c r="A1108" s="1" t="s">
        <v>1462</v>
      </c>
      <c r="B1108" s="1" t="s">
        <v>1364</v>
      </c>
      <c r="C1108" s="1" t="s">
        <v>82</v>
      </c>
      <c r="D1108" s="2"/>
      <c r="E1108" s="1" t="s">
        <v>207</v>
      </c>
      <c r="F1108" s="1"/>
      <c r="G1108" s="1" t="s">
        <v>35</v>
      </c>
      <c r="H1108" s="2"/>
      <c r="I1108">
        <v>1</v>
      </c>
      <c r="J1108" s="1" t="s">
        <v>234</v>
      </c>
      <c r="K1108" s="1" t="s">
        <v>879</v>
      </c>
      <c r="M1108" s="1" t="s">
        <v>234</v>
      </c>
      <c r="N1108" s="1" t="s">
        <v>235</v>
      </c>
    </row>
    <row r="1109" spans="1:14" x14ac:dyDescent="0.25">
      <c r="A1109" s="1" t="s">
        <v>1463</v>
      </c>
      <c r="B1109" s="1" t="s">
        <v>1364</v>
      </c>
      <c r="C1109" s="1" t="s">
        <v>82</v>
      </c>
      <c r="D1109" s="2"/>
      <c r="E1109" s="1" t="s">
        <v>207</v>
      </c>
      <c r="F1109" s="1"/>
      <c r="G1109" s="1" t="s">
        <v>35</v>
      </c>
      <c r="H1109" s="2"/>
      <c r="I1109">
        <v>1</v>
      </c>
      <c r="J1109" s="1" t="s">
        <v>234</v>
      </c>
      <c r="K1109" s="1" t="s">
        <v>879</v>
      </c>
      <c r="M1109" s="1" t="s">
        <v>234</v>
      </c>
      <c r="N1109" s="1" t="s">
        <v>235</v>
      </c>
    </row>
    <row r="1110" spans="1:14" x14ac:dyDescent="0.25">
      <c r="A1110" s="1" t="s">
        <v>1464</v>
      </c>
      <c r="B1110" s="1" t="s">
        <v>1364</v>
      </c>
      <c r="C1110" s="1" t="s">
        <v>82</v>
      </c>
      <c r="D1110" s="2"/>
      <c r="E1110" s="1" t="s">
        <v>207</v>
      </c>
      <c r="F1110" s="1"/>
      <c r="G1110" s="1" t="s">
        <v>35</v>
      </c>
      <c r="H1110" s="2"/>
      <c r="I1110">
        <v>1</v>
      </c>
      <c r="J1110" s="1" t="s">
        <v>234</v>
      </c>
      <c r="K1110" s="1" t="s">
        <v>879</v>
      </c>
      <c r="M1110" s="1" t="s">
        <v>234</v>
      </c>
      <c r="N1110" s="1" t="s">
        <v>235</v>
      </c>
    </row>
    <row r="1111" spans="1:14" x14ac:dyDescent="0.25">
      <c r="A1111" s="1" t="s">
        <v>1465</v>
      </c>
      <c r="B1111" s="1" t="s">
        <v>1364</v>
      </c>
      <c r="C1111" s="1" t="s">
        <v>82</v>
      </c>
      <c r="D1111" s="2"/>
      <c r="E1111" s="1" t="s">
        <v>207</v>
      </c>
      <c r="F1111" s="1"/>
      <c r="G1111" s="1" t="s">
        <v>35</v>
      </c>
      <c r="H1111" s="2"/>
      <c r="I1111">
        <v>1</v>
      </c>
      <c r="J1111" s="1" t="s">
        <v>234</v>
      </c>
      <c r="K1111" s="1" t="s">
        <v>879</v>
      </c>
      <c r="M1111" s="1" t="s">
        <v>234</v>
      </c>
      <c r="N1111" s="1" t="s">
        <v>235</v>
      </c>
    </row>
    <row r="1112" spans="1:14" x14ac:dyDescent="0.25">
      <c r="A1112" s="1" t="s">
        <v>1466</v>
      </c>
      <c r="B1112" s="1" t="s">
        <v>1364</v>
      </c>
      <c r="C1112" s="1" t="s">
        <v>82</v>
      </c>
      <c r="D1112" s="2"/>
      <c r="E1112" s="1" t="s">
        <v>207</v>
      </c>
      <c r="F1112" s="1"/>
      <c r="G1112" s="1" t="s">
        <v>35</v>
      </c>
      <c r="H1112" s="2"/>
      <c r="I1112">
        <v>1</v>
      </c>
      <c r="J1112" s="1" t="s">
        <v>234</v>
      </c>
      <c r="K1112" s="1" t="s">
        <v>879</v>
      </c>
      <c r="M1112" s="1" t="s">
        <v>234</v>
      </c>
      <c r="N1112" s="1" t="s">
        <v>235</v>
      </c>
    </row>
    <row r="1113" spans="1:14" x14ac:dyDescent="0.25">
      <c r="A1113" s="1" t="s">
        <v>1467</v>
      </c>
      <c r="B1113" s="1" t="s">
        <v>1364</v>
      </c>
      <c r="C1113" s="1" t="s">
        <v>82</v>
      </c>
      <c r="D1113" s="2"/>
      <c r="E1113" s="1" t="s">
        <v>207</v>
      </c>
      <c r="F1113" s="1"/>
      <c r="G1113" s="1" t="s">
        <v>35</v>
      </c>
      <c r="H1113" s="2"/>
      <c r="I1113">
        <v>1</v>
      </c>
      <c r="J1113" s="1" t="s">
        <v>234</v>
      </c>
      <c r="K1113" s="1" t="s">
        <v>879</v>
      </c>
      <c r="M1113" s="1" t="s">
        <v>234</v>
      </c>
      <c r="N1113" s="1" t="s">
        <v>235</v>
      </c>
    </row>
    <row r="1114" spans="1:14" x14ac:dyDescent="0.25">
      <c r="A1114" s="1" t="s">
        <v>1468</v>
      </c>
      <c r="B1114" s="1" t="s">
        <v>1364</v>
      </c>
      <c r="C1114" s="1" t="s">
        <v>82</v>
      </c>
      <c r="D1114" s="2"/>
      <c r="E1114" s="1" t="s">
        <v>207</v>
      </c>
      <c r="F1114" s="1"/>
      <c r="G1114" s="1" t="s">
        <v>35</v>
      </c>
      <c r="H1114" s="2"/>
      <c r="I1114">
        <v>1</v>
      </c>
      <c r="J1114" s="1" t="s">
        <v>234</v>
      </c>
      <c r="K1114" s="1" t="s">
        <v>879</v>
      </c>
      <c r="M1114" s="1" t="s">
        <v>234</v>
      </c>
      <c r="N1114" s="1" t="s">
        <v>235</v>
      </c>
    </row>
    <row r="1115" spans="1:14" x14ac:dyDescent="0.25">
      <c r="A1115" s="1" t="s">
        <v>1469</v>
      </c>
      <c r="B1115" s="1" t="s">
        <v>1364</v>
      </c>
      <c r="C1115" s="1" t="s">
        <v>82</v>
      </c>
      <c r="D1115" s="2"/>
      <c r="E1115" s="1" t="s">
        <v>207</v>
      </c>
      <c r="F1115" s="1"/>
      <c r="G1115" s="1" t="s">
        <v>35</v>
      </c>
      <c r="H1115" s="2"/>
      <c r="I1115">
        <v>1</v>
      </c>
      <c r="J1115" s="1" t="s">
        <v>234</v>
      </c>
      <c r="K1115" s="1" t="s">
        <v>879</v>
      </c>
      <c r="M1115" s="1" t="s">
        <v>234</v>
      </c>
      <c r="N1115" s="1" t="s">
        <v>235</v>
      </c>
    </row>
    <row r="1116" spans="1:14" x14ac:dyDescent="0.25">
      <c r="A1116" s="1" t="s">
        <v>1470</v>
      </c>
      <c r="B1116" s="1" t="s">
        <v>1364</v>
      </c>
      <c r="C1116" s="1" t="s">
        <v>82</v>
      </c>
      <c r="D1116" s="2"/>
      <c r="E1116" s="1" t="s">
        <v>207</v>
      </c>
      <c r="F1116" s="1"/>
      <c r="G1116" s="1" t="s">
        <v>35</v>
      </c>
      <c r="H1116" s="2"/>
      <c r="I1116">
        <v>1</v>
      </c>
      <c r="J1116" s="1" t="s">
        <v>234</v>
      </c>
      <c r="K1116" s="1" t="s">
        <v>879</v>
      </c>
      <c r="M1116" s="1" t="s">
        <v>234</v>
      </c>
      <c r="N1116" s="1" t="s">
        <v>235</v>
      </c>
    </row>
    <row r="1117" spans="1:14" x14ac:dyDescent="0.25">
      <c r="A1117" s="1" t="s">
        <v>1471</v>
      </c>
      <c r="B1117" s="1" t="s">
        <v>1364</v>
      </c>
      <c r="C1117" s="1" t="s">
        <v>82</v>
      </c>
      <c r="D1117" s="2"/>
      <c r="E1117" s="1" t="s">
        <v>207</v>
      </c>
      <c r="F1117" s="1"/>
      <c r="G1117" s="1" t="s">
        <v>35</v>
      </c>
      <c r="H1117" s="2"/>
      <c r="I1117">
        <v>1</v>
      </c>
      <c r="J1117" s="1" t="s">
        <v>234</v>
      </c>
      <c r="K1117" s="1" t="s">
        <v>879</v>
      </c>
      <c r="M1117" s="1" t="s">
        <v>234</v>
      </c>
      <c r="N1117" s="1" t="s">
        <v>235</v>
      </c>
    </row>
    <row r="1118" spans="1:14" x14ac:dyDescent="0.25">
      <c r="A1118" s="1" t="s">
        <v>1472</v>
      </c>
      <c r="B1118" s="1" t="s">
        <v>1364</v>
      </c>
      <c r="C1118" s="1" t="s">
        <v>82</v>
      </c>
      <c r="D1118" s="2"/>
      <c r="E1118" s="1" t="s">
        <v>207</v>
      </c>
      <c r="F1118" s="1"/>
      <c r="G1118" s="1" t="s">
        <v>35</v>
      </c>
      <c r="H1118" s="2"/>
      <c r="I1118">
        <v>1</v>
      </c>
      <c r="J1118" s="1" t="s">
        <v>234</v>
      </c>
      <c r="K1118" s="1" t="s">
        <v>879</v>
      </c>
      <c r="M1118" s="1" t="s">
        <v>234</v>
      </c>
      <c r="N1118" s="1" t="s">
        <v>235</v>
      </c>
    </row>
    <row r="1119" spans="1:14" x14ac:dyDescent="0.25">
      <c r="A1119" s="1" t="s">
        <v>1473</v>
      </c>
      <c r="B1119" s="1" t="s">
        <v>1364</v>
      </c>
      <c r="C1119" s="1" t="s">
        <v>82</v>
      </c>
      <c r="D1119" s="2"/>
      <c r="E1119" s="1" t="s">
        <v>207</v>
      </c>
      <c r="F1119" s="1"/>
      <c r="G1119" s="1" t="s">
        <v>35</v>
      </c>
      <c r="H1119" s="2"/>
      <c r="I1119">
        <v>1</v>
      </c>
      <c r="J1119" s="1" t="s">
        <v>234</v>
      </c>
      <c r="K1119" s="1" t="s">
        <v>879</v>
      </c>
      <c r="M1119" s="1" t="s">
        <v>234</v>
      </c>
      <c r="N1119" s="1" t="s">
        <v>235</v>
      </c>
    </row>
    <row r="1120" spans="1:14" x14ac:dyDescent="0.25">
      <c r="A1120" s="1" t="s">
        <v>1474</v>
      </c>
      <c r="B1120" s="1" t="s">
        <v>1364</v>
      </c>
      <c r="C1120" s="1" t="s">
        <v>82</v>
      </c>
      <c r="D1120" s="2"/>
      <c r="E1120" s="1" t="s">
        <v>207</v>
      </c>
      <c r="F1120" s="1"/>
      <c r="G1120" s="1" t="s">
        <v>35</v>
      </c>
      <c r="H1120" s="2"/>
      <c r="I1120">
        <v>1</v>
      </c>
      <c r="J1120" s="1" t="s">
        <v>234</v>
      </c>
      <c r="K1120" s="1" t="s">
        <v>879</v>
      </c>
      <c r="M1120" s="1" t="s">
        <v>234</v>
      </c>
      <c r="N1120" s="1" t="s">
        <v>235</v>
      </c>
    </row>
    <row r="1121" spans="1:14" x14ac:dyDescent="0.25">
      <c r="A1121" s="1" t="s">
        <v>1475</v>
      </c>
      <c r="B1121" s="1" t="s">
        <v>1364</v>
      </c>
      <c r="C1121" s="1" t="s">
        <v>82</v>
      </c>
      <c r="D1121" s="2"/>
      <c r="E1121" s="1" t="s">
        <v>207</v>
      </c>
      <c r="F1121" s="1"/>
      <c r="G1121" s="1" t="s">
        <v>35</v>
      </c>
      <c r="H1121" s="2"/>
      <c r="I1121">
        <v>1</v>
      </c>
      <c r="J1121" s="1" t="s">
        <v>234</v>
      </c>
      <c r="K1121" s="1" t="s">
        <v>879</v>
      </c>
      <c r="M1121" s="1" t="s">
        <v>234</v>
      </c>
      <c r="N1121" s="1" t="s">
        <v>235</v>
      </c>
    </row>
    <row r="1122" spans="1:14" x14ac:dyDescent="0.25">
      <c r="A1122" s="1" t="s">
        <v>1476</v>
      </c>
      <c r="B1122" s="1" t="s">
        <v>1364</v>
      </c>
      <c r="C1122" s="1" t="s">
        <v>82</v>
      </c>
      <c r="D1122" s="2"/>
      <c r="E1122" s="1" t="s">
        <v>207</v>
      </c>
      <c r="F1122" s="1"/>
      <c r="G1122" s="1" t="s">
        <v>35</v>
      </c>
      <c r="H1122" s="2"/>
      <c r="I1122">
        <v>1</v>
      </c>
      <c r="J1122" s="1" t="s">
        <v>234</v>
      </c>
      <c r="K1122" s="1" t="s">
        <v>879</v>
      </c>
      <c r="M1122" s="1" t="s">
        <v>234</v>
      </c>
      <c r="N1122" s="1" t="s">
        <v>235</v>
      </c>
    </row>
    <row r="1123" spans="1:14" x14ac:dyDescent="0.25">
      <c r="A1123" s="1" t="s">
        <v>1477</v>
      </c>
      <c r="B1123" s="1" t="s">
        <v>1364</v>
      </c>
      <c r="C1123" s="1" t="s">
        <v>82</v>
      </c>
      <c r="D1123" s="2"/>
      <c r="E1123" s="1" t="s">
        <v>207</v>
      </c>
      <c r="F1123" s="1"/>
      <c r="G1123" s="1" t="s">
        <v>35</v>
      </c>
      <c r="H1123" s="2"/>
      <c r="I1123">
        <v>1</v>
      </c>
      <c r="J1123" s="1" t="s">
        <v>234</v>
      </c>
      <c r="K1123" s="1" t="s">
        <v>879</v>
      </c>
      <c r="M1123" s="1" t="s">
        <v>234</v>
      </c>
      <c r="N1123" s="1" t="s">
        <v>235</v>
      </c>
    </row>
    <row r="1124" spans="1:14" x14ac:dyDescent="0.25">
      <c r="A1124" s="1" t="s">
        <v>1478</v>
      </c>
      <c r="B1124" s="1" t="s">
        <v>1364</v>
      </c>
      <c r="C1124" s="1" t="s">
        <v>82</v>
      </c>
      <c r="D1124" s="2"/>
      <c r="E1124" s="1" t="s">
        <v>207</v>
      </c>
      <c r="F1124" s="1"/>
      <c r="G1124" s="1" t="s">
        <v>35</v>
      </c>
      <c r="H1124" s="2"/>
      <c r="I1124">
        <v>1</v>
      </c>
      <c r="J1124" s="1" t="s">
        <v>234</v>
      </c>
      <c r="K1124" s="1" t="s">
        <v>879</v>
      </c>
      <c r="M1124" s="1" t="s">
        <v>234</v>
      </c>
      <c r="N1124" s="1" t="s">
        <v>235</v>
      </c>
    </row>
    <row r="1125" spans="1:14" x14ac:dyDescent="0.25">
      <c r="A1125" s="1" t="s">
        <v>1479</v>
      </c>
      <c r="B1125" s="1" t="s">
        <v>1364</v>
      </c>
      <c r="C1125" s="1" t="s">
        <v>82</v>
      </c>
      <c r="D1125" s="2"/>
      <c r="E1125" s="1" t="s">
        <v>207</v>
      </c>
      <c r="F1125" s="1"/>
      <c r="G1125" s="1" t="s">
        <v>35</v>
      </c>
      <c r="H1125" s="2"/>
      <c r="I1125">
        <v>1</v>
      </c>
      <c r="J1125" s="1" t="s">
        <v>234</v>
      </c>
      <c r="K1125" s="1" t="s">
        <v>879</v>
      </c>
      <c r="M1125" s="1" t="s">
        <v>234</v>
      </c>
      <c r="N1125" s="1" t="s">
        <v>235</v>
      </c>
    </row>
    <row r="1126" spans="1:14" x14ac:dyDescent="0.25">
      <c r="A1126" s="1" t="s">
        <v>1480</v>
      </c>
      <c r="B1126" s="1" t="s">
        <v>1364</v>
      </c>
      <c r="C1126" s="1" t="s">
        <v>82</v>
      </c>
      <c r="D1126" s="2"/>
      <c r="E1126" s="1" t="s">
        <v>207</v>
      </c>
      <c r="F1126" s="1"/>
      <c r="G1126" s="1" t="s">
        <v>35</v>
      </c>
      <c r="H1126" s="2"/>
      <c r="I1126">
        <v>1</v>
      </c>
      <c r="J1126" s="1" t="s">
        <v>234</v>
      </c>
      <c r="K1126" s="1" t="s">
        <v>879</v>
      </c>
      <c r="M1126" s="1" t="s">
        <v>234</v>
      </c>
      <c r="N1126" s="1" t="s">
        <v>235</v>
      </c>
    </row>
    <row r="1127" spans="1:14" x14ac:dyDescent="0.25">
      <c r="A1127" s="1" t="s">
        <v>1481</v>
      </c>
      <c r="B1127" s="1" t="s">
        <v>1364</v>
      </c>
      <c r="C1127" s="1" t="s">
        <v>82</v>
      </c>
      <c r="D1127" s="2"/>
      <c r="E1127" s="1" t="s">
        <v>207</v>
      </c>
      <c r="F1127" s="1"/>
      <c r="G1127" s="1" t="s">
        <v>35</v>
      </c>
      <c r="H1127" s="2"/>
      <c r="I1127">
        <v>1</v>
      </c>
      <c r="J1127" s="1" t="s">
        <v>234</v>
      </c>
      <c r="K1127" s="1" t="s">
        <v>879</v>
      </c>
      <c r="M1127" s="1" t="s">
        <v>234</v>
      </c>
      <c r="N1127" s="1" t="s">
        <v>235</v>
      </c>
    </row>
    <row r="1128" spans="1:14" x14ac:dyDescent="0.25">
      <c r="A1128" s="1" t="s">
        <v>1482</v>
      </c>
      <c r="B1128" s="1" t="s">
        <v>1364</v>
      </c>
      <c r="C1128" s="1" t="s">
        <v>82</v>
      </c>
      <c r="D1128" s="2"/>
      <c r="E1128" s="1" t="s">
        <v>207</v>
      </c>
      <c r="F1128" s="1"/>
      <c r="G1128" s="1" t="s">
        <v>35</v>
      </c>
      <c r="H1128" s="2"/>
      <c r="I1128">
        <v>1</v>
      </c>
      <c r="J1128" s="1" t="s">
        <v>234</v>
      </c>
      <c r="K1128" s="1" t="s">
        <v>879</v>
      </c>
      <c r="M1128" s="1" t="s">
        <v>234</v>
      </c>
      <c r="N1128" s="1" t="s">
        <v>235</v>
      </c>
    </row>
    <row r="1129" spans="1:14" x14ac:dyDescent="0.25">
      <c r="A1129" s="1" t="s">
        <v>1483</v>
      </c>
      <c r="B1129" s="1" t="s">
        <v>1364</v>
      </c>
      <c r="C1129" s="1" t="s">
        <v>82</v>
      </c>
      <c r="D1129" s="2"/>
      <c r="E1129" s="1" t="s">
        <v>207</v>
      </c>
      <c r="F1129" s="1"/>
      <c r="G1129" s="1" t="s">
        <v>35</v>
      </c>
      <c r="H1129" s="2"/>
      <c r="I1129">
        <v>1</v>
      </c>
      <c r="J1129" s="1" t="s">
        <v>234</v>
      </c>
      <c r="K1129" s="1" t="s">
        <v>879</v>
      </c>
      <c r="M1129" s="1" t="s">
        <v>234</v>
      </c>
      <c r="N1129" s="1" t="s">
        <v>235</v>
      </c>
    </row>
    <row r="1130" spans="1:14" x14ac:dyDescent="0.25">
      <c r="A1130" s="1" t="s">
        <v>1484</v>
      </c>
      <c r="B1130" s="1" t="s">
        <v>1364</v>
      </c>
      <c r="C1130" s="1" t="s">
        <v>82</v>
      </c>
      <c r="D1130" s="2"/>
      <c r="E1130" s="1" t="s">
        <v>207</v>
      </c>
      <c r="F1130" s="1"/>
      <c r="G1130" s="1" t="s">
        <v>35</v>
      </c>
      <c r="H1130" s="2"/>
      <c r="I1130">
        <v>1</v>
      </c>
      <c r="J1130" s="1" t="s">
        <v>234</v>
      </c>
      <c r="K1130" s="1" t="s">
        <v>879</v>
      </c>
      <c r="M1130" s="1" t="s">
        <v>234</v>
      </c>
      <c r="N1130" s="1" t="s">
        <v>235</v>
      </c>
    </row>
    <row r="1131" spans="1:14" x14ac:dyDescent="0.25">
      <c r="A1131" s="1" t="s">
        <v>1485</v>
      </c>
      <c r="B1131" s="1" t="s">
        <v>1364</v>
      </c>
      <c r="C1131" s="1" t="s">
        <v>82</v>
      </c>
      <c r="D1131" s="2"/>
      <c r="E1131" s="1" t="s">
        <v>207</v>
      </c>
      <c r="F1131" s="1"/>
      <c r="G1131" s="1" t="s">
        <v>35</v>
      </c>
      <c r="H1131" s="2"/>
      <c r="I1131">
        <v>1</v>
      </c>
      <c r="J1131" s="1" t="s">
        <v>234</v>
      </c>
      <c r="K1131" s="1" t="s">
        <v>879</v>
      </c>
      <c r="M1131" s="1" t="s">
        <v>234</v>
      </c>
      <c r="N1131" s="1" t="s">
        <v>235</v>
      </c>
    </row>
    <row r="1132" spans="1:14" x14ac:dyDescent="0.25">
      <c r="A1132" s="1" t="s">
        <v>1486</v>
      </c>
      <c r="B1132" s="1" t="s">
        <v>1364</v>
      </c>
      <c r="C1132" s="1" t="s">
        <v>82</v>
      </c>
      <c r="D1132" s="2"/>
      <c r="E1132" s="1" t="s">
        <v>207</v>
      </c>
      <c r="F1132" s="1"/>
      <c r="G1132" s="1" t="s">
        <v>35</v>
      </c>
      <c r="H1132" s="2"/>
      <c r="I1132">
        <v>1</v>
      </c>
      <c r="J1132" s="1" t="s">
        <v>234</v>
      </c>
      <c r="K1132" s="1" t="s">
        <v>879</v>
      </c>
      <c r="M1132" s="1" t="s">
        <v>234</v>
      </c>
      <c r="N1132" s="1" t="s">
        <v>235</v>
      </c>
    </row>
    <row r="1133" spans="1:14" x14ac:dyDescent="0.25">
      <c r="A1133" s="1" t="s">
        <v>1487</v>
      </c>
      <c r="B1133" s="1" t="s">
        <v>1364</v>
      </c>
      <c r="C1133" s="1" t="s">
        <v>82</v>
      </c>
      <c r="D1133" s="2"/>
      <c r="E1133" s="1" t="s">
        <v>207</v>
      </c>
      <c r="F1133" s="1"/>
      <c r="G1133" s="1" t="s">
        <v>35</v>
      </c>
      <c r="H1133" s="2"/>
      <c r="I1133">
        <v>1</v>
      </c>
      <c r="J1133" s="1" t="s">
        <v>234</v>
      </c>
      <c r="K1133" s="1" t="s">
        <v>879</v>
      </c>
      <c r="M1133" s="1" t="s">
        <v>234</v>
      </c>
      <c r="N1133" s="1" t="s">
        <v>235</v>
      </c>
    </row>
    <row r="1134" spans="1:14" x14ac:dyDescent="0.25">
      <c r="A1134" s="1" t="s">
        <v>1488</v>
      </c>
      <c r="B1134" s="1" t="s">
        <v>1364</v>
      </c>
      <c r="C1134" s="1" t="s">
        <v>82</v>
      </c>
      <c r="D1134" s="2"/>
      <c r="E1134" s="1" t="s">
        <v>207</v>
      </c>
      <c r="F1134" s="1"/>
      <c r="G1134" s="1" t="s">
        <v>35</v>
      </c>
      <c r="H1134" s="2"/>
      <c r="I1134">
        <v>1</v>
      </c>
      <c r="J1134" s="1" t="s">
        <v>234</v>
      </c>
      <c r="K1134" s="1" t="s">
        <v>879</v>
      </c>
      <c r="M1134" s="1" t="s">
        <v>234</v>
      </c>
      <c r="N1134" s="1" t="s">
        <v>235</v>
      </c>
    </row>
    <row r="1135" spans="1:14" x14ac:dyDescent="0.25">
      <c r="A1135" s="1" t="s">
        <v>1489</v>
      </c>
      <c r="B1135" s="1" t="s">
        <v>1364</v>
      </c>
      <c r="C1135" s="1" t="s">
        <v>82</v>
      </c>
      <c r="D1135" s="2"/>
      <c r="E1135" s="1" t="s">
        <v>207</v>
      </c>
      <c r="F1135" s="1"/>
      <c r="G1135" s="1" t="s">
        <v>35</v>
      </c>
      <c r="H1135" s="2"/>
      <c r="I1135">
        <v>1</v>
      </c>
      <c r="J1135" s="1" t="s">
        <v>234</v>
      </c>
      <c r="K1135" s="1" t="s">
        <v>879</v>
      </c>
      <c r="M1135" s="1" t="s">
        <v>234</v>
      </c>
      <c r="N1135" s="1" t="s">
        <v>235</v>
      </c>
    </row>
    <row r="1136" spans="1:14" x14ac:dyDescent="0.25">
      <c r="A1136" s="1" t="s">
        <v>1490</v>
      </c>
      <c r="B1136" s="1" t="s">
        <v>1364</v>
      </c>
      <c r="C1136" s="1" t="s">
        <v>82</v>
      </c>
      <c r="D1136" s="2"/>
      <c r="E1136" s="1" t="s">
        <v>207</v>
      </c>
      <c r="F1136" s="1"/>
      <c r="G1136" s="1" t="s">
        <v>35</v>
      </c>
      <c r="H1136" s="2"/>
      <c r="I1136">
        <v>1</v>
      </c>
      <c r="J1136" s="1" t="s">
        <v>234</v>
      </c>
      <c r="K1136" s="1" t="s">
        <v>879</v>
      </c>
      <c r="M1136" s="1" t="s">
        <v>234</v>
      </c>
      <c r="N1136" s="1" t="s">
        <v>235</v>
      </c>
    </row>
    <row r="1137" spans="1:14" x14ac:dyDescent="0.25">
      <c r="A1137" s="1" t="s">
        <v>1491</v>
      </c>
      <c r="B1137" s="1" t="s">
        <v>1364</v>
      </c>
      <c r="C1137" s="1" t="s">
        <v>82</v>
      </c>
      <c r="D1137" s="2"/>
      <c r="E1137" s="1" t="s">
        <v>207</v>
      </c>
      <c r="F1137" s="1"/>
      <c r="G1137" s="1" t="s">
        <v>35</v>
      </c>
      <c r="H1137" s="2"/>
      <c r="I1137">
        <v>1</v>
      </c>
      <c r="J1137" s="1" t="s">
        <v>234</v>
      </c>
      <c r="K1137" s="1" t="s">
        <v>879</v>
      </c>
      <c r="M1137" s="1" t="s">
        <v>234</v>
      </c>
      <c r="N1137" s="1" t="s">
        <v>235</v>
      </c>
    </row>
    <row r="1138" spans="1:14" x14ac:dyDescent="0.25">
      <c r="A1138" s="1" t="s">
        <v>1492</v>
      </c>
      <c r="B1138" s="1" t="s">
        <v>1364</v>
      </c>
      <c r="C1138" s="1" t="s">
        <v>82</v>
      </c>
      <c r="D1138" s="2"/>
      <c r="E1138" s="1" t="s">
        <v>207</v>
      </c>
      <c r="F1138" s="1"/>
      <c r="G1138" s="1" t="s">
        <v>35</v>
      </c>
      <c r="H1138" s="2"/>
      <c r="I1138">
        <v>1</v>
      </c>
      <c r="J1138" s="1" t="s">
        <v>234</v>
      </c>
      <c r="K1138" s="1" t="s">
        <v>879</v>
      </c>
      <c r="M1138" s="1" t="s">
        <v>234</v>
      </c>
      <c r="N1138" s="1" t="s">
        <v>235</v>
      </c>
    </row>
    <row r="1139" spans="1:14" x14ac:dyDescent="0.25">
      <c r="A1139" s="1" t="s">
        <v>1493</v>
      </c>
      <c r="B1139" s="1" t="s">
        <v>1364</v>
      </c>
      <c r="C1139" s="1" t="s">
        <v>82</v>
      </c>
      <c r="D1139" s="2"/>
      <c r="E1139" s="1" t="s">
        <v>207</v>
      </c>
      <c r="F1139" s="1"/>
      <c r="G1139" s="1" t="s">
        <v>35</v>
      </c>
      <c r="H1139" s="2"/>
      <c r="I1139">
        <v>1</v>
      </c>
      <c r="J1139" s="1" t="s">
        <v>234</v>
      </c>
      <c r="K1139" s="1" t="s">
        <v>879</v>
      </c>
      <c r="M1139" s="1" t="s">
        <v>234</v>
      </c>
      <c r="N1139" s="1" t="s">
        <v>235</v>
      </c>
    </row>
    <row r="1140" spans="1:14" x14ac:dyDescent="0.25">
      <c r="A1140" s="1" t="s">
        <v>1494</v>
      </c>
      <c r="B1140" s="1" t="s">
        <v>1364</v>
      </c>
      <c r="C1140" s="1" t="s">
        <v>82</v>
      </c>
      <c r="D1140" s="2"/>
      <c r="E1140" s="1" t="s">
        <v>207</v>
      </c>
      <c r="F1140" s="1"/>
      <c r="G1140" s="1" t="s">
        <v>35</v>
      </c>
      <c r="H1140" s="2"/>
      <c r="I1140">
        <v>1</v>
      </c>
      <c r="J1140" s="1" t="s">
        <v>234</v>
      </c>
      <c r="K1140" s="1" t="s">
        <v>879</v>
      </c>
      <c r="M1140" s="1" t="s">
        <v>234</v>
      </c>
      <c r="N1140" s="1" t="s">
        <v>235</v>
      </c>
    </row>
    <row r="1141" spans="1:14" x14ac:dyDescent="0.25">
      <c r="A1141" s="1" t="s">
        <v>1495</v>
      </c>
      <c r="B1141" s="1" t="s">
        <v>1364</v>
      </c>
      <c r="C1141" s="1" t="s">
        <v>82</v>
      </c>
      <c r="D1141" s="2"/>
      <c r="E1141" s="1" t="s">
        <v>207</v>
      </c>
      <c r="F1141" s="1"/>
      <c r="G1141" s="1" t="s">
        <v>35</v>
      </c>
      <c r="H1141" s="2"/>
      <c r="I1141">
        <v>1</v>
      </c>
      <c r="J1141" s="1" t="s">
        <v>234</v>
      </c>
      <c r="K1141" s="1" t="s">
        <v>879</v>
      </c>
      <c r="M1141" s="1" t="s">
        <v>234</v>
      </c>
      <c r="N1141" s="1" t="s">
        <v>235</v>
      </c>
    </row>
    <row r="1142" spans="1:14" x14ac:dyDescent="0.25">
      <c r="A1142" s="1" t="s">
        <v>1496</v>
      </c>
      <c r="B1142" s="1" t="s">
        <v>1364</v>
      </c>
      <c r="C1142" s="1" t="s">
        <v>82</v>
      </c>
      <c r="D1142" s="2"/>
      <c r="E1142" s="1" t="s">
        <v>207</v>
      </c>
      <c r="F1142" s="1"/>
      <c r="G1142" s="1" t="s">
        <v>35</v>
      </c>
      <c r="H1142" s="2"/>
      <c r="I1142">
        <v>1</v>
      </c>
      <c r="J1142" s="1" t="s">
        <v>234</v>
      </c>
      <c r="K1142" s="1" t="s">
        <v>879</v>
      </c>
      <c r="M1142" s="1" t="s">
        <v>234</v>
      </c>
      <c r="N1142" s="1" t="s">
        <v>235</v>
      </c>
    </row>
    <row r="1143" spans="1:14" x14ac:dyDescent="0.25">
      <c r="A1143" s="1" t="s">
        <v>1497</v>
      </c>
      <c r="B1143" s="1" t="s">
        <v>1364</v>
      </c>
      <c r="C1143" s="1" t="s">
        <v>82</v>
      </c>
      <c r="D1143" s="2"/>
      <c r="E1143" s="1" t="s">
        <v>207</v>
      </c>
      <c r="F1143" s="1"/>
      <c r="G1143" s="1" t="s">
        <v>35</v>
      </c>
      <c r="H1143" s="2"/>
      <c r="I1143">
        <v>1</v>
      </c>
      <c r="J1143" s="1" t="s">
        <v>234</v>
      </c>
      <c r="K1143" s="1" t="s">
        <v>879</v>
      </c>
      <c r="M1143" s="1" t="s">
        <v>234</v>
      </c>
      <c r="N1143" s="1" t="s">
        <v>235</v>
      </c>
    </row>
    <row r="1144" spans="1:14" x14ac:dyDescent="0.25">
      <c r="A1144" s="1" t="s">
        <v>1498</v>
      </c>
      <c r="B1144" s="1" t="s">
        <v>1364</v>
      </c>
      <c r="C1144" s="1" t="s">
        <v>82</v>
      </c>
      <c r="D1144" s="2"/>
      <c r="E1144" s="1" t="s">
        <v>207</v>
      </c>
      <c r="F1144" s="1"/>
      <c r="G1144" s="1" t="s">
        <v>35</v>
      </c>
      <c r="H1144" s="2"/>
      <c r="I1144">
        <v>1</v>
      </c>
      <c r="J1144" s="1" t="s">
        <v>234</v>
      </c>
      <c r="K1144" s="1" t="s">
        <v>879</v>
      </c>
      <c r="M1144" s="1" t="s">
        <v>234</v>
      </c>
      <c r="N1144" s="1" t="s">
        <v>235</v>
      </c>
    </row>
    <row r="1145" spans="1:14" x14ac:dyDescent="0.25">
      <c r="A1145" s="1" t="s">
        <v>1499</v>
      </c>
      <c r="B1145" s="1" t="s">
        <v>1364</v>
      </c>
      <c r="C1145" s="1" t="s">
        <v>82</v>
      </c>
      <c r="D1145" s="2"/>
      <c r="E1145" s="1" t="s">
        <v>207</v>
      </c>
      <c r="F1145" s="1"/>
      <c r="G1145" s="1" t="s">
        <v>35</v>
      </c>
      <c r="H1145" s="2"/>
      <c r="I1145">
        <v>1</v>
      </c>
      <c r="J1145" s="1" t="s">
        <v>234</v>
      </c>
      <c r="K1145" s="1" t="s">
        <v>879</v>
      </c>
      <c r="M1145" s="1" t="s">
        <v>234</v>
      </c>
      <c r="N1145" s="1" t="s">
        <v>235</v>
      </c>
    </row>
    <row r="1146" spans="1:14" x14ac:dyDescent="0.25">
      <c r="A1146" s="1" t="s">
        <v>1500</v>
      </c>
      <c r="B1146" s="1" t="s">
        <v>1364</v>
      </c>
      <c r="C1146" s="1" t="s">
        <v>82</v>
      </c>
      <c r="D1146" s="2"/>
      <c r="E1146" s="1" t="s">
        <v>207</v>
      </c>
      <c r="F1146" s="1"/>
      <c r="G1146" s="1" t="s">
        <v>35</v>
      </c>
      <c r="H1146" s="2"/>
      <c r="I1146">
        <v>1</v>
      </c>
      <c r="J1146" s="1" t="s">
        <v>234</v>
      </c>
      <c r="K1146" s="1" t="s">
        <v>879</v>
      </c>
      <c r="M1146" s="1" t="s">
        <v>234</v>
      </c>
      <c r="N1146" s="1" t="s">
        <v>235</v>
      </c>
    </row>
    <row r="1147" spans="1:14" x14ac:dyDescent="0.25">
      <c r="A1147" s="1" t="s">
        <v>1501</v>
      </c>
      <c r="B1147" s="1" t="s">
        <v>1364</v>
      </c>
      <c r="C1147" s="1" t="s">
        <v>82</v>
      </c>
      <c r="D1147" s="2"/>
      <c r="E1147" s="1" t="s">
        <v>207</v>
      </c>
      <c r="F1147" s="1"/>
      <c r="G1147" s="1" t="s">
        <v>35</v>
      </c>
      <c r="H1147" s="2"/>
      <c r="I1147">
        <v>1</v>
      </c>
      <c r="J1147" s="1" t="s">
        <v>234</v>
      </c>
      <c r="K1147" s="1" t="s">
        <v>879</v>
      </c>
      <c r="M1147" s="1" t="s">
        <v>234</v>
      </c>
      <c r="N1147" s="1" t="s">
        <v>235</v>
      </c>
    </row>
    <row r="1148" spans="1:14" x14ac:dyDescent="0.25">
      <c r="A1148" s="1" t="s">
        <v>1502</v>
      </c>
      <c r="B1148" s="1" t="s">
        <v>1364</v>
      </c>
      <c r="C1148" s="1" t="s">
        <v>82</v>
      </c>
      <c r="D1148" s="2"/>
      <c r="E1148" s="1" t="s">
        <v>207</v>
      </c>
      <c r="F1148" s="1"/>
      <c r="G1148" s="1" t="s">
        <v>35</v>
      </c>
      <c r="H1148" s="2"/>
      <c r="I1148">
        <v>1</v>
      </c>
      <c r="J1148" s="1" t="s">
        <v>234</v>
      </c>
      <c r="K1148" s="1" t="s">
        <v>879</v>
      </c>
      <c r="M1148" s="1" t="s">
        <v>234</v>
      </c>
      <c r="N1148" s="1" t="s">
        <v>235</v>
      </c>
    </row>
    <row r="1149" spans="1:14" x14ac:dyDescent="0.25">
      <c r="A1149" s="1" t="s">
        <v>1503</v>
      </c>
      <c r="B1149" s="1" t="s">
        <v>1364</v>
      </c>
      <c r="C1149" s="1" t="s">
        <v>82</v>
      </c>
      <c r="D1149" s="2"/>
      <c r="E1149" s="1" t="s">
        <v>207</v>
      </c>
      <c r="F1149" s="1"/>
      <c r="G1149" s="1" t="s">
        <v>35</v>
      </c>
      <c r="H1149" s="2"/>
      <c r="I1149">
        <v>1</v>
      </c>
      <c r="J1149" s="1" t="s">
        <v>234</v>
      </c>
      <c r="K1149" s="1" t="s">
        <v>879</v>
      </c>
      <c r="M1149" s="1" t="s">
        <v>234</v>
      </c>
      <c r="N1149" s="1" t="s">
        <v>235</v>
      </c>
    </row>
    <row r="1150" spans="1:14" x14ac:dyDescent="0.25">
      <c r="A1150" s="1" t="s">
        <v>1504</v>
      </c>
      <c r="B1150" s="1" t="s">
        <v>1364</v>
      </c>
      <c r="C1150" s="1" t="s">
        <v>82</v>
      </c>
      <c r="D1150" s="2"/>
      <c r="E1150" s="1" t="s">
        <v>207</v>
      </c>
      <c r="F1150" s="1"/>
      <c r="G1150" s="1" t="s">
        <v>35</v>
      </c>
      <c r="H1150" s="2"/>
      <c r="I1150">
        <v>1</v>
      </c>
      <c r="J1150" s="1" t="s">
        <v>234</v>
      </c>
      <c r="K1150" s="1" t="s">
        <v>879</v>
      </c>
      <c r="M1150" s="1" t="s">
        <v>234</v>
      </c>
      <c r="N1150" s="1" t="s">
        <v>235</v>
      </c>
    </row>
    <row r="1151" spans="1:14" x14ac:dyDescent="0.25">
      <c r="A1151" s="1" t="s">
        <v>1505</v>
      </c>
      <c r="B1151" s="1" t="s">
        <v>1364</v>
      </c>
      <c r="C1151" s="1" t="s">
        <v>82</v>
      </c>
      <c r="D1151" s="2"/>
      <c r="E1151" s="1" t="s">
        <v>207</v>
      </c>
      <c r="F1151" s="1"/>
      <c r="G1151" s="1" t="s">
        <v>35</v>
      </c>
      <c r="H1151" s="2"/>
      <c r="I1151">
        <v>1</v>
      </c>
      <c r="J1151" s="1" t="s">
        <v>234</v>
      </c>
      <c r="K1151" s="1" t="s">
        <v>879</v>
      </c>
      <c r="M1151" s="1" t="s">
        <v>234</v>
      </c>
      <c r="N1151" s="1" t="s">
        <v>235</v>
      </c>
    </row>
    <row r="1152" spans="1:14" x14ac:dyDescent="0.25">
      <c r="A1152" s="1" t="s">
        <v>1506</v>
      </c>
      <c r="B1152" s="1" t="s">
        <v>1364</v>
      </c>
      <c r="C1152" s="1" t="s">
        <v>82</v>
      </c>
      <c r="D1152" s="2"/>
      <c r="E1152" s="1" t="s">
        <v>207</v>
      </c>
      <c r="F1152" s="1"/>
      <c r="G1152" s="1" t="s">
        <v>35</v>
      </c>
      <c r="H1152" s="2"/>
      <c r="I1152">
        <v>1</v>
      </c>
      <c r="J1152" s="1" t="s">
        <v>234</v>
      </c>
      <c r="K1152" s="1" t="s">
        <v>879</v>
      </c>
      <c r="M1152" s="1" t="s">
        <v>234</v>
      </c>
      <c r="N1152" s="1" t="s">
        <v>235</v>
      </c>
    </row>
    <row r="1153" spans="1:14" x14ac:dyDescent="0.25">
      <c r="A1153" s="1" t="s">
        <v>1507</v>
      </c>
      <c r="B1153" s="1" t="s">
        <v>1364</v>
      </c>
      <c r="C1153" s="1" t="s">
        <v>82</v>
      </c>
      <c r="D1153" s="2"/>
      <c r="E1153" s="1" t="s">
        <v>207</v>
      </c>
      <c r="F1153" s="1"/>
      <c r="G1153" s="1" t="s">
        <v>35</v>
      </c>
      <c r="H1153" s="2"/>
      <c r="I1153">
        <v>1</v>
      </c>
      <c r="J1153" s="1" t="s">
        <v>234</v>
      </c>
      <c r="K1153" s="1" t="s">
        <v>879</v>
      </c>
      <c r="M1153" s="1" t="s">
        <v>234</v>
      </c>
      <c r="N1153" s="1" t="s">
        <v>235</v>
      </c>
    </row>
    <row r="1154" spans="1:14" x14ac:dyDescent="0.25">
      <c r="A1154" s="1" t="s">
        <v>1508</v>
      </c>
      <c r="B1154" s="1" t="s">
        <v>1364</v>
      </c>
      <c r="C1154" s="1" t="s">
        <v>82</v>
      </c>
      <c r="D1154" s="2"/>
      <c r="E1154" s="1" t="s">
        <v>207</v>
      </c>
      <c r="F1154" s="1"/>
      <c r="G1154" s="1" t="s">
        <v>35</v>
      </c>
      <c r="H1154" s="2"/>
      <c r="I1154">
        <v>1</v>
      </c>
      <c r="J1154" s="1" t="s">
        <v>234</v>
      </c>
      <c r="K1154" s="1" t="s">
        <v>879</v>
      </c>
      <c r="M1154" s="1" t="s">
        <v>234</v>
      </c>
      <c r="N1154" s="1" t="s">
        <v>235</v>
      </c>
    </row>
    <row r="1155" spans="1:14" x14ac:dyDescent="0.25">
      <c r="A1155" s="1" t="s">
        <v>1509</v>
      </c>
      <c r="B1155" s="1" t="s">
        <v>1364</v>
      </c>
      <c r="C1155" s="1" t="s">
        <v>82</v>
      </c>
      <c r="D1155" s="2"/>
      <c r="E1155" s="1" t="s">
        <v>207</v>
      </c>
      <c r="F1155" s="1"/>
      <c r="G1155" s="1" t="s">
        <v>35</v>
      </c>
      <c r="H1155" s="2"/>
      <c r="I1155">
        <v>1</v>
      </c>
      <c r="J1155" s="1" t="s">
        <v>234</v>
      </c>
      <c r="K1155" s="1" t="s">
        <v>879</v>
      </c>
      <c r="M1155" s="1" t="s">
        <v>234</v>
      </c>
      <c r="N1155" s="1" t="s">
        <v>235</v>
      </c>
    </row>
    <row r="1156" spans="1:14" x14ac:dyDescent="0.25">
      <c r="A1156" s="1" t="s">
        <v>1510</v>
      </c>
      <c r="B1156" s="1" t="s">
        <v>1364</v>
      </c>
      <c r="C1156" s="1" t="s">
        <v>82</v>
      </c>
      <c r="D1156" s="2"/>
      <c r="E1156" s="1" t="s">
        <v>207</v>
      </c>
      <c r="F1156" s="1"/>
      <c r="G1156" s="1" t="s">
        <v>35</v>
      </c>
      <c r="H1156" s="2"/>
      <c r="I1156">
        <v>1</v>
      </c>
      <c r="J1156" s="1" t="s">
        <v>234</v>
      </c>
      <c r="K1156" s="1" t="s">
        <v>879</v>
      </c>
      <c r="M1156" s="1" t="s">
        <v>234</v>
      </c>
      <c r="N1156" s="1" t="s">
        <v>235</v>
      </c>
    </row>
    <row r="1157" spans="1:14" x14ac:dyDescent="0.25">
      <c r="A1157" s="1" t="s">
        <v>1511</v>
      </c>
      <c r="B1157" s="1" t="s">
        <v>1364</v>
      </c>
      <c r="C1157" s="1" t="s">
        <v>82</v>
      </c>
      <c r="D1157" s="2"/>
      <c r="E1157" s="1" t="s">
        <v>207</v>
      </c>
      <c r="F1157" s="1"/>
      <c r="G1157" s="1" t="s">
        <v>35</v>
      </c>
      <c r="H1157" s="2"/>
      <c r="I1157">
        <v>1</v>
      </c>
      <c r="J1157" s="1" t="s">
        <v>234</v>
      </c>
      <c r="K1157" s="1" t="s">
        <v>879</v>
      </c>
      <c r="M1157" s="1" t="s">
        <v>234</v>
      </c>
      <c r="N1157" s="1" t="s">
        <v>235</v>
      </c>
    </row>
    <row r="1158" spans="1:14" x14ac:dyDescent="0.25">
      <c r="A1158" s="1" t="s">
        <v>1512</v>
      </c>
      <c r="B1158" s="1" t="s">
        <v>1364</v>
      </c>
      <c r="C1158" s="1" t="s">
        <v>82</v>
      </c>
      <c r="D1158" s="2"/>
      <c r="E1158" s="1" t="s">
        <v>207</v>
      </c>
      <c r="F1158" s="1"/>
      <c r="G1158" s="1" t="s">
        <v>35</v>
      </c>
      <c r="H1158" s="2"/>
      <c r="I1158">
        <v>1</v>
      </c>
      <c r="J1158" s="1" t="s">
        <v>234</v>
      </c>
      <c r="K1158" s="1" t="s">
        <v>879</v>
      </c>
      <c r="M1158" s="1" t="s">
        <v>234</v>
      </c>
      <c r="N1158" s="1" t="s">
        <v>235</v>
      </c>
    </row>
    <row r="1159" spans="1:14" x14ac:dyDescent="0.25">
      <c r="A1159" s="1" t="s">
        <v>1513</v>
      </c>
      <c r="B1159" s="1" t="s">
        <v>1364</v>
      </c>
      <c r="C1159" s="1" t="s">
        <v>82</v>
      </c>
      <c r="D1159" s="2"/>
      <c r="E1159" s="1" t="s">
        <v>207</v>
      </c>
      <c r="F1159" s="1"/>
      <c r="G1159" s="1" t="s">
        <v>35</v>
      </c>
      <c r="H1159" s="2"/>
      <c r="I1159">
        <v>1</v>
      </c>
      <c r="J1159" s="1" t="s">
        <v>234</v>
      </c>
      <c r="K1159" s="1" t="s">
        <v>879</v>
      </c>
      <c r="M1159" s="1" t="s">
        <v>234</v>
      </c>
      <c r="N1159" s="1" t="s">
        <v>235</v>
      </c>
    </row>
    <row r="1160" spans="1:14" x14ac:dyDescent="0.25">
      <c r="A1160" s="1" t="s">
        <v>1514</v>
      </c>
      <c r="B1160" s="1" t="s">
        <v>1364</v>
      </c>
      <c r="C1160" s="1" t="s">
        <v>82</v>
      </c>
      <c r="D1160" s="2"/>
      <c r="E1160" s="1" t="s">
        <v>207</v>
      </c>
      <c r="F1160" s="1"/>
      <c r="G1160" s="1" t="s">
        <v>35</v>
      </c>
      <c r="H1160" s="2"/>
      <c r="I1160">
        <v>1</v>
      </c>
      <c r="J1160" s="1" t="s">
        <v>234</v>
      </c>
      <c r="K1160" s="1" t="s">
        <v>879</v>
      </c>
      <c r="M1160" s="1" t="s">
        <v>234</v>
      </c>
      <c r="N1160" s="1" t="s">
        <v>235</v>
      </c>
    </row>
    <row r="1161" spans="1:14" x14ac:dyDescent="0.25">
      <c r="A1161" s="1" t="s">
        <v>1515</v>
      </c>
      <c r="B1161" s="1" t="s">
        <v>1364</v>
      </c>
      <c r="C1161" s="1" t="s">
        <v>82</v>
      </c>
      <c r="D1161" s="2"/>
      <c r="E1161" s="1" t="s">
        <v>207</v>
      </c>
      <c r="F1161" s="1"/>
      <c r="G1161" s="1" t="s">
        <v>35</v>
      </c>
      <c r="H1161" s="2"/>
      <c r="I1161">
        <v>1</v>
      </c>
      <c r="J1161" s="1" t="s">
        <v>234</v>
      </c>
      <c r="K1161" s="1" t="s">
        <v>879</v>
      </c>
      <c r="M1161" s="1" t="s">
        <v>234</v>
      </c>
      <c r="N1161" s="1" t="s">
        <v>235</v>
      </c>
    </row>
    <row r="1162" spans="1:14" x14ac:dyDescent="0.25">
      <c r="A1162" s="1" t="s">
        <v>1516</v>
      </c>
      <c r="B1162" s="1" t="s">
        <v>1364</v>
      </c>
      <c r="C1162" s="1" t="s">
        <v>82</v>
      </c>
      <c r="D1162" s="2"/>
      <c r="E1162" s="1" t="s">
        <v>207</v>
      </c>
      <c r="F1162" s="1"/>
      <c r="G1162" s="1" t="s">
        <v>35</v>
      </c>
      <c r="H1162" s="2"/>
      <c r="I1162">
        <v>1</v>
      </c>
      <c r="J1162" s="1" t="s">
        <v>234</v>
      </c>
      <c r="K1162" s="1" t="s">
        <v>879</v>
      </c>
      <c r="M1162" s="1" t="s">
        <v>234</v>
      </c>
      <c r="N1162" s="1" t="s">
        <v>235</v>
      </c>
    </row>
    <row r="1163" spans="1:14" x14ac:dyDescent="0.25">
      <c r="A1163" s="1" t="s">
        <v>1517</v>
      </c>
      <c r="B1163" s="1" t="s">
        <v>1364</v>
      </c>
      <c r="C1163" s="1" t="s">
        <v>82</v>
      </c>
      <c r="D1163" s="2"/>
      <c r="E1163" s="1" t="s">
        <v>207</v>
      </c>
      <c r="F1163" s="1"/>
      <c r="G1163" s="1" t="s">
        <v>35</v>
      </c>
      <c r="H1163" s="2"/>
      <c r="I1163">
        <v>1</v>
      </c>
      <c r="J1163" s="1" t="s">
        <v>234</v>
      </c>
      <c r="K1163" s="1" t="s">
        <v>879</v>
      </c>
      <c r="M1163" s="1" t="s">
        <v>234</v>
      </c>
      <c r="N1163" s="1" t="s">
        <v>235</v>
      </c>
    </row>
    <row r="1164" spans="1:14" x14ac:dyDescent="0.25">
      <c r="A1164" s="1" t="s">
        <v>1518</v>
      </c>
      <c r="B1164" s="1" t="s">
        <v>1364</v>
      </c>
      <c r="C1164" s="1" t="s">
        <v>82</v>
      </c>
      <c r="D1164" s="2"/>
      <c r="E1164" s="1" t="s">
        <v>207</v>
      </c>
      <c r="F1164" s="1"/>
      <c r="G1164" s="1" t="s">
        <v>35</v>
      </c>
      <c r="H1164" s="2"/>
      <c r="I1164">
        <v>1</v>
      </c>
      <c r="J1164" s="1" t="s">
        <v>234</v>
      </c>
      <c r="K1164" s="1" t="s">
        <v>879</v>
      </c>
      <c r="M1164" s="1" t="s">
        <v>234</v>
      </c>
      <c r="N1164" s="1" t="s">
        <v>235</v>
      </c>
    </row>
    <row r="1165" spans="1:14" x14ac:dyDescent="0.25">
      <c r="A1165" s="1" t="s">
        <v>1519</v>
      </c>
      <c r="B1165" s="1" t="s">
        <v>1364</v>
      </c>
      <c r="C1165" s="1" t="s">
        <v>82</v>
      </c>
      <c r="D1165" s="2"/>
      <c r="E1165" s="1" t="s">
        <v>207</v>
      </c>
      <c r="F1165" s="1"/>
      <c r="G1165" s="1" t="s">
        <v>35</v>
      </c>
      <c r="H1165" s="2"/>
      <c r="I1165">
        <v>1</v>
      </c>
      <c r="J1165" s="1" t="s">
        <v>234</v>
      </c>
      <c r="K1165" s="1" t="s">
        <v>879</v>
      </c>
      <c r="M1165" s="1" t="s">
        <v>234</v>
      </c>
      <c r="N1165" s="1" t="s">
        <v>235</v>
      </c>
    </row>
    <row r="1166" spans="1:14" x14ac:dyDescent="0.25">
      <c r="A1166" s="1" t="s">
        <v>1520</v>
      </c>
      <c r="B1166" s="1" t="s">
        <v>1364</v>
      </c>
      <c r="C1166" s="1" t="s">
        <v>82</v>
      </c>
      <c r="D1166" s="2"/>
      <c r="E1166" s="1" t="s">
        <v>207</v>
      </c>
      <c r="F1166" s="1"/>
      <c r="G1166" s="1" t="s">
        <v>35</v>
      </c>
      <c r="H1166" s="2"/>
      <c r="I1166">
        <v>1</v>
      </c>
      <c r="J1166" s="1" t="s">
        <v>234</v>
      </c>
      <c r="K1166" s="1" t="s">
        <v>879</v>
      </c>
      <c r="M1166" s="1" t="s">
        <v>234</v>
      </c>
      <c r="N1166" s="1" t="s">
        <v>235</v>
      </c>
    </row>
    <row r="1167" spans="1:14" x14ac:dyDescent="0.25">
      <c r="A1167" s="1" t="s">
        <v>1521</v>
      </c>
      <c r="B1167" s="1" t="s">
        <v>1364</v>
      </c>
      <c r="C1167" s="1" t="s">
        <v>82</v>
      </c>
      <c r="D1167" s="2"/>
      <c r="E1167" s="1" t="s">
        <v>207</v>
      </c>
      <c r="F1167" s="1"/>
      <c r="G1167" s="1" t="s">
        <v>35</v>
      </c>
      <c r="H1167" s="2"/>
      <c r="I1167">
        <v>1</v>
      </c>
      <c r="J1167" s="1" t="s">
        <v>234</v>
      </c>
      <c r="K1167" s="1" t="s">
        <v>879</v>
      </c>
      <c r="M1167" s="1" t="s">
        <v>234</v>
      </c>
      <c r="N1167" s="1" t="s">
        <v>235</v>
      </c>
    </row>
    <row r="1168" spans="1:14" x14ac:dyDescent="0.25">
      <c r="A1168" s="1" t="s">
        <v>1522</v>
      </c>
      <c r="B1168" s="1" t="s">
        <v>1364</v>
      </c>
      <c r="C1168" s="1" t="s">
        <v>82</v>
      </c>
      <c r="D1168" s="2"/>
      <c r="E1168" s="1" t="s">
        <v>207</v>
      </c>
      <c r="F1168" s="1"/>
      <c r="G1168" s="1" t="s">
        <v>35</v>
      </c>
      <c r="H1168" s="2"/>
      <c r="I1168">
        <v>1</v>
      </c>
      <c r="J1168" s="1" t="s">
        <v>234</v>
      </c>
      <c r="K1168" s="1" t="s">
        <v>879</v>
      </c>
      <c r="M1168" s="1" t="s">
        <v>234</v>
      </c>
      <c r="N1168" s="1" t="s">
        <v>235</v>
      </c>
    </row>
    <row r="1169" spans="1:14" x14ac:dyDescent="0.25">
      <c r="A1169" s="1" t="s">
        <v>1523</v>
      </c>
      <c r="B1169" s="1" t="s">
        <v>1364</v>
      </c>
      <c r="C1169" s="1" t="s">
        <v>82</v>
      </c>
      <c r="D1169" s="2"/>
      <c r="E1169" s="1" t="s">
        <v>207</v>
      </c>
      <c r="F1169" s="1"/>
      <c r="G1169" s="1" t="s">
        <v>35</v>
      </c>
      <c r="H1169" s="2"/>
      <c r="I1169">
        <v>1</v>
      </c>
      <c r="J1169" s="1" t="s">
        <v>234</v>
      </c>
      <c r="K1169" s="1" t="s">
        <v>879</v>
      </c>
      <c r="M1169" s="1" t="s">
        <v>234</v>
      </c>
      <c r="N1169" s="1" t="s">
        <v>235</v>
      </c>
    </row>
    <row r="1170" spans="1:14" x14ac:dyDescent="0.25">
      <c r="A1170" s="1" t="s">
        <v>1524</v>
      </c>
      <c r="B1170" s="1" t="s">
        <v>1364</v>
      </c>
      <c r="C1170" s="1" t="s">
        <v>82</v>
      </c>
      <c r="D1170" s="2"/>
      <c r="E1170" s="1" t="s">
        <v>207</v>
      </c>
      <c r="F1170" s="1"/>
      <c r="G1170" s="1" t="s">
        <v>35</v>
      </c>
      <c r="H1170" s="2"/>
      <c r="I1170">
        <v>1</v>
      </c>
      <c r="J1170" s="1" t="s">
        <v>234</v>
      </c>
      <c r="K1170" s="1" t="s">
        <v>879</v>
      </c>
      <c r="M1170" s="1" t="s">
        <v>234</v>
      </c>
      <c r="N1170" s="1" t="s">
        <v>235</v>
      </c>
    </row>
    <row r="1171" spans="1:14" x14ac:dyDescent="0.25">
      <c r="A1171" s="1" t="s">
        <v>1525</v>
      </c>
      <c r="B1171" s="1" t="s">
        <v>1364</v>
      </c>
      <c r="C1171" s="1" t="s">
        <v>82</v>
      </c>
      <c r="D1171" s="2"/>
      <c r="E1171" s="1" t="s">
        <v>207</v>
      </c>
      <c r="F1171" s="1"/>
      <c r="G1171" s="1" t="s">
        <v>35</v>
      </c>
      <c r="H1171" s="2"/>
      <c r="I1171">
        <v>1</v>
      </c>
      <c r="J1171" s="1" t="s">
        <v>234</v>
      </c>
      <c r="K1171" s="1" t="s">
        <v>879</v>
      </c>
      <c r="M1171" s="1" t="s">
        <v>234</v>
      </c>
      <c r="N1171" s="1" t="s">
        <v>235</v>
      </c>
    </row>
    <row r="1172" spans="1:14" x14ac:dyDescent="0.25">
      <c r="A1172" s="1" t="s">
        <v>1526</v>
      </c>
      <c r="B1172" s="1" t="s">
        <v>1364</v>
      </c>
      <c r="C1172" s="1" t="s">
        <v>82</v>
      </c>
      <c r="D1172" s="2"/>
      <c r="E1172" s="1" t="s">
        <v>207</v>
      </c>
      <c r="F1172" s="1"/>
      <c r="G1172" s="1" t="s">
        <v>35</v>
      </c>
      <c r="H1172" s="2"/>
      <c r="I1172">
        <v>1</v>
      </c>
      <c r="J1172" s="1" t="s">
        <v>234</v>
      </c>
      <c r="K1172" s="1" t="s">
        <v>879</v>
      </c>
      <c r="M1172" s="1" t="s">
        <v>234</v>
      </c>
      <c r="N1172" s="1" t="s">
        <v>235</v>
      </c>
    </row>
    <row r="1173" spans="1:14" x14ac:dyDescent="0.25">
      <c r="A1173" s="1" t="s">
        <v>1527</v>
      </c>
      <c r="B1173" s="1" t="s">
        <v>1364</v>
      </c>
      <c r="C1173" s="1" t="s">
        <v>82</v>
      </c>
      <c r="D1173" s="2"/>
      <c r="E1173" s="1" t="s">
        <v>207</v>
      </c>
      <c r="F1173" s="1"/>
      <c r="G1173" s="1" t="s">
        <v>35</v>
      </c>
      <c r="H1173" s="2"/>
      <c r="I1173">
        <v>1</v>
      </c>
      <c r="J1173" s="1" t="s">
        <v>234</v>
      </c>
      <c r="K1173" s="1" t="s">
        <v>879</v>
      </c>
      <c r="M1173" s="1" t="s">
        <v>234</v>
      </c>
      <c r="N1173" s="1" t="s">
        <v>235</v>
      </c>
    </row>
    <row r="1174" spans="1:14" x14ac:dyDescent="0.25">
      <c r="A1174" s="1" t="s">
        <v>1528</v>
      </c>
      <c r="B1174" s="1" t="s">
        <v>1364</v>
      </c>
      <c r="C1174" s="1" t="s">
        <v>82</v>
      </c>
      <c r="D1174" s="2"/>
      <c r="E1174" s="1" t="s">
        <v>207</v>
      </c>
      <c r="F1174" s="1"/>
      <c r="G1174" s="1" t="s">
        <v>35</v>
      </c>
      <c r="H1174" s="2"/>
      <c r="I1174">
        <v>1</v>
      </c>
      <c r="J1174" s="1" t="s">
        <v>234</v>
      </c>
      <c r="K1174" s="1" t="s">
        <v>879</v>
      </c>
      <c r="M1174" s="1" t="s">
        <v>234</v>
      </c>
      <c r="N1174" s="1" t="s">
        <v>235</v>
      </c>
    </row>
    <row r="1175" spans="1:14" x14ac:dyDescent="0.25">
      <c r="A1175" s="1" t="s">
        <v>1529</v>
      </c>
      <c r="B1175" s="1" t="s">
        <v>1364</v>
      </c>
      <c r="C1175" s="1" t="s">
        <v>82</v>
      </c>
      <c r="D1175" s="2"/>
      <c r="E1175" s="1" t="s">
        <v>207</v>
      </c>
      <c r="F1175" s="1"/>
      <c r="G1175" s="1" t="s">
        <v>35</v>
      </c>
      <c r="H1175" s="2"/>
      <c r="I1175">
        <v>1</v>
      </c>
      <c r="J1175" s="1" t="s">
        <v>234</v>
      </c>
      <c r="K1175" s="1" t="s">
        <v>879</v>
      </c>
      <c r="M1175" s="1" t="s">
        <v>234</v>
      </c>
      <c r="N1175" s="1" t="s">
        <v>235</v>
      </c>
    </row>
    <row r="1176" spans="1:14" x14ac:dyDescent="0.25">
      <c r="A1176" s="1" t="s">
        <v>1530</v>
      </c>
      <c r="B1176" s="1" t="s">
        <v>1364</v>
      </c>
      <c r="C1176" s="1" t="s">
        <v>82</v>
      </c>
      <c r="D1176" s="2"/>
      <c r="E1176" s="1" t="s">
        <v>207</v>
      </c>
      <c r="F1176" s="1"/>
      <c r="G1176" s="1" t="s">
        <v>35</v>
      </c>
      <c r="H1176" s="2"/>
      <c r="I1176">
        <v>1</v>
      </c>
      <c r="J1176" s="1" t="s">
        <v>234</v>
      </c>
      <c r="K1176" s="1" t="s">
        <v>879</v>
      </c>
      <c r="M1176" s="1" t="s">
        <v>234</v>
      </c>
      <c r="N1176" s="1" t="s">
        <v>235</v>
      </c>
    </row>
    <row r="1177" spans="1:14" x14ac:dyDescent="0.25">
      <c r="A1177" s="1" t="s">
        <v>1531</v>
      </c>
      <c r="B1177" s="1" t="s">
        <v>1364</v>
      </c>
      <c r="C1177" s="1" t="s">
        <v>82</v>
      </c>
      <c r="D1177" s="2"/>
      <c r="E1177" s="1" t="s">
        <v>207</v>
      </c>
      <c r="F1177" s="1"/>
      <c r="G1177" s="1" t="s">
        <v>35</v>
      </c>
      <c r="H1177" s="2"/>
      <c r="I1177">
        <v>1</v>
      </c>
      <c r="J1177" s="1" t="s">
        <v>234</v>
      </c>
      <c r="K1177" s="1" t="s">
        <v>879</v>
      </c>
      <c r="M1177" s="1" t="s">
        <v>234</v>
      </c>
      <c r="N1177" s="1" t="s">
        <v>235</v>
      </c>
    </row>
    <row r="1178" spans="1:14" x14ac:dyDescent="0.25">
      <c r="A1178" s="1" t="s">
        <v>1532</v>
      </c>
      <c r="B1178" s="1" t="s">
        <v>1364</v>
      </c>
      <c r="C1178" s="1" t="s">
        <v>82</v>
      </c>
      <c r="D1178" s="2"/>
      <c r="E1178" s="1" t="s">
        <v>207</v>
      </c>
      <c r="F1178" s="1"/>
      <c r="G1178" s="1" t="s">
        <v>35</v>
      </c>
      <c r="H1178" s="2"/>
      <c r="I1178">
        <v>1</v>
      </c>
      <c r="J1178" s="1" t="s">
        <v>234</v>
      </c>
      <c r="K1178" s="1" t="s">
        <v>879</v>
      </c>
      <c r="M1178" s="1" t="s">
        <v>234</v>
      </c>
      <c r="N1178" s="1" t="s">
        <v>235</v>
      </c>
    </row>
    <row r="1179" spans="1:14" x14ac:dyDescent="0.25">
      <c r="A1179" s="1" t="s">
        <v>1533</v>
      </c>
      <c r="B1179" s="1" t="s">
        <v>1364</v>
      </c>
      <c r="C1179" s="1" t="s">
        <v>82</v>
      </c>
      <c r="D1179" s="2"/>
      <c r="E1179" s="1" t="s">
        <v>207</v>
      </c>
      <c r="F1179" s="1"/>
      <c r="G1179" s="1" t="s">
        <v>35</v>
      </c>
      <c r="H1179" s="2"/>
      <c r="I1179">
        <v>1</v>
      </c>
      <c r="J1179" s="1" t="s">
        <v>234</v>
      </c>
      <c r="K1179" s="1" t="s">
        <v>879</v>
      </c>
      <c r="M1179" s="1" t="s">
        <v>234</v>
      </c>
      <c r="N1179" s="1" t="s">
        <v>235</v>
      </c>
    </row>
    <row r="1180" spans="1:14" x14ac:dyDescent="0.25">
      <c r="A1180" s="1" t="s">
        <v>1534</v>
      </c>
      <c r="B1180" s="1" t="s">
        <v>1364</v>
      </c>
      <c r="C1180" s="1" t="s">
        <v>82</v>
      </c>
      <c r="D1180" s="2"/>
      <c r="E1180" s="1" t="s">
        <v>207</v>
      </c>
      <c r="F1180" s="1"/>
      <c r="G1180" s="1" t="s">
        <v>35</v>
      </c>
      <c r="H1180" s="2"/>
      <c r="I1180">
        <v>1</v>
      </c>
      <c r="J1180" s="1" t="s">
        <v>234</v>
      </c>
      <c r="K1180" s="1" t="s">
        <v>879</v>
      </c>
      <c r="M1180" s="1" t="s">
        <v>234</v>
      </c>
      <c r="N1180" s="1" t="s">
        <v>235</v>
      </c>
    </row>
    <row r="1181" spans="1:14" x14ac:dyDescent="0.25">
      <c r="A1181" s="1" t="s">
        <v>1535</v>
      </c>
      <c r="B1181" s="1" t="s">
        <v>1364</v>
      </c>
      <c r="C1181" s="1" t="s">
        <v>82</v>
      </c>
      <c r="D1181" s="2"/>
      <c r="E1181" s="1" t="s">
        <v>207</v>
      </c>
      <c r="F1181" s="1"/>
      <c r="G1181" s="1" t="s">
        <v>35</v>
      </c>
      <c r="H1181" s="2"/>
      <c r="I1181">
        <v>1</v>
      </c>
      <c r="J1181" s="1" t="s">
        <v>234</v>
      </c>
      <c r="K1181" s="1" t="s">
        <v>879</v>
      </c>
      <c r="M1181" s="1" t="s">
        <v>234</v>
      </c>
      <c r="N1181" s="1" t="s">
        <v>235</v>
      </c>
    </row>
    <row r="1182" spans="1:14" x14ac:dyDescent="0.25">
      <c r="A1182" s="1" t="s">
        <v>1536</v>
      </c>
      <c r="B1182" s="1" t="s">
        <v>1364</v>
      </c>
      <c r="C1182" s="1" t="s">
        <v>82</v>
      </c>
      <c r="D1182" s="2"/>
      <c r="E1182" s="1" t="s">
        <v>207</v>
      </c>
      <c r="F1182" s="1"/>
      <c r="G1182" s="1" t="s">
        <v>35</v>
      </c>
      <c r="H1182" s="2"/>
      <c r="I1182">
        <v>1</v>
      </c>
      <c r="J1182" s="1" t="s">
        <v>234</v>
      </c>
      <c r="K1182" s="1" t="s">
        <v>879</v>
      </c>
      <c r="M1182" s="1" t="s">
        <v>234</v>
      </c>
      <c r="N1182" s="1" t="s">
        <v>235</v>
      </c>
    </row>
    <row r="1183" spans="1:14" x14ac:dyDescent="0.25">
      <c r="A1183" s="1" t="s">
        <v>1537</v>
      </c>
      <c r="B1183" s="1" t="s">
        <v>1364</v>
      </c>
      <c r="C1183" s="1" t="s">
        <v>82</v>
      </c>
      <c r="D1183" s="2"/>
      <c r="E1183" s="1" t="s">
        <v>207</v>
      </c>
      <c r="F1183" s="1"/>
      <c r="G1183" s="1" t="s">
        <v>35</v>
      </c>
      <c r="H1183" s="2"/>
      <c r="I1183">
        <v>1</v>
      </c>
      <c r="J1183" s="1" t="s">
        <v>234</v>
      </c>
      <c r="K1183" s="1" t="s">
        <v>879</v>
      </c>
      <c r="M1183" s="1" t="s">
        <v>234</v>
      </c>
      <c r="N1183" s="1" t="s">
        <v>235</v>
      </c>
    </row>
    <row r="1184" spans="1:14" x14ac:dyDescent="0.25">
      <c r="A1184" s="1" t="s">
        <v>1538</v>
      </c>
      <c r="B1184" s="1" t="s">
        <v>1364</v>
      </c>
      <c r="C1184" s="1" t="s">
        <v>82</v>
      </c>
      <c r="D1184" s="2"/>
      <c r="E1184" s="1" t="s">
        <v>207</v>
      </c>
      <c r="F1184" s="1"/>
      <c r="G1184" s="1" t="s">
        <v>35</v>
      </c>
      <c r="H1184" s="2"/>
      <c r="I1184">
        <v>1</v>
      </c>
      <c r="J1184" s="1" t="s">
        <v>234</v>
      </c>
      <c r="K1184" s="1" t="s">
        <v>879</v>
      </c>
      <c r="M1184" s="1" t="s">
        <v>234</v>
      </c>
      <c r="N1184" s="1" t="s">
        <v>235</v>
      </c>
    </row>
    <row r="1185" spans="1:14" x14ac:dyDescent="0.25">
      <c r="A1185" s="1" t="s">
        <v>1539</v>
      </c>
      <c r="B1185" s="1" t="s">
        <v>1364</v>
      </c>
      <c r="C1185" s="1" t="s">
        <v>82</v>
      </c>
      <c r="D1185" s="2"/>
      <c r="E1185" s="1" t="s">
        <v>207</v>
      </c>
      <c r="F1185" s="1"/>
      <c r="G1185" s="1" t="s">
        <v>35</v>
      </c>
      <c r="H1185" s="2"/>
      <c r="I1185">
        <v>1</v>
      </c>
      <c r="J1185" s="1" t="s">
        <v>234</v>
      </c>
      <c r="K1185" s="1" t="s">
        <v>879</v>
      </c>
      <c r="M1185" s="1" t="s">
        <v>234</v>
      </c>
      <c r="N1185" s="1" t="s">
        <v>235</v>
      </c>
    </row>
    <row r="1186" spans="1:14" x14ac:dyDescent="0.25">
      <c r="A1186" s="1" t="s">
        <v>1540</v>
      </c>
      <c r="B1186" s="1" t="s">
        <v>1364</v>
      </c>
      <c r="C1186" s="1" t="s">
        <v>82</v>
      </c>
      <c r="D1186" s="2"/>
      <c r="E1186" s="1" t="s">
        <v>207</v>
      </c>
      <c r="F1186" s="1"/>
      <c r="G1186" s="1" t="s">
        <v>35</v>
      </c>
      <c r="H1186" s="2"/>
      <c r="I1186">
        <v>1</v>
      </c>
      <c r="J1186" s="1" t="s">
        <v>234</v>
      </c>
      <c r="K1186" s="1" t="s">
        <v>879</v>
      </c>
      <c r="M1186" s="1" t="s">
        <v>234</v>
      </c>
      <c r="N1186" s="1" t="s">
        <v>235</v>
      </c>
    </row>
    <row r="1187" spans="1:14" x14ac:dyDescent="0.25">
      <c r="A1187" s="1" t="s">
        <v>1541</v>
      </c>
      <c r="B1187" s="1" t="s">
        <v>1364</v>
      </c>
      <c r="C1187" s="1" t="s">
        <v>82</v>
      </c>
      <c r="D1187" s="2"/>
      <c r="E1187" s="1" t="s">
        <v>207</v>
      </c>
      <c r="F1187" s="1"/>
      <c r="G1187" s="1" t="s">
        <v>35</v>
      </c>
      <c r="H1187" s="2"/>
      <c r="I1187">
        <v>1</v>
      </c>
      <c r="J1187" s="1" t="s">
        <v>234</v>
      </c>
      <c r="K1187" s="1" t="s">
        <v>879</v>
      </c>
      <c r="M1187" s="1" t="s">
        <v>234</v>
      </c>
      <c r="N1187" s="1" t="s">
        <v>235</v>
      </c>
    </row>
    <row r="1188" spans="1:14" x14ac:dyDescent="0.25">
      <c r="A1188" s="1" t="s">
        <v>1542</v>
      </c>
      <c r="B1188" s="1" t="s">
        <v>1364</v>
      </c>
      <c r="C1188" s="1" t="s">
        <v>82</v>
      </c>
      <c r="D1188" s="2"/>
      <c r="E1188" s="1" t="s">
        <v>207</v>
      </c>
      <c r="F1188" s="1"/>
      <c r="G1188" s="1" t="s">
        <v>35</v>
      </c>
      <c r="H1188" s="2"/>
      <c r="I1188">
        <v>1</v>
      </c>
      <c r="J1188" s="1" t="s">
        <v>234</v>
      </c>
      <c r="K1188" s="1" t="s">
        <v>879</v>
      </c>
      <c r="M1188" s="1" t="s">
        <v>234</v>
      </c>
      <c r="N1188" s="1" t="s">
        <v>235</v>
      </c>
    </row>
    <row r="1189" spans="1:14" x14ac:dyDescent="0.25">
      <c r="A1189" s="1" t="s">
        <v>1543</v>
      </c>
      <c r="B1189" s="1" t="s">
        <v>1364</v>
      </c>
      <c r="C1189" s="1" t="s">
        <v>82</v>
      </c>
      <c r="D1189" s="2"/>
      <c r="E1189" s="1" t="s">
        <v>207</v>
      </c>
      <c r="F1189" s="1"/>
      <c r="G1189" s="1" t="s">
        <v>35</v>
      </c>
      <c r="H1189" s="2"/>
      <c r="I1189">
        <v>1</v>
      </c>
      <c r="J1189" s="1" t="s">
        <v>234</v>
      </c>
      <c r="K1189" s="1" t="s">
        <v>879</v>
      </c>
      <c r="M1189" s="1" t="s">
        <v>234</v>
      </c>
      <c r="N1189" s="1" t="s">
        <v>235</v>
      </c>
    </row>
    <row r="1190" spans="1:14" x14ac:dyDescent="0.25">
      <c r="A1190" s="1" t="s">
        <v>1544</v>
      </c>
      <c r="B1190" s="1" t="s">
        <v>1364</v>
      </c>
      <c r="C1190" s="1" t="s">
        <v>82</v>
      </c>
      <c r="D1190" s="2"/>
      <c r="E1190" s="1" t="s">
        <v>207</v>
      </c>
      <c r="F1190" s="1"/>
      <c r="G1190" s="1" t="s">
        <v>35</v>
      </c>
      <c r="H1190" s="2"/>
      <c r="I1190">
        <v>1</v>
      </c>
      <c r="J1190" s="1" t="s">
        <v>234</v>
      </c>
      <c r="K1190" s="1" t="s">
        <v>879</v>
      </c>
      <c r="M1190" s="1" t="s">
        <v>234</v>
      </c>
      <c r="N1190" s="1" t="s">
        <v>235</v>
      </c>
    </row>
    <row r="1191" spans="1:14" x14ac:dyDescent="0.25">
      <c r="A1191" s="1" t="s">
        <v>1545</v>
      </c>
      <c r="B1191" s="1" t="s">
        <v>1364</v>
      </c>
      <c r="C1191" s="1" t="s">
        <v>82</v>
      </c>
      <c r="D1191" s="2"/>
      <c r="E1191" s="1" t="s">
        <v>207</v>
      </c>
      <c r="F1191" s="1"/>
      <c r="G1191" s="1" t="s">
        <v>35</v>
      </c>
      <c r="H1191" s="2"/>
      <c r="I1191">
        <v>1</v>
      </c>
      <c r="J1191" s="1" t="s">
        <v>234</v>
      </c>
      <c r="K1191" s="1" t="s">
        <v>879</v>
      </c>
      <c r="M1191" s="1" t="s">
        <v>234</v>
      </c>
      <c r="N1191" s="1" t="s">
        <v>235</v>
      </c>
    </row>
    <row r="1192" spans="1:14" x14ac:dyDescent="0.25">
      <c r="A1192" s="1" t="s">
        <v>1546</v>
      </c>
      <c r="B1192" s="1" t="s">
        <v>1364</v>
      </c>
      <c r="C1192" s="1" t="s">
        <v>82</v>
      </c>
      <c r="D1192" s="2"/>
      <c r="E1192" s="1" t="s">
        <v>207</v>
      </c>
      <c r="F1192" s="1"/>
      <c r="G1192" s="1" t="s">
        <v>35</v>
      </c>
      <c r="H1192" s="2"/>
      <c r="I1192">
        <v>1</v>
      </c>
      <c r="J1192" s="1" t="s">
        <v>234</v>
      </c>
      <c r="K1192" s="1" t="s">
        <v>879</v>
      </c>
      <c r="M1192" s="1" t="s">
        <v>234</v>
      </c>
      <c r="N1192" s="1" t="s">
        <v>235</v>
      </c>
    </row>
    <row r="1193" spans="1:14" x14ac:dyDescent="0.25">
      <c r="A1193" s="1" t="s">
        <v>1547</v>
      </c>
      <c r="B1193" s="1" t="s">
        <v>1364</v>
      </c>
      <c r="C1193" s="1" t="s">
        <v>82</v>
      </c>
      <c r="D1193" s="2"/>
      <c r="E1193" s="1" t="s">
        <v>207</v>
      </c>
      <c r="F1193" s="1"/>
      <c r="G1193" s="1" t="s">
        <v>35</v>
      </c>
      <c r="H1193" s="2"/>
      <c r="I1193">
        <v>1</v>
      </c>
      <c r="J1193" s="1" t="s">
        <v>234</v>
      </c>
      <c r="K1193" s="1" t="s">
        <v>879</v>
      </c>
      <c r="M1193" s="1" t="s">
        <v>234</v>
      </c>
      <c r="N1193" s="1" t="s">
        <v>235</v>
      </c>
    </row>
    <row r="1194" spans="1:14" x14ac:dyDescent="0.25">
      <c r="A1194" s="1" t="s">
        <v>1548</v>
      </c>
      <c r="B1194" s="1" t="s">
        <v>1364</v>
      </c>
      <c r="C1194" s="1" t="s">
        <v>82</v>
      </c>
      <c r="D1194" s="2"/>
      <c r="E1194" s="1" t="s">
        <v>207</v>
      </c>
      <c r="F1194" s="1"/>
      <c r="G1194" s="1" t="s">
        <v>35</v>
      </c>
      <c r="H1194" s="2"/>
      <c r="I1194">
        <v>1</v>
      </c>
      <c r="J1194" s="1" t="s">
        <v>234</v>
      </c>
      <c r="K1194" s="1" t="s">
        <v>879</v>
      </c>
      <c r="M1194" s="1" t="s">
        <v>234</v>
      </c>
      <c r="N1194" s="1" t="s">
        <v>235</v>
      </c>
    </row>
    <row r="1195" spans="1:14" x14ac:dyDescent="0.25">
      <c r="A1195" s="1" t="s">
        <v>1549</v>
      </c>
      <c r="B1195" s="1" t="s">
        <v>1364</v>
      </c>
      <c r="C1195" s="1" t="s">
        <v>82</v>
      </c>
      <c r="D1195" s="2"/>
      <c r="E1195" s="1" t="s">
        <v>207</v>
      </c>
      <c r="F1195" s="1"/>
      <c r="G1195" s="1" t="s">
        <v>35</v>
      </c>
      <c r="H1195" s="2"/>
      <c r="I1195">
        <v>1</v>
      </c>
      <c r="J1195" s="1" t="s">
        <v>234</v>
      </c>
      <c r="K1195" s="1" t="s">
        <v>879</v>
      </c>
      <c r="M1195" s="1" t="s">
        <v>234</v>
      </c>
      <c r="N1195" s="1" t="s">
        <v>235</v>
      </c>
    </row>
    <row r="1196" spans="1:14" x14ac:dyDescent="0.25">
      <c r="A1196" s="1" t="s">
        <v>1550</v>
      </c>
      <c r="B1196" s="1" t="s">
        <v>1364</v>
      </c>
      <c r="C1196" s="1" t="s">
        <v>82</v>
      </c>
      <c r="D1196" s="2"/>
      <c r="E1196" s="1" t="s">
        <v>207</v>
      </c>
      <c r="F1196" s="1"/>
      <c r="G1196" s="1" t="s">
        <v>35</v>
      </c>
      <c r="H1196" s="2"/>
      <c r="I1196">
        <v>1</v>
      </c>
      <c r="J1196" s="1" t="s">
        <v>234</v>
      </c>
      <c r="K1196" s="1" t="s">
        <v>879</v>
      </c>
      <c r="M1196" s="1" t="s">
        <v>234</v>
      </c>
      <c r="N1196" s="1" t="s">
        <v>235</v>
      </c>
    </row>
    <row r="1197" spans="1:14" x14ac:dyDescent="0.25">
      <c r="A1197" s="1" t="s">
        <v>1551</v>
      </c>
      <c r="B1197" s="1" t="s">
        <v>1364</v>
      </c>
      <c r="C1197" s="1" t="s">
        <v>82</v>
      </c>
      <c r="D1197" s="2"/>
      <c r="E1197" s="1" t="s">
        <v>207</v>
      </c>
      <c r="F1197" s="1"/>
      <c r="G1197" s="1" t="s">
        <v>35</v>
      </c>
      <c r="H1197" s="2"/>
      <c r="I1197">
        <v>1</v>
      </c>
      <c r="J1197" s="1" t="s">
        <v>234</v>
      </c>
      <c r="K1197" s="1" t="s">
        <v>879</v>
      </c>
      <c r="M1197" s="1" t="s">
        <v>234</v>
      </c>
      <c r="N1197" s="1" t="s">
        <v>235</v>
      </c>
    </row>
    <row r="1198" spans="1:14" x14ac:dyDescent="0.25">
      <c r="A1198" s="1" t="s">
        <v>1552</v>
      </c>
      <c r="B1198" s="1" t="s">
        <v>1364</v>
      </c>
      <c r="C1198" s="1" t="s">
        <v>82</v>
      </c>
      <c r="D1198" s="2"/>
      <c r="E1198" s="1" t="s">
        <v>207</v>
      </c>
      <c r="F1198" s="1"/>
      <c r="G1198" s="1" t="s">
        <v>35</v>
      </c>
      <c r="H1198" s="2"/>
      <c r="I1198">
        <v>1</v>
      </c>
      <c r="J1198" s="1" t="s">
        <v>234</v>
      </c>
      <c r="K1198" s="1" t="s">
        <v>879</v>
      </c>
      <c r="M1198" s="1" t="s">
        <v>234</v>
      </c>
      <c r="N1198" s="1" t="s">
        <v>235</v>
      </c>
    </row>
    <row r="1199" spans="1:14" x14ac:dyDescent="0.25">
      <c r="A1199" s="1" t="s">
        <v>1553</v>
      </c>
      <c r="B1199" s="1" t="s">
        <v>1364</v>
      </c>
      <c r="C1199" s="1" t="s">
        <v>82</v>
      </c>
      <c r="D1199" s="2"/>
      <c r="E1199" s="1" t="s">
        <v>207</v>
      </c>
      <c r="F1199" s="1"/>
      <c r="G1199" s="1" t="s">
        <v>35</v>
      </c>
      <c r="H1199" s="2"/>
      <c r="I1199">
        <v>1</v>
      </c>
      <c r="J1199" s="1" t="s">
        <v>234</v>
      </c>
      <c r="K1199" s="1" t="s">
        <v>879</v>
      </c>
      <c r="M1199" s="1" t="s">
        <v>234</v>
      </c>
      <c r="N1199" s="1" t="s">
        <v>235</v>
      </c>
    </row>
    <row r="1200" spans="1:14" x14ac:dyDescent="0.25">
      <c r="A1200" s="1" t="s">
        <v>1554</v>
      </c>
      <c r="B1200" s="1" t="s">
        <v>1364</v>
      </c>
      <c r="C1200" s="1" t="s">
        <v>82</v>
      </c>
      <c r="D1200" s="2"/>
      <c r="E1200" s="1" t="s">
        <v>207</v>
      </c>
      <c r="F1200" s="1"/>
      <c r="G1200" s="1" t="s">
        <v>35</v>
      </c>
      <c r="H1200" s="2"/>
      <c r="I1200">
        <v>1</v>
      </c>
      <c r="J1200" s="1" t="s">
        <v>234</v>
      </c>
      <c r="K1200" s="1" t="s">
        <v>879</v>
      </c>
      <c r="M1200" s="1" t="s">
        <v>234</v>
      </c>
      <c r="N1200" s="1" t="s">
        <v>235</v>
      </c>
    </row>
    <row r="1201" spans="1:14" x14ac:dyDescent="0.25">
      <c r="A1201" s="1" t="s">
        <v>1555</v>
      </c>
      <c r="B1201" s="1" t="s">
        <v>1364</v>
      </c>
      <c r="C1201" s="1" t="s">
        <v>82</v>
      </c>
      <c r="D1201" s="2"/>
      <c r="E1201" s="1" t="s">
        <v>207</v>
      </c>
      <c r="F1201" s="1"/>
      <c r="G1201" s="1" t="s">
        <v>35</v>
      </c>
      <c r="H1201" s="2"/>
      <c r="I1201">
        <v>1</v>
      </c>
      <c r="J1201" s="1" t="s">
        <v>234</v>
      </c>
      <c r="K1201" s="1" t="s">
        <v>879</v>
      </c>
      <c r="M1201" s="1" t="s">
        <v>234</v>
      </c>
      <c r="N1201" s="1" t="s">
        <v>235</v>
      </c>
    </row>
    <row r="1202" spans="1:14" x14ac:dyDescent="0.25">
      <c r="A1202" s="1" t="s">
        <v>1556</v>
      </c>
      <c r="B1202" s="1" t="s">
        <v>1364</v>
      </c>
      <c r="C1202" s="1" t="s">
        <v>82</v>
      </c>
      <c r="D1202" s="2"/>
      <c r="E1202" s="1" t="s">
        <v>207</v>
      </c>
      <c r="F1202" s="1"/>
      <c r="G1202" s="1" t="s">
        <v>35</v>
      </c>
      <c r="H1202" s="2"/>
      <c r="I1202">
        <v>1</v>
      </c>
      <c r="J1202" s="1" t="s">
        <v>234</v>
      </c>
      <c r="K1202" s="1" t="s">
        <v>879</v>
      </c>
      <c r="M1202" s="1" t="s">
        <v>234</v>
      </c>
      <c r="N1202" s="1" t="s">
        <v>235</v>
      </c>
    </row>
    <row r="1203" spans="1:14" x14ac:dyDescent="0.25">
      <c r="A1203" s="1" t="s">
        <v>1557</v>
      </c>
      <c r="B1203" s="1" t="s">
        <v>1364</v>
      </c>
      <c r="C1203" s="1" t="s">
        <v>82</v>
      </c>
      <c r="D1203" s="2"/>
      <c r="E1203" s="1" t="s">
        <v>207</v>
      </c>
      <c r="F1203" s="1"/>
      <c r="G1203" s="1" t="s">
        <v>35</v>
      </c>
      <c r="H1203" s="2"/>
      <c r="I1203">
        <v>1</v>
      </c>
      <c r="J1203" s="1" t="s">
        <v>234</v>
      </c>
      <c r="K1203" s="1" t="s">
        <v>879</v>
      </c>
      <c r="M1203" s="1" t="s">
        <v>234</v>
      </c>
      <c r="N1203" s="1" t="s">
        <v>235</v>
      </c>
    </row>
    <row r="1204" spans="1:14" x14ac:dyDescent="0.25">
      <c r="A1204" s="1" t="s">
        <v>1558</v>
      </c>
      <c r="B1204" s="1" t="s">
        <v>1364</v>
      </c>
      <c r="C1204" s="1" t="s">
        <v>82</v>
      </c>
      <c r="D1204" s="2"/>
      <c r="E1204" s="1" t="s">
        <v>207</v>
      </c>
      <c r="F1204" s="1"/>
      <c r="G1204" s="1" t="s">
        <v>35</v>
      </c>
      <c r="H1204" s="2"/>
      <c r="I1204">
        <v>1</v>
      </c>
      <c r="J1204" s="1" t="s">
        <v>234</v>
      </c>
      <c r="K1204" s="1" t="s">
        <v>879</v>
      </c>
      <c r="M1204" s="1" t="s">
        <v>234</v>
      </c>
      <c r="N1204" s="1" t="s">
        <v>235</v>
      </c>
    </row>
    <row r="1205" spans="1:14" x14ac:dyDescent="0.25">
      <c r="A1205" s="1" t="s">
        <v>1559</v>
      </c>
      <c r="B1205" s="1" t="s">
        <v>1364</v>
      </c>
      <c r="C1205" s="1" t="s">
        <v>82</v>
      </c>
      <c r="D1205" s="2"/>
      <c r="E1205" s="1" t="s">
        <v>207</v>
      </c>
      <c r="F1205" s="1"/>
      <c r="G1205" s="1" t="s">
        <v>35</v>
      </c>
      <c r="H1205" s="2"/>
      <c r="I1205">
        <v>1</v>
      </c>
      <c r="J1205" s="1" t="s">
        <v>234</v>
      </c>
      <c r="K1205" s="1" t="s">
        <v>879</v>
      </c>
      <c r="M1205" s="1" t="s">
        <v>234</v>
      </c>
      <c r="N1205" s="1" t="s">
        <v>235</v>
      </c>
    </row>
    <row r="1206" spans="1:14" x14ac:dyDescent="0.25">
      <c r="A1206" s="1" t="s">
        <v>1560</v>
      </c>
      <c r="B1206" s="1" t="s">
        <v>1364</v>
      </c>
      <c r="C1206" s="1" t="s">
        <v>82</v>
      </c>
      <c r="D1206" s="2"/>
      <c r="E1206" s="1" t="s">
        <v>207</v>
      </c>
      <c r="F1206" s="1"/>
      <c r="G1206" s="1" t="s">
        <v>35</v>
      </c>
      <c r="H1206" s="2"/>
      <c r="I1206">
        <v>1</v>
      </c>
      <c r="J1206" s="1" t="s">
        <v>234</v>
      </c>
      <c r="K1206" s="1" t="s">
        <v>879</v>
      </c>
      <c r="M1206" s="1" t="s">
        <v>234</v>
      </c>
      <c r="N1206" s="1" t="s">
        <v>235</v>
      </c>
    </row>
    <row r="1207" spans="1:14" x14ac:dyDescent="0.25">
      <c r="A1207" s="1" t="s">
        <v>1561</v>
      </c>
      <c r="B1207" s="1" t="s">
        <v>1364</v>
      </c>
      <c r="C1207" s="1" t="s">
        <v>82</v>
      </c>
      <c r="D1207" s="2"/>
      <c r="E1207" s="1" t="s">
        <v>207</v>
      </c>
      <c r="F1207" s="1"/>
      <c r="G1207" s="1" t="s">
        <v>35</v>
      </c>
      <c r="H1207" s="2"/>
      <c r="I1207">
        <v>1</v>
      </c>
      <c r="J1207" s="1" t="s">
        <v>234</v>
      </c>
      <c r="K1207" s="1" t="s">
        <v>879</v>
      </c>
      <c r="M1207" s="1" t="s">
        <v>234</v>
      </c>
      <c r="N1207" s="1" t="s">
        <v>235</v>
      </c>
    </row>
    <row r="1208" spans="1:14" x14ac:dyDescent="0.25">
      <c r="A1208" s="1" t="s">
        <v>1562</v>
      </c>
      <c r="B1208" s="1" t="s">
        <v>1364</v>
      </c>
      <c r="C1208" s="1" t="s">
        <v>82</v>
      </c>
      <c r="D1208" s="2"/>
      <c r="E1208" s="1" t="s">
        <v>207</v>
      </c>
      <c r="F1208" s="1"/>
      <c r="G1208" s="1" t="s">
        <v>35</v>
      </c>
      <c r="H1208" s="2"/>
      <c r="I1208">
        <v>1</v>
      </c>
      <c r="J1208" s="1" t="s">
        <v>234</v>
      </c>
      <c r="K1208" s="1" t="s">
        <v>879</v>
      </c>
      <c r="M1208" s="1" t="s">
        <v>234</v>
      </c>
      <c r="N1208" s="1" t="s">
        <v>235</v>
      </c>
    </row>
    <row r="1209" spans="1:14" x14ac:dyDescent="0.25">
      <c r="A1209" s="1" t="s">
        <v>1563</v>
      </c>
      <c r="B1209" s="1" t="s">
        <v>1364</v>
      </c>
      <c r="C1209" s="1" t="s">
        <v>82</v>
      </c>
      <c r="D1209" s="2"/>
      <c r="E1209" s="1" t="s">
        <v>207</v>
      </c>
      <c r="F1209" s="1"/>
      <c r="G1209" s="1" t="s">
        <v>35</v>
      </c>
      <c r="H1209" s="2"/>
      <c r="I1209">
        <v>1</v>
      </c>
      <c r="J1209" s="1" t="s">
        <v>234</v>
      </c>
      <c r="K1209" s="1" t="s">
        <v>879</v>
      </c>
      <c r="M1209" s="1" t="s">
        <v>234</v>
      </c>
      <c r="N1209" s="1" t="s">
        <v>235</v>
      </c>
    </row>
    <row r="1210" spans="1:14" x14ac:dyDescent="0.25">
      <c r="A1210" s="1" t="s">
        <v>1564</v>
      </c>
      <c r="B1210" s="1" t="s">
        <v>1364</v>
      </c>
      <c r="C1210" s="1" t="s">
        <v>82</v>
      </c>
      <c r="D1210" s="2"/>
      <c r="E1210" s="1" t="s">
        <v>207</v>
      </c>
      <c r="F1210" s="1"/>
      <c r="G1210" s="1" t="s">
        <v>35</v>
      </c>
      <c r="H1210" s="2"/>
      <c r="I1210">
        <v>1</v>
      </c>
      <c r="J1210" s="1" t="s">
        <v>234</v>
      </c>
      <c r="K1210" s="1" t="s">
        <v>879</v>
      </c>
      <c r="M1210" s="1" t="s">
        <v>234</v>
      </c>
      <c r="N1210" s="1" t="s">
        <v>235</v>
      </c>
    </row>
    <row r="1211" spans="1:14" x14ac:dyDescent="0.25">
      <c r="A1211" s="1" t="s">
        <v>1565</v>
      </c>
      <c r="B1211" s="1" t="s">
        <v>1364</v>
      </c>
      <c r="C1211" s="1" t="s">
        <v>82</v>
      </c>
      <c r="D1211" s="2"/>
      <c r="E1211" s="1" t="s">
        <v>207</v>
      </c>
      <c r="F1211" s="1"/>
      <c r="G1211" s="1" t="s">
        <v>35</v>
      </c>
      <c r="H1211" s="2"/>
      <c r="I1211">
        <v>1</v>
      </c>
      <c r="J1211" s="1" t="s">
        <v>234</v>
      </c>
      <c r="K1211" s="1" t="s">
        <v>879</v>
      </c>
      <c r="M1211" s="1" t="s">
        <v>234</v>
      </c>
      <c r="N1211" s="1" t="s">
        <v>235</v>
      </c>
    </row>
    <row r="1212" spans="1:14" x14ac:dyDescent="0.25">
      <c r="A1212" s="1" t="s">
        <v>1566</v>
      </c>
      <c r="B1212" s="1" t="s">
        <v>1364</v>
      </c>
      <c r="C1212" s="1" t="s">
        <v>82</v>
      </c>
      <c r="D1212" s="2"/>
      <c r="E1212" s="1" t="s">
        <v>207</v>
      </c>
      <c r="F1212" s="1"/>
      <c r="G1212" s="1" t="s">
        <v>35</v>
      </c>
      <c r="H1212" s="2"/>
      <c r="I1212">
        <v>1</v>
      </c>
      <c r="J1212" s="1" t="s">
        <v>234</v>
      </c>
      <c r="K1212" s="1" t="s">
        <v>879</v>
      </c>
      <c r="M1212" s="1" t="s">
        <v>234</v>
      </c>
      <c r="N1212" s="1" t="s">
        <v>235</v>
      </c>
    </row>
    <row r="1213" spans="1:14" x14ac:dyDescent="0.25">
      <c r="A1213" s="1" t="s">
        <v>1567</v>
      </c>
      <c r="B1213" s="1" t="s">
        <v>1364</v>
      </c>
      <c r="C1213" s="1" t="s">
        <v>82</v>
      </c>
      <c r="D1213" s="2"/>
      <c r="E1213" s="1" t="s">
        <v>207</v>
      </c>
      <c r="F1213" s="1"/>
      <c r="G1213" s="1" t="s">
        <v>35</v>
      </c>
      <c r="H1213" s="2"/>
      <c r="I1213">
        <v>1</v>
      </c>
      <c r="J1213" s="1" t="s">
        <v>234</v>
      </c>
      <c r="K1213" s="1" t="s">
        <v>879</v>
      </c>
      <c r="M1213" s="1" t="s">
        <v>234</v>
      </c>
      <c r="N1213" s="1" t="s">
        <v>235</v>
      </c>
    </row>
    <row r="1214" spans="1:14" x14ac:dyDescent="0.25">
      <c r="A1214" s="1" t="s">
        <v>1568</v>
      </c>
      <c r="B1214" s="1" t="s">
        <v>1364</v>
      </c>
      <c r="C1214" s="1" t="s">
        <v>82</v>
      </c>
      <c r="D1214" s="2"/>
      <c r="E1214" s="1" t="s">
        <v>207</v>
      </c>
      <c r="F1214" s="1"/>
      <c r="G1214" s="1" t="s">
        <v>35</v>
      </c>
      <c r="H1214" s="2"/>
      <c r="I1214">
        <v>1</v>
      </c>
      <c r="J1214" s="1" t="s">
        <v>234</v>
      </c>
      <c r="K1214" s="1" t="s">
        <v>879</v>
      </c>
      <c r="M1214" s="1" t="s">
        <v>234</v>
      </c>
      <c r="N1214" s="1" t="s">
        <v>235</v>
      </c>
    </row>
    <row r="1215" spans="1:14" x14ac:dyDescent="0.25">
      <c r="A1215" s="1" t="s">
        <v>1569</v>
      </c>
      <c r="B1215" s="1" t="s">
        <v>1364</v>
      </c>
      <c r="C1215" s="1" t="s">
        <v>82</v>
      </c>
      <c r="D1215" s="2"/>
      <c r="E1215" s="1" t="s">
        <v>207</v>
      </c>
      <c r="F1215" s="1"/>
      <c r="G1215" s="1" t="s">
        <v>35</v>
      </c>
      <c r="H1215" s="2"/>
      <c r="I1215">
        <v>1</v>
      </c>
      <c r="J1215" s="1" t="s">
        <v>234</v>
      </c>
      <c r="K1215" s="1" t="s">
        <v>879</v>
      </c>
      <c r="M1215" s="1" t="s">
        <v>234</v>
      </c>
      <c r="N1215" s="1" t="s">
        <v>235</v>
      </c>
    </row>
    <row r="1216" spans="1:14" x14ac:dyDescent="0.25">
      <c r="A1216" s="1" t="s">
        <v>1570</v>
      </c>
      <c r="B1216" s="1" t="s">
        <v>1364</v>
      </c>
      <c r="C1216" s="1" t="s">
        <v>82</v>
      </c>
      <c r="D1216" s="2"/>
      <c r="E1216" s="1" t="s">
        <v>207</v>
      </c>
      <c r="F1216" s="1"/>
      <c r="G1216" s="1" t="s">
        <v>35</v>
      </c>
      <c r="H1216" s="2"/>
      <c r="I1216">
        <v>1</v>
      </c>
      <c r="J1216" s="1" t="s">
        <v>234</v>
      </c>
      <c r="K1216" s="1" t="s">
        <v>879</v>
      </c>
      <c r="M1216" s="1" t="s">
        <v>234</v>
      </c>
      <c r="N1216" s="1" t="s">
        <v>235</v>
      </c>
    </row>
    <row r="1217" spans="1:14" x14ac:dyDescent="0.25">
      <c r="A1217" s="1" t="s">
        <v>1571</v>
      </c>
      <c r="B1217" s="1" t="s">
        <v>1364</v>
      </c>
      <c r="C1217" s="1" t="s">
        <v>82</v>
      </c>
      <c r="D1217" s="2"/>
      <c r="E1217" s="1" t="s">
        <v>207</v>
      </c>
      <c r="F1217" s="1"/>
      <c r="G1217" s="1" t="s">
        <v>35</v>
      </c>
      <c r="H1217" s="2"/>
      <c r="I1217">
        <v>1</v>
      </c>
      <c r="J1217" s="1" t="s">
        <v>234</v>
      </c>
      <c r="K1217" s="1" t="s">
        <v>879</v>
      </c>
      <c r="M1217" s="1" t="s">
        <v>234</v>
      </c>
      <c r="N1217" s="1" t="s">
        <v>235</v>
      </c>
    </row>
    <row r="1218" spans="1:14" x14ac:dyDescent="0.25">
      <c r="A1218" s="1" t="s">
        <v>1572</v>
      </c>
      <c r="B1218" s="1" t="s">
        <v>1364</v>
      </c>
      <c r="C1218" s="1" t="s">
        <v>82</v>
      </c>
      <c r="D1218" s="2"/>
      <c r="E1218" s="1" t="s">
        <v>207</v>
      </c>
      <c r="F1218" s="1"/>
      <c r="G1218" s="1" t="s">
        <v>35</v>
      </c>
      <c r="H1218" s="2"/>
      <c r="I1218">
        <v>1</v>
      </c>
      <c r="J1218" s="1" t="s">
        <v>234</v>
      </c>
      <c r="K1218" s="1" t="s">
        <v>879</v>
      </c>
      <c r="M1218" s="1" t="s">
        <v>234</v>
      </c>
      <c r="N1218" s="1" t="s">
        <v>235</v>
      </c>
    </row>
    <row r="1219" spans="1:14" x14ac:dyDescent="0.25">
      <c r="A1219" s="1" t="s">
        <v>1573</v>
      </c>
      <c r="B1219" s="1" t="s">
        <v>1364</v>
      </c>
      <c r="C1219" s="1" t="s">
        <v>82</v>
      </c>
      <c r="D1219" s="2"/>
      <c r="E1219" s="1" t="s">
        <v>207</v>
      </c>
      <c r="F1219" s="1"/>
      <c r="G1219" s="1" t="s">
        <v>35</v>
      </c>
      <c r="H1219" s="2"/>
      <c r="I1219">
        <v>1</v>
      </c>
      <c r="J1219" s="1" t="s">
        <v>234</v>
      </c>
      <c r="K1219" s="1" t="s">
        <v>879</v>
      </c>
      <c r="M1219" s="1" t="s">
        <v>234</v>
      </c>
      <c r="N1219" s="1" t="s">
        <v>235</v>
      </c>
    </row>
    <row r="1220" spans="1:14" x14ac:dyDescent="0.25">
      <c r="A1220" s="1" t="s">
        <v>1574</v>
      </c>
      <c r="B1220" s="1" t="s">
        <v>1364</v>
      </c>
      <c r="C1220" s="1" t="s">
        <v>82</v>
      </c>
      <c r="D1220" s="2"/>
      <c r="E1220" s="1" t="s">
        <v>207</v>
      </c>
      <c r="F1220" s="1"/>
      <c r="G1220" s="1" t="s">
        <v>35</v>
      </c>
      <c r="H1220" s="2"/>
      <c r="I1220">
        <v>1</v>
      </c>
      <c r="J1220" s="1" t="s">
        <v>234</v>
      </c>
      <c r="K1220" s="1" t="s">
        <v>879</v>
      </c>
      <c r="M1220" s="1" t="s">
        <v>234</v>
      </c>
      <c r="N1220" s="1" t="s">
        <v>235</v>
      </c>
    </row>
    <row r="1221" spans="1:14" x14ac:dyDescent="0.25">
      <c r="A1221" s="1" t="s">
        <v>1575</v>
      </c>
      <c r="B1221" s="1" t="s">
        <v>1364</v>
      </c>
      <c r="C1221" s="1" t="s">
        <v>82</v>
      </c>
      <c r="D1221" s="2"/>
      <c r="E1221" s="1" t="s">
        <v>207</v>
      </c>
      <c r="F1221" s="1"/>
      <c r="G1221" s="1" t="s">
        <v>35</v>
      </c>
      <c r="H1221" s="2"/>
      <c r="I1221">
        <v>1</v>
      </c>
      <c r="J1221" s="1" t="s">
        <v>234</v>
      </c>
      <c r="K1221" s="1" t="s">
        <v>879</v>
      </c>
      <c r="M1221" s="1" t="s">
        <v>234</v>
      </c>
      <c r="N1221" s="1" t="s">
        <v>235</v>
      </c>
    </row>
    <row r="1222" spans="1:14" x14ac:dyDescent="0.25">
      <c r="A1222" s="1" t="s">
        <v>1576</v>
      </c>
      <c r="B1222" s="1" t="s">
        <v>1364</v>
      </c>
      <c r="C1222" s="1" t="s">
        <v>82</v>
      </c>
      <c r="D1222" s="2"/>
      <c r="E1222" s="1" t="s">
        <v>207</v>
      </c>
      <c r="F1222" s="1"/>
      <c r="G1222" s="1" t="s">
        <v>35</v>
      </c>
      <c r="H1222" s="2"/>
      <c r="I1222">
        <v>1</v>
      </c>
      <c r="J1222" s="1" t="s">
        <v>234</v>
      </c>
      <c r="K1222" s="1" t="s">
        <v>879</v>
      </c>
      <c r="M1222" s="1" t="s">
        <v>234</v>
      </c>
      <c r="N1222" s="1" t="s">
        <v>235</v>
      </c>
    </row>
    <row r="1223" spans="1:14" x14ac:dyDescent="0.25">
      <c r="A1223" s="1" t="s">
        <v>1577</v>
      </c>
      <c r="B1223" s="1" t="s">
        <v>1364</v>
      </c>
      <c r="C1223" s="1" t="s">
        <v>82</v>
      </c>
      <c r="D1223" s="2"/>
      <c r="E1223" s="1" t="s">
        <v>207</v>
      </c>
      <c r="F1223" s="1"/>
      <c r="G1223" s="1" t="s">
        <v>35</v>
      </c>
      <c r="H1223" s="2"/>
      <c r="I1223">
        <v>1</v>
      </c>
      <c r="J1223" s="1" t="s">
        <v>234</v>
      </c>
      <c r="K1223" s="1" t="s">
        <v>879</v>
      </c>
      <c r="M1223" s="1" t="s">
        <v>234</v>
      </c>
      <c r="N1223" s="1" t="s">
        <v>235</v>
      </c>
    </row>
    <row r="1224" spans="1:14" x14ac:dyDescent="0.25">
      <c r="A1224" s="1" t="s">
        <v>1578</v>
      </c>
      <c r="B1224" s="1" t="s">
        <v>1364</v>
      </c>
      <c r="C1224" s="1" t="s">
        <v>82</v>
      </c>
      <c r="D1224" s="2"/>
      <c r="E1224" s="1" t="s">
        <v>207</v>
      </c>
      <c r="F1224" s="1"/>
      <c r="G1224" s="1" t="s">
        <v>35</v>
      </c>
      <c r="H1224" s="2"/>
      <c r="I1224">
        <v>1</v>
      </c>
      <c r="J1224" s="1" t="s">
        <v>234</v>
      </c>
      <c r="K1224" s="1" t="s">
        <v>879</v>
      </c>
      <c r="M1224" s="1" t="s">
        <v>234</v>
      </c>
      <c r="N1224" s="1" t="s">
        <v>235</v>
      </c>
    </row>
    <row r="1225" spans="1:14" x14ac:dyDescent="0.25">
      <c r="A1225" s="1" t="s">
        <v>1579</v>
      </c>
      <c r="B1225" s="1" t="s">
        <v>1364</v>
      </c>
      <c r="C1225" s="1" t="s">
        <v>82</v>
      </c>
      <c r="D1225" s="2"/>
      <c r="E1225" s="1" t="s">
        <v>207</v>
      </c>
      <c r="F1225" s="1"/>
      <c r="G1225" s="1" t="s">
        <v>35</v>
      </c>
      <c r="H1225" s="2"/>
      <c r="I1225">
        <v>1</v>
      </c>
      <c r="J1225" s="1" t="s">
        <v>234</v>
      </c>
      <c r="K1225" s="1" t="s">
        <v>879</v>
      </c>
      <c r="M1225" s="1" t="s">
        <v>234</v>
      </c>
      <c r="N1225" s="1" t="s">
        <v>235</v>
      </c>
    </row>
    <row r="1226" spans="1:14" x14ac:dyDescent="0.25">
      <c r="A1226" s="1" t="s">
        <v>1580</v>
      </c>
      <c r="B1226" s="1" t="s">
        <v>1364</v>
      </c>
      <c r="C1226" s="1" t="s">
        <v>82</v>
      </c>
      <c r="D1226" s="2"/>
      <c r="E1226" s="1" t="s">
        <v>207</v>
      </c>
      <c r="F1226" s="1"/>
      <c r="G1226" s="1" t="s">
        <v>35</v>
      </c>
      <c r="H1226" s="2"/>
      <c r="I1226">
        <v>1</v>
      </c>
      <c r="J1226" s="1" t="s">
        <v>234</v>
      </c>
      <c r="K1226" s="1" t="s">
        <v>879</v>
      </c>
      <c r="M1226" s="1" t="s">
        <v>234</v>
      </c>
      <c r="N1226" s="1" t="s">
        <v>235</v>
      </c>
    </row>
    <row r="1227" spans="1:14" x14ac:dyDescent="0.25">
      <c r="A1227" s="1" t="s">
        <v>1581</v>
      </c>
      <c r="B1227" s="1" t="s">
        <v>1364</v>
      </c>
      <c r="C1227" s="1" t="s">
        <v>82</v>
      </c>
      <c r="D1227" s="2"/>
      <c r="E1227" s="1" t="s">
        <v>207</v>
      </c>
      <c r="F1227" s="1"/>
      <c r="G1227" s="1" t="s">
        <v>35</v>
      </c>
      <c r="H1227" s="2"/>
      <c r="I1227">
        <v>1</v>
      </c>
      <c r="J1227" s="1" t="s">
        <v>234</v>
      </c>
      <c r="K1227" s="1" t="s">
        <v>879</v>
      </c>
      <c r="M1227" s="1" t="s">
        <v>234</v>
      </c>
      <c r="N1227" s="1" t="s">
        <v>235</v>
      </c>
    </row>
    <row r="1228" spans="1:14" x14ac:dyDescent="0.25">
      <c r="A1228" s="1" t="s">
        <v>1582</v>
      </c>
      <c r="B1228" s="1" t="s">
        <v>1364</v>
      </c>
      <c r="C1228" s="1" t="s">
        <v>82</v>
      </c>
      <c r="D1228" s="2"/>
      <c r="E1228" s="1" t="s">
        <v>207</v>
      </c>
      <c r="F1228" s="1"/>
      <c r="G1228" s="1" t="s">
        <v>35</v>
      </c>
      <c r="H1228" s="2"/>
      <c r="I1228">
        <v>1</v>
      </c>
      <c r="J1228" s="1" t="s">
        <v>234</v>
      </c>
      <c r="K1228" s="1" t="s">
        <v>879</v>
      </c>
      <c r="M1228" s="1" t="s">
        <v>234</v>
      </c>
      <c r="N1228" s="1" t="s">
        <v>235</v>
      </c>
    </row>
    <row r="1229" spans="1:14" x14ac:dyDescent="0.25">
      <c r="A1229" s="1" t="s">
        <v>1583</v>
      </c>
      <c r="B1229" s="1" t="s">
        <v>1364</v>
      </c>
      <c r="C1229" s="1" t="s">
        <v>82</v>
      </c>
      <c r="D1229" s="2"/>
      <c r="E1229" s="1" t="s">
        <v>207</v>
      </c>
      <c r="F1229" s="1"/>
      <c r="G1229" s="1" t="s">
        <v>35</v>
      </c>
      <c r="H1229" s="2"/>
      <c r="I1229">
        <v>1</v>
      </c>
      <c r="J1229" s="1" t="s">
        <v>234</v>
      </c>
      <c r="K1229" s="1" t="s">
        <v>879</v>
      </c>
      <c r="M1229" s="1" t="s">
        <v>234</v>
      </c>
      <c r="N1229" s="1" t="s">
        <v>235</v>
      </c>
    </row>
    <row r="1230" spans="1:14" x14ac:dyDescent="0.25">
      <c r="A1230" s="1" t="s">
        <v>1584</v>
      </c>
      <c r="B1230" s="1" t="s">
        <v>1364</v>
      </c>
      <c r="C1230" s="1" t="s">
        <v>82</v>
      </c>
      <c r="D1230" s="2"/>
      <c r="E1230" s="1" t="s">
        <v>207</v>
      </c>
      <c r="F1230" s="1"/>
      <c r="G1230" s="1" t="s">
        <v>35</v>
      </c>
      <c r="H1230" s="2"/>
      <c r="I1230">
        <v>1</v>
      </c>
      <c r="J1230" s="1" t="s">
        <v>234</v>
      </c>
      <c r="K1230" s="1" t="s">
        <v>879</v>
      </c>
      <c r="M1230" s="1" t="s">
        <v>234</v>
      </c>
      <c r="N1230" s="1" t="s">
        <v>235</v>
      </c>
    </row>
    <row r="1231" spans="1:14" x14ac:dyDescent="0.25">
      <c r="A1231" s="1" t="s">
        <v>1585</v>
      </c>
      <c r="B1231" s="1" t="s">
        <v>1364</v>
      </c>
      <c r="C1231" s="1" t="s">
        <v>82</v>
      </c>
      <c r="D1231" s="2"/>
      <c r="E1231" s="1" t="s">
        <v>207</v>
      </c>
      <c r="F1231" s="1"/>
      <c r="G1231" s="1" t="s">
        <v>35</v>
      </c>
      <c r="H1231" s="2"/>
      <c r="I1231">
        <v>1</v>
      </c>
      <c r="J1231" s="1" t="s">
        <v>234</v>
      </c>
      <c r="K1231" s="1" t="s">
        <v>879</v>
      </c>
      <c r="M1231" s="1" t="s">
        <v>234</v>
      </c>
      <c r="N1231" s="1" t="s">
        <v>235</v>
      </c>
    </row>
    <row r="1232" spans="1:14" x14ac:dyDescent="0.25">
      <c r="A1232" s="1" t="s">
        <v>1586</v>
      </c>
      <c r="B1232" s="1" t="s">
        <v>1364</v>
      </c>
      <c r="C1232" s="1" t="s">
        <v>82</v>
      </c>
      <c r="D1232" s="2"/>
      <c r="E1232" s="1" t="s">
        <v>207</v>
      </c>
      <c r="F1232" s="1"/>
      <c r="G1232" s="1" t="s">
        <v>35</v>
      </c>
      <c r="H1232" s="2"/>
      <c r="I1232">
        <v>1</v>
      </c>
      <c r="J1232" s="1" t="s">
        <v>234</v>
      </c>
      <c r="K1232" s="1" t="s">
        <v>879</v>
      </c>
      <c r="M1232" s="1" t="s">
        <v>234</v>
      </c>
      <c r="N1232" s="1" t="s">
        <v>235</v>
      </c>
    </row>
    <row r="1233" spans="1:14" x14ac:dyDescent="0.25">
      <c r="A1233" s="1" t="s">
        <v>1587</v>
      </c>
      <c r="B1233" s="1" t="s">
        <v>1364</v>
      </c>
      <c r="C1233" s="1" t="s">
        <v>82</v>
      </c>
      <c r="D1233" s="2"/>
      <c r="E1233" s="1" t="s">
        <v>207</v>
      </c>
      <c r="F1233" s="1"/>
      <c r="G1233" s="1" t="s">
        <v>35</v>
      </c>
      <c r="H1233" s="2"/>
      <c r="I1233">
        <v>1</v>
      </c>
      <c r="J1233" s="1" t="s">
        <v>234</v>
      </c>
      <c r="K1233" s="1" t="s">
        <v>879</v>
      </c>
      <c r="M1233" s="1" t="s">
        <v>234</v>
      </c>
      <c r="N1233" s="1" t="s">
        <v>235</v>
      </c>
    </row>
    <row r="1234" spans="1:14" x14ac:dyDescent="0.25">
      <c r="A1234" s="1" t="s">
        <v>1588</v>
      </c>
      <c r="B1234" s="1" t="s">
        <v>1364</v>
      </c>
      <c r="C1234" s="1" t="s">
        <v>82</v>
      </c>
      <c r="D1234" s="2"/>
      <c r="E1234" s="1" t="s">
        <v>207</v>
      </c>
      <c r="F1234" s="1"/>
      <c r="G1234" s="1" t="s">
        <v>35</v>
      </c>
      <c r="H1234" s="2"/>
      <c r="I1234">
        <v>1</v>
      </c>
      <c r="J1234" s="1" t="s">
        <v>234</v>
      </c>
      <c r="K1234" s="1" t="s">
        <v>879</v>
      </c>
      <c r="M1234" s="1" t="s">
        <v>234</v>
      </c>
      <c r="N1234" s="1" t="s">
        <v>235</v>
      </c>
    </row>
    <row r="1235" spans="1:14" x14ac:dyDescent="0.25">
      <c r="A1235" s="1" t="s">
        <v>1589</v>
      </c>
      <c r="B1235" s="1" t="s">
        <v>1364</v>
      </c>
      <c r="C1235" s="1" t="s">
        <v>82</v>
      </c>
      <c r="D1235" s="2"/>
      <c r="E1235" s="1" t="s">
        <v>207</v>
      </c>
      <c r="F1235" s="1"/>
      <c r="G1235" s="1" t="s">
        <v>35</v>
      </c>
      <c r="H1235" s="2"/>
      <c r="I1235">
        <v>1</v>
      </c>
      <c r="J1235" s="1" t="s">
        <v>234</v>
      </c>
      <c r="K1235" s="1" t="s">
        <v>879</v>
      </c>
      <c r="M1235" s="1" t="s">
        <v>234</v>
      </c>
      <c r="N1235" s="1" t="s">
        <v>235</v>
      </c>
    </row>
    <row r="1236" spans="1:14" x14ac:dyDescent="0.25">
      <c r="A1236" s="1" t="s">
        <v>1590</v>
      </c>
      <c r="B1236" s="1" t="s">
        <v>1364</v>
      </c>
      <c r="C1236" s="1" t="s">
        <v>82</v>
      </c>
      <c r="D1236" s="2"/>
      <c r="E1236" s="1" t="s">
        <v>207</v>
      </c>
      <c r="F1236" s="1"/>
      <c r="G1236" s="1" t="s">
        <v>35</v>
      </c>
      <c r="H1236" s="2"/>
      <c r="I1236">
        <v>1</v>
      </c>
      <c r="J1236" s="1" t="s">
        <v>234</v>
      </c>
      <c r="K1236" s="1" t="s">
        <v>879</v>
      </c>
      <c r="M1236" s="1" t="s">
        <v>234</v>
      </c>
      <c r="N1236" s="1" t="s">
        <v>235</v>
      </c>
    </row>
    <row r="1237" spans="1:14" x14ac:dyDescent="0.25">
      <c r="A1237" s="1" t="s">
        <v>1591</v>
      </c>
      <c r="B1237" s="1" t="s">
        <v>1364</v>
      </c>
      <c r="C1237" s="1" t="s">
        <v>82</v>
      </c>
      <c r="D1237" s="2"/>
      <c r="E1237" s="1" t="s">
        <v>207</v>
      </c>
      <c r="F1237" s="1"/>
      <c r="G1237" s="1" t="s">
        <v>35</v>
      </c>
      <c r="H1237" s="2"/>
      <c r="I1237">
        <v>1</v>
      </c>
      <c r="J1237" s="1" t="s">
        <v>234</v>
      </c>
      <c r="K1237" s="1" t="s">
        <v>879</v>
      </c>
      <c r="M1237" s="1" t="s">
        <v>234</v>
      </c>
      <c r="N1237" s="1" t="s">
        <v>235</v>
      </c>
    </row>
    <row r="1238" spans="1:14" x14ac:dyDescent="0.25">
      <c r="A1238" s="1" t="s">
        <v>1592</v>
      </c>
      <c r="B1238" s="1" t="s">
        <v>1364</v>
      </c>
      <c r="C1238" s="1" t="s">
        <v>82</v>
      </c>
      <c r="D1238" s="2"/>
      <c r="E1238" s="1" t="s">
        <v>207</v>
      </c>
      <c r="F1238" s="1"/>
      <c r="G1238" s="1" t="s">
        <v>35</v>
      </c>
      <c r="H1238" s="2"/>
      <c r="I1238">
        <v>1</v>
      </c>
      <c r="J1238" s="1" t="s">
        <v>234</v>
      </c>
      <c r="K1238" s="1" t="s">
        <v>879</v>
      </c>
      <c r="M1238" s="1" t="s">
        <v>234</v>
      </c>
      <c r="N1238" s="1" t="s">
        <v>235</v>
      </c>
    </row>
    <row r="1239" spans="1:14" x14ac:dyDescent="0.25">
      <c r="A1239" s="1" t="s">
        <v>1593</v>
      </c>
      <c r="B1239" s="1" t="s">
        <v>1364</v>
      </c>
      <c r="C1239" s="1" t="s">
        <v>82</v>
      </c>
      <c r="D1239" s="2"/>
      <c r="E1239" s="1" t="s">
        <v>207</v>
      </c>
      <c r="F1239" s="1"/>
      <c r="G1239" s="1" t="s">
        <v>35</v>
      </c>
      <c r="H1239" s="2"/>
      <c r="I1239">
        <v>1</v>
      </c>
      <c r="J1239" s="1" t="s">
        <v>234</v>
      </c>
      <c r="K1239" s="1" t="s">
        <v>879</v>
      </c>
      <c r="M1239" s="1" t="s">
        <v>234</v>
      </c>
      <c r="N1239" s="1" t="s">
        <v>235</v>
      </c>
    </row>
    <row r="1240" spans="1:14" x14ac:dyDescent="0.25">
      <c r="A1240" s="1" t="s">
        <v>1594</v>
      </c>
      <c r="B1240" s="1" t="s">
        <v>1364</v>
      </c>
      <c r="C1240" s="1" t="s">
        <v>82</v>
      </c>
      <c r="D1240" s="2"/>
      <c r="E1240" s="1" t="s">
        <v>207</v>
      </c>
      <c r="F1240" s="1"/>
      <c r="G1240" s="1" t="s">
        <v>35</v>
      </c>
      <c r="H1240" s="2"/>
      <c r="I1240">
        <v>1</v>
      </c>
      <c r="J1240" s="1" t="s">
        <v>234</v>
      </c>
      <c r="K1240" s="1" t="s">
        <v>879</v>
      </c>
      <c r="M1240" s="1" t="s">
        <v>234</v>
      </c>
      <c r="N1240" s="1" t="s">
        <v>235</v>
      </c>
    </row>
    <row r="1241" spans="1:14" x14ac:dyDescent="0.25">
      <c r="A1241" s="1" t="s">
        <v>1595</v>
      </c>
      <c r="B1241" s="1" t="s">
        <v>1364</v>
      </c>
      <c r="C1241" s="1" t="s">
        <v>82</v>
      </c>
      <c r="D1241" s="2"/>
      <c r="E1241" s="1" t="s">
        <v>207</v>
      </c>
      <c r="F1241" s="1"/>
      <c r="G1241" s="1" t="s">
        <v>35</v>
      </c>
      <c r="H1241" s="2"/>
      <c r="I1241">
        <v>1</v>
      </c>
      <c r="J1241" s="1" t="s">
        <v>234</v>
      </c>
      <c r="K1241" s="1" t="s">
        <v>879</v>
      </c>
      <c r="M1241" s="1" t="s">
        <v>234</v>
      </c>
      <c r="N1241" s="1" t="s">
        <v>235</v>
      </c>
    </row>
    <row r="1242" spans="1:14" x14ac:dyDescent="0.25">
      <c r="A1242" s="1" t="s">
        <v>1596</v>
      </c>
      <c r="B1242" s="1" t="s">
        <v>1364</v>
      </c>
      <c r="C1242" s="1" t="s">
        <v>82</v>
      </c>
      <c r="D1242" s="2"/>
      <c r="E1242" s="1" t="s">
        <v>207</v>
      </c>
      <c r="F1242" s="1"/>
      <c r="G1242" s="1" t="s">
        <v>35</v>
      </c>
      <c r="H1242" s="2"/>
      <c r="I1242">
        <v>1</v>
      </c>
      <c r="J1242" s="1" t="s">
        <v>234</v>
      </c>
      <c r="K1242" s="1" t="s">
        <v>879</v>
      </c>
      <c r="M1242" s="1" t="s">
        <v>234</v>
      </c>
      <c r="N1242" s="1" t="s">
        <v>235</v>
      </c>
    </row>
    <row r="1243" spans="1:14" x14ac:dyDescent="0.25">
      <c r="A1243" s="1" t="s">
        <v>1597</v>
      </c>
      <c r="B1243" s="1" t="s">
        <v>1364</v>
      </c>
      <c r="C1243" s="1" t="s">
        <v>82</v>
      </c>
      <c r="D1243" s="2"/>
      <c r="E1243" s="1" t="s">
        <v>207</v>
      </c>
      <c r="F1243" s="1"/>
      <c r="G1243" s="1" t="s">
        <v>35</v>
      </c>
      <c r="H1243" s="2"/>
      <c r="I1243">
        <v>1</v>
      </c>
      <c r="J1243" s="1" t="s">
        <v>234</v>
      </c>
      <c r="K1243" s="1" t="s">
        <v>879</v>
      </c>
      <c r="M1243" s="1" t="s">
        <v>234</v>
      </c>
      <c r="N1243" s="1" t="s">
        <v>235</v>
      </c>
    </row>
    <row r="1244" spans="1:14" x14ac:dyDescent="0.25">
      <c r="A1244" s="1" t="s">
        <v>1598</v>
      </c>
      <c r="B1244" s="1" t="s">
        <v>1364</v>
      </c>
      <c r="C1244" s="1" t="s">
        <v>82</v>
      </c>
      <c r="D1244" s="2"/>
      <c r="E1244" s="1" t="s">
        <v>207</v>
      </c>
      <c r="F1244" s="1"/>
      <c r="G1244" s="1" t="s">
        <v>35</v>
      </c>
      <c r="H1244" s="2"/>
      <c r="I1244">
        <v>1</v>
      </c>
      <c r="J1244" s="1" t="s">
        <v>234</v>
      </c>
      <c r="K1244" s="1" t="s">
        <v>879</v>
      </c>
      <c r="M1244" s="1" t="s">
        <v>234</v>
      </c>
      <c r="N1244" s="1" t="s">
        <v>235</v>
      </c>
    </row>
    <row r="1245" spans="1:14" x14ac:dyDescent="0.25">
      <c r="A1245" s="1" t="s">
        <v>1599</v>
      </c>
      <c r="B1245" s="1" t="s">
        <v>1364</v>
      </c>
      <c r="C1245" s="1" t="s">
        <v>82</v>
      </c>
      <c r="D1245" s="2"/>
      <c r="E1245" s="1" t="s">
        <v>207</v>
      </c>
      <c r="F1245" s="1"/>
      <c r="G1245" s="1" t="s">
        <v>35</v>
      </c>
      <c r="H1245" s="2"/>
      <c r="I1245">
        <v>1</v>
      </c>
      <c r="J1245" s="1" t="s">
        <v>234</v>
      </c>
      <c r="K1245" s="1" t="s">
        <v>879</v>
      </c>
      <c r="M1245" s="1" t="s">
        <v>234</v>
      </c>
      <c r="N1245" s="1" t="s">
        <v>235</v>
      </c>
    </row>
    <row r="1246" spans="1:14" x14ac:dyDescent="0.25">
      <c r="A1246" s="1" t="s">
        <v>1600</v>
      </c>
      <c r="B1246" s="1" t="s">
        <v>1364</v>
      </c>
      <c r="C1246" s="1" t="s">
        <v>82</v>
      </c>
      <c r="D1246" s="2"/>
      <c r="E1246" s="1" t="s">
        <v>207</v>
      </c>
      <c r="F1246" s="1"/>
      <c r="G1246" s="1" t="s">
        <v>35</v>
      </c>
      <c r="H1246" s="2"/>
      <c r="I1246">
        <v>1</v>
      </c>
      <c r="J1246" s="1" t="s">
        <v>234</v>
      </c>
      <c r="K1246" s="1" t="s">
        <v>879</v>
      </c>
      <c r="M1246" s="1" t="s">
        <v>234</v>
      </c>
      <c r="N1246" s="1" t="s">
        <v>235</v>
      </c>
    </row>
    <row r="1247" spans="1:14" x14ac:dyDescent="0.25">
      <c r="A1247" s="1" t="s">
        <v>1601</v>
      </c>
      <c r="B1247" s="1" t="s">
        <v>1364</v>
      </c>
      <c r="C1247" s="1" t="s">
        <v>82</v>
      </c>
      <c r="D1247" s="2"/>
      <c r="E1247" s="1" t="s">
        <v>207</v>
      </c>
      <c r="F1247" s="1"/>
      <c r="G1247" s="1" t="s">
        <v>35</v>
      </c>
      <c r="H1247" s="2"/>
      <c r="I1247">
        <v>1</v>
      </c>
      <c r="J1247" s="1" t="s">
        <v>234</v>
      </c>
      <c r="K1247" s="1" t="s">
        <v>879</v>
      </c>
      <c r="M1247" s="1" t="s">
        <v>234</v>
      </c>
      <c r="N1247" s="1" t="s">
        <v>235</v>
      </c>
    </row>
    <row r="1248" spans="1:14" x14ac:dyDescent="0.25">
      <c r="A1248" s="1" t="s">
        <v>1602</v>
      </c>
      <c r="B1248" s="1" t="s">
        <v>1364</v>
      </c>
      <c r="C1248" s="1" t="s">
        <v>82</v>
      </c>
      <c r="D1248" s="2"/>
      <c r="E1248" s="1" t="s">
        <v>207</v>
      </c>
      <c r="F1248" s="1"/>
      <c r="G1248" s="1" t="s">
        <v>35</v>
      </c>
      <c r="H1248" s="2"/>
      <c r="I1248">
        <v>1</v>
      </c>
      <c r="J1248" s="1" t="s">
        <v>234</v>
      </c>
      <c r="K1248" s="1" t="s">
        <v>879</v>
      </c>
      <c r="M1248" s="1" t="s">
        <v>234</v>
      </c>
      <c r="N1248" s="1" t="s">
        <v>235</v>
      </c>
    </row>
    <row r="1249" spans="1:14" x14ac:dyDescent="0.25">
      <c r="A1249" s="1" t="s">
        <v>1603</v>
      </c>
      <c r="B1249" s="1" t="s">
        <v>1364</v>
      </c>
      <c r="C1249" s="1" t="s">
        <v>82</v>
      </c>
      <c r="D1249" s="2"/>
      <c r="E1249" s="1" t="s">
        <v>207</v>
      </c>
      <c r="F1249" s="1"/>
      <c r="G1249" s="1" t="s">
        <v>35</v>
      </c>
      <c r="H1249" s="2"/>
      <c r="I1249">
        <v>1</v>
      </c>
      <c r="J1249" s="1" t="s">
        <v>234</v>
      </c>
      <c r="K1249" s="1" t="s">
        <v>879</v>
      </c>
      <c r="M1249" s="1" t="s">
        <v>234</v>
      </c>
      <c r="N1249" s="1" t="s">
        <v>235</v>
      </c>
    </row>
    <row r="1250" spans="1:14" x14ac:dyDescent="0.25">
      <c r="A1250" s="1" t="s">
        <v>1604</v>
      </c>
      <c r="B1250" s="1" t="s">
        <v>1364</v>
      </c>
      <c r="C1250" s="1" t="s">
        <v>82</v>
      </c>
      <c r="D1250" s="2"/>
      <c r="E1250" s="1" t="s">
        <v>207</v>
      </c>
      <c r="F1250" s="1"/>
      <c r="G1250" s="1" t="s">
        <v>35</v>
      </c>
      <c r="H1250" s="2"/>
      <c r="I1250">
        <v>1</v>
      </c>
      <c r="J1250" s="1" t="s">
        <v>234</v>
      </c>
      <c r="K1250" s="1" t="s">
        <v>879</v>
      </c>
      <c r="M1250" s="1" t="s">
        <v>234</v>
      </c>
      <c r="N1250" s="1" t="s">
        <v>235</v>
      </c>
    </row>
    <row r="1251" spans="1:14" x14ac:dyDescent="0.25">
      <c r="A1251" s="1" t="s">
        <v>1605</v>
      </c>
      <c r="B1251" s="1" t="s">
        <v>1364</v>
      </c>
      <c r="C1251" s="1" t="s">
        <v>82</v>
      </c>
      <c r="D1251" s="2"/>
      <c r="E1251" s="1" t="s">
        <v>207</v>
      </c>
      <c r="F1251" s="1"/>
      <c r="G1251" s="1" t="s">
        <v>35</v>
      </c>
      <c r="H1251" s="2"/>
      <c r="I1251">
        <v>1</v>
      </c>
      <c r="J1251" s="1" t="s">
        <v>234</v>
      </c>
      <c r="K1251" s="1" t="s">
        <v>879</v>
      </c>
      <c r="M1251" s="1" t="s">
        <v>234</v>
      </c>
      <c r="N1251" s="1" t="s">
        <v>235</v>
      </c>
    </row>
    <row r="1252" spans="1:14" x14ac:dyDescent="0.25">
      <c r="A1252" s="1" t="s">
        <v>1606</v>
      </c>
      <c r="B1252" s="1" t="s">
        <v>1364</v>
      </c>
      <c r="C1252" s="1" t="s">
        <v>82</v>
      </c>
      <c r="D1252" s="2"/>
      <c r="E1252" s="1" t="s">
        <v>207</v>
      </c>
      <c r="F1252" s="1"/>
      <c r="G1252" s="1" t="s">
        <v>35</v>
      </c>
      <c r="H1252" s="2"/>
      <c r="I1252">
        <v>1</v>
      </c>
      <c r="J1252" s="1" t="s">
        <v>234</v>
      </c>
      <c r="K1252" s="1" t="s">
        <v>879</v>
      </c>
      <c r="M1252" s="1" t="s">
        <v>234</v>
      </c>
      <c r="N1252" s="1" t="s">
        <v>235</v>
      </c>
    </row>
    <row r="1253" spans="1:14" x14ac:dyDescent="0.25">
      <c r="A1253" s="1" t="s">
        <v>1607</v>
      </c>
      <c r="B1253" s="1" t="s">
        <v>1364</v>
      </c>
      <c r="C1253" s="1" t="s">
        <v>82</v>
      </c>
      <c r="D1253" s="2"/>
      <c r="E1253" s="1" t="s">
        <v>207</v>
      </c>
      <c r="F1253" s="1"/>
      <c r="G1253" s="1" t="s">
        <v>35</v>
      </c>
      <c r="H1253" s="2"/>
      <c r="I1253">
        <v>1</v>
      </c>
      <c r="J1253" s="1" t="s">
        <v>234</v>
      </c>
      <c r="K1253" s="1" t="s">
        <v>879</v>
      </c>
      <c r="M1253" s="1" t="s">
        <v>234</v>
      </c>
      <c r="N1253" s="1" t="s">
        <v>235</v>
      </c>
    </row>
    <row r="1254" spans="1:14" x14ac:dyDescent="0.25">
      <c r="A1254" s="1" t="s">
        <v>1608</v>
      </c>
      <c r="B1254" s="1" t="s">
        <v>1364</v>
      </c>
      <c r="C1254" s="1" t="s">
        <v>82</v>
      </c>
      <c r="D1254" s="2"/>
      <c r="E1254" s="1" t="s">
        <v>207</v>
      </c>
      <c r="F1254" s="1"/>
      <c r="G1254" s="1" t="s">
        <v>35</v>
      </c>
      <c r="H1254" s="2"/>
      <c r="I1254">
        <v>1</v>
      </c>
      <c r="J1254" s="1" t="s">
        <v>234</v>
      </c>
      <c r="K1254" s="1" t="s">
        <v>879</v>
      </c>
      <c r="M1254" s="1" t="s">
        <v>234</v>
      </c>
      <c r="N1254" s="1" t="s">
        <v>235</v>
      </c>
    </row>
    <row r="1255" spans="1:14" x14ac:dyDescent="0.25">
      <c r="A1255" s="1" t="s">
        <v>1609</v>
      </c>
      <c r="B1255" s="1" t="s">
        <v>1364</v>
      </c>
      <c r="C1255" s="1" t="s">
        <v>82</v>
      </c>
      <c r="D1255" s="2"/>
      <c r="E1255" s="1" t="s">
        <v>207</v>
      </c>
      <c r="F1255" s="1"/>
      <c r="G1255" s="1" t="s">
        <v>35</v>
      </c>
      <c r="H1255" s="2"/>
      <c r="I1255">
        <v>1</v>
      </c>
      <c r="J1255" s="1" t="s">
        <v>234</v>
      </c>
      <c r="K1255" s="1" t="s">
        <v>879</v>
      </c>
      <c r="M1255" s="1" t="s">
        <v>234</v>
      </c>
      <c r="N1255" s="1" t="s">
        <v>235</v>
      </c>
    </row>
    <row r="1256" spans="1:14" x14ac:dyDescent="0.25">
      <c r="A1256" s="1" t="s">
        <v>1610</v>
      </c>
      <c r="B1256" s="1" t="s">
        <v>1364</v>
      </c>
      <c r="C1256" s="1" t="s">
        <v>82</v>
      </c>
      <c r="D1256" s="2"/>
      <c r="E1256" s="1" t="s">
        <v>207</v>
      </c>
      <c r="F1256" s="1"/>
      <c r="G1256" s="1" t="s">
        <v>35</v>
      </c>
      <c r="H1256" s="2"/>
      <c r="I1256">
        <v>1</v>
      </c>
      <c r="J1256" s="1" t="s">
        <v>234</v>
      </c>
      <c r="K1256" s="1" t="s">
        <v>879</v>
      </c>
      <c r="M1256" s="1" t="s">
        <v>234</v>
      </c>
      <c r="N1256" s="1" t="s">
        <v>235</v>
      </c>
    </row>
    <row r="1257" spans="1:14" x14ac:dyDescent="0.25">
      <c r="A1257" s="1" t="s">
        <v>1611</v>
      </c>
      <c r="B1257" s="1" t="s">
        <v>1364</v>
      </c>
      <c r="C1257" s="1" t="s">
        <v>82</v>
      </c>
      <c r="D1257" s="2"/>
      <c r="E1257" s="1" t="s">
        <v>207</v>
      </c>
      <c r="F1257" s="1"/>
      <c r="G1257" s="1" t="s">
        <v>35</v>
      </c>
      <c r="H1257" s="2"/>
      <c r="I1257">
        <v>1</v>
      </c>
      <c r="J1257" s="1" t="s">
        <v>234</v>
      </c>
      <c r="K1257" s="1" t="s">
        <v>879</v>
      </c>
      <c r="M1257" s="1" t="s">
        <v>234</v>
      </c>
      <c r="N1257" s="1" t="s">
        <v>235</v>
      </c>
    </row>
    <row r="1258" spans="1:14" x14ac:dyDescent="0.25">
      <c r="A1258" s="1" t="s">
        <v>1612</v>
      </c>
      <c r="B1258" s="1" t="s">
        <v>1364</v>
      </c>
      <c r="C1258" s="1" t="s">
        <v>82</v>
      </c>
      <c r="D1258" s="2"/>
      <c r="E1258" s="1" t="s">
        <v>207</v>
      </c>
      <c r="F1258" s="1"/>
      <c r="G1258" s="1" t="s">
        <v>35</v>
      </c>
      <c r="H1258" s="2"/>
      <c r="I1258">
        <v>1</v>
      </c>
      <c r="J1258" s="1" t="s">
        <v>234</v>
      </c>
      <c r="K1258" s="1" t="s">
        <v>879</v>
      </c>
      <c r="M1258" s="1" t="s">
        <v>234</v>
      </c>
      <c r="N1258" s="1" t="s">
        <v>235</v>
      </c>
    </row>
    <row r="1259" spans="1:14" x14ac:dyDescent="0.25">
      <c r="A1259" s="1" t="s">
        <v>1613</v>
      </c>
      <c r="B1259" s="1" t="s">
        <v>1364</v>
      </c>
      <c r="C1259" s="1" t="s">
        <v>82</v>
      </c>
      <c r="D1259" s="2"/>
      <c r="E1259" s="1" t="s">
        <v>207</v>
      </c>
      <c r="F1259" s="1"/>
      <c r="G1259" s="1" t="s">
        <v>35</v>
      </c>
      <c r="H1259" s="2"/>
      <c r="I1259">
        <v>1</v>
      </c>
      <c r="J1259" s="1" t="s">
        <v>234</v>
      </c>
      <c r="K1259" s="1" t="s">
        <v>879</v>
      </c>
      <c r="M1259" s="1" t="s">
        <v>234</v>
      </c>
      <c r="N1259" s="1" t="s">
        <v>235</v>
      </c>
    </row>
    <row r="1260" spans="1:14" x14ac:dyDescent="0.25">
      <c r="A1260" s="1" t="s">
        <v>1614</v>
      </c>
      <c r="B1260" s="1" t="s">
        <v>1364</v>
      </c>
      <c r="C1260" s="1" t="s">
        <v>82</v>
      </c>
      <c r="D1260" s="2"/>
      <c r="E1260" s="1" t="s">
        <v>207</v>
      </c>
      <c r="F1260" s="1"/>
      <c r="G1260" s="1" t="s">
        <v>35</v>
      </c>
      <c r="H1260" s="2"/>
      <c r="I1260">
        <v>1</v>
      </c>
      <c r="J1260" s="1" t="s">
        <v>234</v>
      </c>
      <c r="K1260" s="1" t="s">
        <v>879</v>
      </c>
      <c r="M1260" s="1" t="s">
        <v>234</v>
      </c>
      <c r="N1260" s="1" t="s">
        <v>235</v>
      </c>
    </row>
    <row r="1261" spans="1:14" x14ac:dyDescent="0.25">
      <c r="A1261" s="1" t="s">
        <v>1615</v>
      </c>
      <c r="B1261" s="1" t="s">
        <v>1364</v>
      </c>
      <c r="C1261" s="1" t="s">
        <v>82</v>
      </c>
      <c r="D1261" s="2"/>
      <c r="E1261" s="1" t="s">
        <v>207</v>
      </c>
      <c r="F1261" s="1"/>
      <c r="G1261" s="1" t="s">
        <v>35</v>
      </c>
      <c r="H1261" s="2"/>
      <c r="I1261">
        <v>1</v>
      </c>
      <c r="J1261" s="1" t="s">
        <v>234</v>
      </c>
      <c r="K1261" s="1" t="s">
        <v>879</v>
      </c>
      <c r="M1261" s="1" t="s">
        <v>234</v>
      </c>
      <c r="N1261" s="1" t="s">
        <v>235</v>
      </c>
    </row>
    <row r="1262" spans="1:14" x14ac:dyDescent="0.25">
      <c r="A1262" s="1" t="s">
        <v>1616</v>
      </c>
      <c r="B1262" s="1" t="s">
        <v>1364</v>
      </c>
      <c r="C1262" s="1" t="s">
        <v>82</v>
      </c>
      <c r="D1262" s="2"/>
      <c r="E1262" s="1" t="s">
        <v>207</v>
      </c>
      <c r="F1262" s="1"/>
      <c r="G1262" s="1" t="s">
        <v>35</v>
      </c>
      <c r="H1262" s="2"/>
      <c r="I1262">
        <v>1</v>
      </c>
      <c r="J1262" s="1" t="s">
        <v>234</v>
      </c>
      <c r="K1262" s="1" t="s">
        <v>879</v>
      </c>
      <c r="M1262" s="1" t="s">
        <v>234</v>
      </c>
      <c r="N1262" s="1" t="s">
        <v>235</v>
      </c>
    </row>
    <row r="1263" spans="1:14" x14ac:dyDescent="0.25">
      <c r="A1263" s="1" t="s">
        <v>1617</v>
      </c>
      <c r="B1263" s="1" t="s">
        <v>1364</v>
      </c>
      <c r="C1263" s="1" t="s">
        <v>82</v>
      </c>
      <c r="D1263" s="2"/>
      <c r="E1263" s="1" t="s">
        <v>207</v>
      </c>
      <c r="F1263" s="1"/>
      <c r="G1263" s="1" t="s">
        <v>35</v>
      </c>
      <c r="H1263" s="2"/>
      <c r="I1263">
        <v>1</v>
      </c>
      <c r="J1263" s="1" t="s">
        <v>234</v>
      </c>
      <c r="K1263" s="1" t="s">
        <v>879</v>
      </c>
      <c r="M1263" s="1" t="s">
        <v>234</v>
      </c>
      <c r="N1263" s="1" t="s">
        <v>235</v>
      </c>
    </row>
    <row r="1264" spans="1:14" x14ac:dyDescent="0.25">
      <c r="A1264" s="1" t="s">
        <v>1618</v>
      </c>
      <c r="B1264" s="1" t="s">
        <v>1364</v>
      </c>
      <c r="C1264" s="1" t="s">
        <v>82</v>
      </c>
      <c r="D1264" s="2"/>
      <c r="E1264" s="1" t="s">
        <v>207</v>
      </c>
      <c r="F1264" s="1"/>
      <c r="G1264" s="1" t="s">
        <v>35</v>
      </c>
      <c r="H1264" s="2"/>
      <c r="I1264">
        <v>1</v>
      </c>
      <c r="J1264" s="1" t="s">
        <v>234</v>
      </c>
      <c r="K1264" s="1" t="s">
        <v>879</v>
      </c>
      <c r="M1264" s="1" t="s">
        <v>234</v>
      </c>
      <c r="N1264" s="1" t="s">
        <v>235</v>
      </c>
    </row>
    <row r="1265" spans="1:14" x14ac:dyDescent="0.25">
      <c r="A1265" s="1" t="s">
        <v>1619</v>
      </c>
      <c r="B1265" s="1" t="s">
        <v>1364</v>
      </c>
      <c r="C1265" s="1" t="s">
        <v>82</v>
      </c>
      <c r="D1265" s="2"/>
      <c r="E1265" s="1" t="s">
        <v>207</v>
      </c>
      <c r="F1265" s="1"/>
      <c r="G1265" s="1" t="s">
        <v>35</v>
      </c>
      <c r="H1265" s="2"/>
      <c r="I1265">
        <v>1</v>
      </c>
      <c r="J1265" s="1" t="s">
        <v>234</v>
      </c>
      <c r="K1265" s="1" t="s">
        <v>879</v>
      </c>
      <c r="M1265" s="1" t="s">
        <v>234</v>
      </c>
      <c r="N1265" s="1" t="s">
        <v>235</v>
      </c>
    </row>
    <row r="1266" spans="1:14" x14ac:dyDescent="0.25">
      <c r="A1266" s="1" t="s">
        <v>1620</v>
      </c>
      <c r="B1266" s="1" t="s">
        <v>1364</v>
      </c>
      <c r="C1266" s="1" t="s">
        <v>82</v>
      </c>
      <c r="D1266" s="2"/>
      <c r="E1266" s="1" t="s">
        <v>207</v>
      </c>
      <c r="F1266" s="1"/>
      <c r="G1266" s="1" t="s">
        <v>35</v>
      </c>
      <c r="H1266" s="2"/>
      <c r="I1266">
        <v>1</v>
      </c>
      <c r="J1266" s="1" t="s">
        <v>234</v>
      </c>
      <c r="K1266" s="1" t="s">
        <v>879</v>
      </c>
      <c r="M1266" s="1" t="s">
        <v>234</v>
      </c>
      <c r="N1266" s="1" t="s">
        <v>235</v>
      </c>
    </row>
    <row r="1267" spans="1:14" x14ac:dyDescent="0.25">
      <c r="A1267" s="1" t="s">
        <v>1621</v>
      </c>
      <c r="B1267" s="1" t="s">
        <v>1364</v>
      </c>
      <c r="C1267" s="1" t="s">
        <v>82</v>
      </c>
      <c r="D1267" s="2"/>
      <c r="E1267" s="1" t="s">
        <v>207</v>
      </c>
      <c r="F1267" s="1"/>
      <c r="G1267" s="1" t="s">
        <v>35</v>
      </c>
      <c r="H1267" s="2"/>
      <c r="I1267">
        <v>1</v>
      </c>
      <c r="J1267" s="1" t="s">
        <v>234</v>
      </c>
      <c r="K1267" s="1" t="s">
        <v>879</v>
      </c>
      <c r="M1267" s="1" t="s">
        <v>234</v>
      </c>
      <c r="N1267" s="1" t="s">
        <v>235</v>
      </c>
    </row>
    <row r="1268" spans="1:14" x14ac:dyDescent="0.25">
      <c r="A1268" s="1" t="s">
        <v>1622</v>
      </c>
      <c r="B1268" s="1" t="s">
        <v>1364</v>
      </c>
      <c r="C1268" s="1" t="s">
        <v>82</v>
      </c>
      <c r="D1268" s="2"/>
      <c r="E1268" s="1" t="s">
        <v>207</v>
      </c>
      <c r="F1268" s="1"/>
      <c r="G1268" s="1" t="s">
        <v>35</v>
      </c>
      <c r="H1268" s="2"/>
      <c r="I1268">
        <v>1</v>
      </c>
      <c r="J1268" s="1" t="s">
        <v>234</v>
      </c>
      <c r="K1268" s="1" t="s">
        <v>879</v>
      </c>
      <c r="M1268" s="1" t="s">
        <v>234</v>
      </c>
      <c r="N1268" s="1" t="s">
        <v>235</v>
      </c>
    </row>
    <row r="1269" spans="1:14" x14ac:dyDescent="0.25">
      <c r="A1269" s="1" t="s">
        <v>1623</v>
      </c>
      <c r="B1269" s="1" t="s">
        <v>1364</v>
      </c>
      <c r="C1269" s="1" t="s">
        <v>82</v>
      </c>
      <c r="D1269" s="2"/>
      <c r="E1269" s="1" t="s">
        <v>207</v>
      </c>
      <c r="F1269" s="1"/>
      <c r="G1269" s="1" t="s">
        <v>35</v>
      </c>
      <c r="H1269" s="2"/>
      <c r="I1269">
        <v>1</v>
      </c>
      <c r="J1269" s="1" t="s">
        <v>234</v>
      </c>
      <c r="K1269" s="1" t="s">
        <v>879</v>
      </c>
      <c r="M1269" s="1" t="s">
        <v>234</v>
      </c>
      <c r="N1269" s="1" t="s">
        <v>235</v>
      </c>
    </row>
    <row r="1270" spans="1:14" x14ac:dyDescent="0.25">
      <c r="A1270" s="1" t="s">
        <v>1624</v>
      </c>
      <c r="B1270" s="1" t="s">
        <v>1364</v>
      </c>
      <c r="C1270" s="1" t="s">
        <v>82</v>
      </c>
      <c r="D1270" s="2"/>
      <c r="E1270" s="1" t="s">
        <v>207</v>
      </c>
      <c r="F1270" s="1"/>
      <c r="G1270" s="1" t="s">
        <v>35</v>
      </c>
      <c r="H1270" s="2"/>
      <c r="I1270">
        <v>1</v>
      </c>
      <c r="J1270" s="1" t="s">
        <v>234</v>
      </c>
      <c r="K1270" s="1" t="s">
        <v>879</v>
      </c>
      <c r="M1270" s="1" t="s">
        <v>234</v>
      </c>
      <c r="N1270" s="1" t="s">
        <v>235</v>
      </c>
    </row>
    <row r="1271" spans="1:14" x14ac:dyDescent="0.25">
      <c r="A1271" s="1" t="s">
        <v>1625</v>
      </c>
      <c r="B1271" s="1" t="s">
        <v>1364</v>
      </c>
      <c r="C1271" s="1" t="s">
        <v>82</v>
      </c>
      <c r="D1271" s="2"/>
      <c r="E1271" s="1" t="s">
        <v>207</v>
      </c>
      <c r="F1271" s="1"/>
      <c r="G1271" s="1" t="s">
        <v>35</v>
      </c>
      <c r="H1271" s="2"/>
      <c r="I1271">
        <v>1</v>
      </c>
      <c r="J1271" s="1" t="s">
        <v>234</v>
      </c>
      <c r="K1271" s="1" t="s">
        <v>879</v>
      </c>
      <c r="M1271" s="1" t="s">
        <v>234</v>
      </c>
      <c r="N1271" s="1" t="s">
        <v>235</v>
      </c>
    </row>
    <row r="1272" spans="1:14" x14ac:dyDescent="0.25">
      <c r="A1272" s="1" t="s">
        <v>1626</v>
      </c>
      <c r="B1272" s="1" t="s">
        <v>1364</v>
      </c>
      <c r="C1272" s="1" t="s">
        <v>82</v>
      </c>
      <c r="D1272" s="2"/>
      <c r="E1272" s="1" t="s">
        <v>207</v>
      </c>
      <c r="F1272" s="1"/>
      <c r="G1272" s="1" t="s">
        <v>35</v>
      </c>
      <c r="H1272" s="2"/>
      <c r="I1272">
        <v>1</v>
      </c>
      <c r="J1272" s="1" t="s">
        <v>234</v>
      </c>
      <c r="K1272" s="1" t="s">
        <v>879</v>
      </c>
      <c r="M1272" s="1" t="s">
        <v>234</v>
      </c>
      <c r="N1272" s="1" t="s">
        <v>235</v>
      </c>
    </row>
    <row r="1273" spans="1:14" x14ac:dyDescent="0.25">
      <c r="A1273" s="1" t="s">
        <v>1627</v>
      </c>
      <c r="B1273" s="1" t="s">
        <v>1364</v>
      </c>
      <c r="C1273" s="1" t="s">
        <v>82</v>
      </c>
      <c r="D1273" s="2"/>
      <c r="E1273" s="1" t="s">
        <v>207</v>
      </c>
      <c r="F1273" s="1"/>
      <c r="G1273" s="1" t="s">
        <v>35</v>
      </c>
      <c r="H1273" s="2"/>
      <c r="I1273">
        <v>1</v>
      </c>
      <c r="J1273" s="1" t="s">
        <v>234</v>
      </c>
      <c r="K1273" s="1" t="s">
        <v>879</v>
      </c>
      <c r="M1273" s="1" t="s">
        <v>234</v>
      </c>
      <c r="N1273" s="1" t="s">
        <v>235</v>
      </c>
    </row>
    <row r="1274" spans="1:14" x14ac:dyDescent="0.25">
      <c r="A1274" s="1" t="s">
        <v>1628</v>
      </c>
      <c r="B1274" s="1" t="s">
        <v>1364</v>
      </c>
      <c r="C1274" s="1" t="s">
        <v>82</v>
      </c>
      <c r="D1274" s="2"/>
      <c r="E1274" s="1" t="s">
        <v>207</v>
      </c>
      <c r="F1274" s="1"/>
      <c r="G1274" s="1" t="s">
        <v>35</v>
      </c>
      <c r="H1274" s="2"/>
      <c r="I1274">
        <v>1</v>
      </c>
      <c r="J1274" s="1" t="s">
        <v>234</v>
      </c>
      <c r="K1274" s="1" t="s">
        <v>879</v>
      </c>
      <c r="M1274" s="1" t="s">
        <v>234</v>
      </c>
      <c r="N1274" s="1" t="s">
        <v>235</v>
      </c>
    </row>
    <row r="1275" spans="1:14" x14ac:dyDescent="0.25">
      <c r="A1275" s="1" t="s">
        <v>1629</v>
      </c>
      <c r="B1275" s="1" t="s">
        <v>1364</v>
      </c>
      <c r="C1275" s="1" t="s">
        <v>82</v>
      </c>
      <c r="D1275" s="2"/>
      <c r="E1275" s="1" t="s">
        <v>207</v>
      </c>
      <c r="F1275" s="1"/>
      <c r="G1275" s="1" t="s">
        <v>35</v>
      </c>
      <c r="H1275" s="2"/>
      <c r="I1275">
        <v>1</v>
      </c>
      <c r="J1275" s="1" t="s">
        <v>234</v>
      </c>
      <c r="K1275" s="1" t="s">
        <v>879</v>
      </c>
      <c r="M1275" s="1" t="s">
        <v>234</v>
      </c>
      <c r="N1275" s="1" t="s">
        <v>235</v>
      </c>
    </row>
    <row r="1276" spans="1:14" x14ac:dyDescent="0.25">
      <c r="A1276" s="1" t="s">
        <v>1630</v>
      </c>
      <c r="B1276" s="1" t="s">
        <v>1364</v>
      </c>
      <c r="C1276" s="1" t="s">
        <v>82</v>
      </c>
      <c r="D1276" s="2"/>
      <c r="E1276" s="1" t="s">
        <v>207</v>
      </c>
      <c r="F1276" s="1"/>
      <c r="G1276" s="1" t="s">
        <v>35</v>
      </c>
      <c r="H1276" s="2"/>
      <c r="I1276">
        <v>1</v>
      </c>
      <c r="J1276" s="1" t="s">
        <v>234</v>
      </c>
      <c r="K1276" s="1" t="s">
        <v>879</v>
      </c>
      <c r="M1276" s="1" t="s">
        <v>234</v>
      </c>
      <c r="N1276" s="1" t="s">
        <v>235</v>
      </c>
    </row>
    <row r="1277" spans="1:14" x14ac:dyDescent="0.25">
      <c r="A1277" s="1" t="s">
        <v>1631</v>
      </c>
      <c r="B1277" s="1" t="s">
        <v>1364</v>
      </c>
      <c r="C1277" s="1" t="s">
        <v>82</v>
      </c>
      <c r="D1277" s="2"/>
      <c r="E1277" s="1" t="s">
        <v>207</v>
      </c>
      <c r="F1277" s="1"/>
      <c r="G1277" s="1" t="s">
        <v>35</v>
      </c>
      <c r="H1277" s="2"/>
      <c r="I1277">
        <v>1</v>
      </c>
      <c r="J1277" s="1" t="s">
        <v>234</v>
      </c>
      <c r="K1277" s="1" t="s">
        <v>879</v>
      </c>
      <c r="M1277" s="1" t="s">
        <v>234</v>
      </c>
      <c r="N1277" s="1" t="s">
        <v>235</v>
      </c>
    </row>
    <row r="1278" spans="1:14" x14ac:dyDescent="0.25">
      <c r="A1278" s="1" t="s">
        <v>1632</v>
      </c>
      <c r="B1278" s="1" t="s">
        <v>1364</v>
      </c>
      <c r="C1278" s="1" t="s">
        <v>82</v>
      </c>
      <c r="D1278" s="2"/>
      <c r="E1278" s="1" t="s">
        <v>207</v>
      </c>
      <c r="F1278" s="1"/>
      <c r="G1278" s="1" t="s">
        <v>35</v>
      </c>
      <c r="H1278" s="2"/>
      <c r="I1278">
        <v>1</v>
      </c>
      <c r="J1278" s="1" t="s">
        <v>234</v>
      </c>
      <c r="K1278" s="1" t="s">
        <v>879</v>
      </c>
      <c r="M1278" s="1" t="s">
        <v>234</v>
      </c>
      <c r="N1278" s="1" t="s">
        <v>235</v>
      </c>
    </row>
    <row r="1279" spans="1:14" x14ac:dyDescent="0.25">
      <c r="A1279" s="1" t="s">
        <v>1633</v>
      </c>
      <c r="B1279" s="1" t="s">
        <v>1364</v>
      </c>
      <c r="C1279" s="1" t="s">
        <v>82</v>
      </c>
      <c r="D1279" s="2"/>
      <c r="E1279" s="1" t="s">
        <v>207</v>
      </c>
      <c r="F1279" s="1"/>
      <c r="G1279" s="1" t="s">
        <v>35</v>
      </c>
      <c r="H1279" s="2"/>
      <c r="I1279">
        <v>1</v>
      </c>
      <c r="J1279" s="1" t="s">
        <v>234</v>
      </c>
      <c r="K1279" s="1" t="s">
        <v>879</v>
      </c>
      <c r="M1279" s="1" t="s">
        <v>234</v>
      </c>
      <c r="N1279" s="1" t="s">
        <v>235</v>
      </c>
    </row>
    <row r="1280" spans="1:14" x14ac:dyDescent="0.25">
      <c r="A1280" s="1" t="s">
        <v>1634</v>
      </c>
      <c r="B1280" s="1" t="s">
        <v>1364</v>
      </c>
      <c r="C1280" s="1" t="s">
        <v>82</v>
      </c>
      <c r="D1280" s="2"/>
      <c r="E1280" s="1" t="s">
        <v>207</v>
      </c>
      <c r="F1280" s="1"/>
      <c r="G1280" s="1" t="s">
        <v>35</v>
      </c>
      <c r="H1280" s="2"/>
      <c r="I1280">
        <v>1</v>
      </c>
      <c r="J1280" s="1" t="s">
        <v>234</v>
      </c>
      <c r="K1280" s="1" t="s">
        <v>879</v>
      </c>
      <c r="M1280" s="1" t="s">
        <v>234</v>
      </c>
      <c r="N1280" s="1" t="s">
        <v>235</v>
      </c>
    </row>
    <row r="1281" spans="1:14" x14ac:dyDescent="0.25">
      <c r="A1281" s="1" t="s">
        <v>1635</v>
      </c>
      <c r="B1281" s="1" t="s">
        <v>1364</v>
      </c>
      <c r="C1281" s="1" t="s">
        <v>82</v>
      </c>
      <c r="D1281" s="2"/>
      <c r="E1281" s="1" t="s">
        <v>207</v>
      </c>
      <c r="F1281" s="1"/>
      <c r="G1281" s="1" t="s">
        <v>35</v>
      </c>
      <c r="H1281" s="2"/>
      <c r="I1281">
        <v>1</v>
      </c>
      <c r="J1281" s="1" t="s">
        <v>234</v>
      </c>
      <c r="K1281" s="1" t="s">
        <v>879</v>
      </c>
      <c r="M1281" s="1" t="s">
        <v>234</v>
      </c>
      <c r="N1281" s="1" t="s">
        <v>235</v>
      </c>
    </row>
    <row r="1282" spans="1:14" x14ac:dyDescent="0.25">
      <c r="A1282" s="1" t="s">
        <v>1636</v>
      </c>
      <c r="B1282" s="1" t="s">
        <v>1364</v>
      </c>
      <c r="C1282" s="1" t="s">
        <v>82</v>
      </c>
      <c r="D1282" s="2"/>
      <c r="E1282" s="1" t="s">
        <v>207</v>
      </c>
      <c r="F1282" s="1"/>
      <c r="G1282" s="1" t="s">
        <v>35</v>
      </c>
      <c r="H1282" s="2"/>
      <c r="I1282">
        <v>1</v>
      </c>
      <c r="J1282" s="1" t="s">
        <v>234</v>
      </c>
      <c r="K1282" s="1" t="s">
        <v>879</v>
      </c>
      <c r="M1282" s="1" t="s">
        <v>234</v>
      </c>
      <c r="N1282" s="1" t="s">
        <v>235</v>
      </c>
    </row>
    <row r="1283" spans="1:14" x14ac:dyDescent="0.25">
      <c r="A1283" s="1" t="s">
        <v>1637</v>
      </c>
      <c r="B1283" s="1" t="s">
        <v>1364</v>
      </c>
      <c r="C1283" s="1" t="s">
        <v>82</v>
      </c>
      <c r="D1283" s="2"/>
      <c r="E1283" s="1" t="s">
        <v>207</v>
      </c>
      <c r="F1283" s="1"/>
      <c r="G1283" s="1" t="s">
        <v>35</v>
      </c>
      <c r="H1283" s="2"/>
      <c r="I1283">
        <v>1</v>
      </c>
      <c r="J1283" s="1" t="s">
        <v>234</v>
      </c>
      <c r="K1283" s="1" t="s">
        <v>879</v>
      </c>
      <c r="M1283" s="1" t="s">
        <v>234</v>
      </c>
      <c r="N1283" s="1" t="s">
        <v>235</v>
      </c>
    </row>
    <row r="1284" spans="1:14" x14ac:dyDescent="0.25">
      <c r="A1284" s="1" t="s">
        <v>1638</v>
      </c>
      <c r="B1284" s="1" t="s">
        <v>1364</v>
      </c>
      <c r="C1284" s="1" t="s">
        <v>82</v>
      </c>
      <c r="D1284" s="2"/>
      <c r="E1284" s="1" t="s">
        <v>207</v>
      </c>
      <c r="F1284" s="1"/>
      <c r="G1284" s="1" t="s">
        <v>35</v>
      </c>
      <c r="H1284" s="2"/>
      <c r="I1284">
        <v>1</v>
      </c>
      <c r="J1284" s="1" t="s">
        <v>234</v>
      </c>
      <c r="K1284" s="1" t="s">
        <v>879</v>
      </c>
      <c r="M1284" s="1" t="s">
        <v>234</v>
      </c>
      <c r="N1284" s="1" t="s">
        <v>235</v>
      </c>
    </row>
    <row r="1285" spans="1:14" x14ac:dyDescent="0.25">
      <c r="A1285" s="1" t="s">
        <v>1639</v>
      </c>
      <c r="B1285" s="1" t="s">
        <v>1364</v>
      </c>
      <c r="C1285" s="1" t="s">
        <v>82</v>
      </c>
      <c r="D1285" s="2"/>
      <c r="E1285" s="1" t="s">
        <v>207</v>
      </c>
      <c r="F1285" s="1"/>
      <c r="G1285" s="1" t="s">
        <v>35</v>
      </c>
      <c r="H1285" s="2"/>
      <c r="I1285">
        <v>1</v>
      </c>
      <c r="J1285" s="1" t="s">
        <v>234</v>
      </c>
      <c r="K1285" s="1" t="s">
        <v>879</v>
      </c>
      <c r="M1285" s="1" t="s">
        <v>234</v>
      </c>
      <c r="N1285" s="1" t="s">
        <v>235</v>
      </c>
    </row>
    <row r="1286" spans="1:14" x14ac:dyDescent="0.25">
      <c r="A1286" s="1" t="s">
        <v>1640</v>
      </c>
      <c r="B1286" s="1" t="s">
        <v>1364</v>
      </c>
      <c r="C1286" s="1" t="s">
        <v>82</v>
      </c>
      <c r="D1286" s="2"/>
      <c r="E1286" s="1" t="s">
        <v>207</v>
      </c>
      <c r="F1286" s="1"/>
      <c r="G1286" s="1" t="s">
        <v>35</v>
      </c>
      <c r="H1286" s="2"/>
      <c r="I1286">
        <v>1</v>
      </c>
      <c r="J1286" s="1" t="s">
        <v>234</v>
      </c>
      <c r="K1286" s="1" t="s">
        <v>879</v>
      </c>
      <c r="M1286" s="1" t="s">
        <v>234</v>
      </c>
      <c r="N1286" s="1" t="s">
        <v>235</v>
      </c>
    </row>
    <row r="1287" spans="1:14" x14ac:dyDescent="0.25">
      <c r="A1287" s="1" t="s">
        <v>1641</v>
      </c>
      <c r="B1287" s="1" t="s">
        <v>1364</v>
      </c>
      <c r="C1287" s="1" t="s">
        <v>82</v>
      </c>
      <c r="D1287" s="2"/>
      <c r="E1287" s="1" t="s">
        <v>207</v>
      </c>
      <c r="F1287" s="1"/>
      <c r="G1287" s="1" t="s">
        <v>35</v>
      </c>
      <c r="H1287" s="2"/>
      <c r="I1287">
        <v>1</v>
      </c>
      <c r="J1287" s="1" t="s">
        <v>234</v>
      </c>
      <c r="K1287" s="1" t="s">
        <v>879</v>
      </c>
      <c r="M1287" s="1" t="s">
        <v>234</v>
      </c>
      <c r="N1287" s="1" t="s">
        <v>235</v>
      </c>
    </row>
    <row r="1288" spans="1:14" x14ac:dyDescent="0.25">
      <c r="A1288" s="1" t="s">
        <v>1642</v>
      </c>
      <c r="B1288" s="1" t="s">
        <v>1364</v>
      </c>
      <c r="C1288" s="1" t="s">
        <v>82</v>
      </c>
      <c r="D1288" s="2"/>
      <c r="E1288" s="1" t="s">
        <v>207</v>
      </c>
      <c r="F1288" s="1"/>
      <c r="G1288" s="1" t="s">
        <v>35</v>
      </c>
      <c r="H1288" s="2"/>
      <c r="I1288">
        <v>1</v>
      </c>
      <c r="J1288" s="1" t="s">
        <v>234</v>
      </c>
      <c r="K1288" s="1" t="s">
        <v>879</v>
      </c>
      <c r="M1288" s="1" t="s">
        <v>234</v>
      </c>
      <c r="N1288" s="1" t="s">
        <v>235</v>
      </c>
    </row>
    <row r="1289" spans="1:14" x14ac:dyDescent="0.25">
      <c r="A1289" s="1" t="s">
        <v>1643</v>
      </c>
      <c r="B1289" s="1" t="s">
        <v>1364</v>
      </c>
      <c r="C1289" s="1" t="s">
        <v>82</v>
      </c>
      <c r="D1289" s="2"/>
      <c r="E1289" s="1" t="s">
        <v>207</v>
      </c>
      <c r="F1289" s="1"/>
      <c r="G1289" s="1" t="s">
        <v>35</v>
      </c>
      <c r="H1289" s="2"/>
      <c r="I1289">
        <v>1</v>
      </c>
      <c r="J1289" s="1" t="s">
        <v>234</v>
      </c>
      <c r="K1289" s="1" t="s">
        <v>879</v>
      </c>
      <c r="M1289" s="1" t="s">
        <v>234</v>
      </c>
      <c r="N1289" s="1" t="s">
        <v>235</v>
      </c>
    </row>
    <row r="1290" spans="1:14" x14ac:dyDescent="0.25">
      <c r="A1290" s="1" t="s">
        <v>1644</v>
      </c>
      <c r="B1290" s="1" t="s">
        <v>1364</v>
      </c>
      <c r="C1290" s="1" t="s">
        <v>82</v>
      </c>
      <c r="D1290" s="2"/>
      <c r="E1290" s="1" t="s">
        <v>207</v>
      </c>
      <c r="F1290" s="1"/>
      <c r="G1290" s="1" t="s">
        <v>35</v>
      </c>
      <c r="H1290" s="2"/>
      <c r="I1290">
        <v>1</v>
      </c>
      <c r="J1290" s="1" t="s">
        <v>234</v>
      </c>
      <c r="K1290" s="1" t="s">
        <v>879</v>
      </c>
      <c r="M1290" s="1" t="s">
        <v>234</v>
      </c>
      <c r="N1290" s="1" t="s">
        <v>235</v>
      </c>
    </row>
    <row r="1291" spans="1:14" x14ac:dyDescent="0.25">
      <c r="A1291" s="1" t="s">
        <v>1645</v>
      </c>
      <c r="B1291" s="1" t="s">
        <v>1364</v>
      </c>
      <c r="C1291" s="1" t="s">
        <v>82</v>
      </c>
      <c r="D1291" s="2"/>
      <c r="E1291" s="1" t="s">
        <v>207</v>
      </c>
      <c r="F1291" s="1"/>
      <c r="G1291" s="1" t="s">
        <v>35</v>
      </c>
      <c r="H1291" s="2"/>
      <c r="I1291">
        <v>1</v>
      </c>
      <c r="J1291" s="1" t="s">
        <v>234</v>
      </c>
      <c r="K1291" s="1" t="s">
        <v>879</v>
      </c>
      <c r="M1291" s="1" t="s">
        <v>234</v>
      </c>
      <c r="N1291" s="1" t="s">
        <v>235</v>
      </c>
    </row>
    <row r="1292" spans="1:14" x14ac:dyDescent="0.25">
      <c r="A1292" s="1" t="s">
        <v>1646</v>
      </c>
      <c r="B1292" s="1" t="s">
        <v>1360</v>
      </c>
      <c r="C1292" s="1" t="s">
        <v>81</v>
      </c>
      <c r="D1292" s="2"/>
      <c r="E1292" s="1" t="s">
        <v>207</v>
      </c>
      <c r="F1292" s="1"/>
      <c r="G1292" s="1" t="s">
        <v>35</v>
      </c>
      <c r="H1292" s="2"/>
      <c r="I1292">
        <v>1</v>
      </c>
      <c r="J1292" s="1" t="s">
        <v>234</v>
      </c>
      <c r="K1292" s="1" t="s">
        <v>879</v>
      </c>
      <c r="M1292" s="1" t="s">
        <v>234</v>
      </c>
      <c r="N1292" s="1" t="s">
        <v>235</v>
      </c>
    </row>
    <row r="1293" spans="1:14" x14ac:dyDescent="0.25">
      <c r="A1293" s="1" t="s">
        <v>1647</v>
      </c>
      <c r="B1293" s="1" t="s">
        <v>1360</v>
      </c>
      <c r="C1293" s="1" t="s">
        <v>81</v>
      </c>
      <c r="D1293" s="2"/>
      <c r="E1293" s="1" t="s">
        <v>207</v>
      </c>
      <c r="F1293" s="1"/>
      <c r="G1293" s="1" t="s">
        <v>35</v>
      </c>
      <c r="H1293" s="2"/>
      <c r="I1293">
        <v>1</v>
      </c>
      <c r="J1293" s="1" t="s">
        <v>234</v>
      </c>
      <c r="K1293" s="1" t="s">
        <v>879</v>
      </c>
      <c r="M1293" s="1" t="s">
        <v>234</v>
      </c>
      <c r="N1293" s="1" t="s">
        <v>235</v>
      </c>
    </row>
    <row r="1294" spans="1:14" x14ac:dyDescent="0.25">
      <c r="A1294" s="1" t="s">
        <v>1648</v>
      </c>
      <c r="B1294" s="1" t="s">
        <v>1360</v>
      </c>
      <c r="C1294" s="1" t="s">
        <v>81</v>
      </c>
      <c r="D1294" s="2"/>
      <c r="E1294" s="1" t="s">
        <v>207</v>
      </c>
      <c r="F1294" s="1"/>
      <c r="G1294" s="1" t="s">
        <v>35</v>
      </c>
      <c r="H1294" s="2"/>
      <c r="I1294">
        <v>1</v>
      </c>
      <c r="J1294" s="1" t="s">
        <v>234</v>
      </c>
      <c r="K1294" s="1" t="s">
        <v>879</v>
      </c>
      <c r="M1294" s="1" t="s">
        <v>234</v>
      </c>
      <c r="N1294" s="1" t="s">
        <v>235</v>
      </c>
    </row>
    <row r="1295" spans="1:14" x14ac:dyDescent="0.25">
      <c r="A1295" s="1" t="s">
        <v>1649</v>
      </c>
      <c r="B1295" s="1" t="s">
        <v>1360</v>
      </c>
      <c r="C1295" s="1" t="s">
        <v>81</v>
      </c>
      <c r="D1295" s="2"/>
      <c r="E1295" s="1" t="s">
        <v>207</v>
      </c>
      <c r="F1295" s="1"/>
      <c r="G1295" s="1" t="s">
        <v>35</v>
      </c>
      <c r="H1295" s="2"/>
      <c r="I1295">
        <v>1</v>
      </c>
      <c r="J1295" s="1" t="s">
        <v>234</v>
      </c>
      <c r="K1295" s="1" t="s">
        <v>879</v>
      </c>
      <c r="M1295" s="1" t="s">
        <v>234</v>
      </c>
      <c r="N1295" s="1" t="s">
        <v>235</v>
      </c>
    </row>
    <row r="1296" spans="1:14" x14ac:dyDescent="0.25">
      <c r="A1296" s="1" t="s">
        <v>1650</v>
      </c>
      <c r="B1296" s="1" t="s">
        <v>1360</v>
      </c>
      <c r="C1296" s="1" t="s">
        <v>81</v>
      </c>
      <c r="D1296" s="2"/>
      <c r="E1296" s="1" t="s">
        <v>207</v>
      </c>
      <c r="F1296" s="1"/>
      <c r="G1296" s="1" t="s">
        <v>35</v>
      </c>
      <c r="H1296" s="2"/>
      <c r="I1296">
        <v>1</v>
      </c>
      <c r="J1296" s="1" t="s">
        <v>234</v>
      </c>
      <c r="K1296" s="1" t="s">
        <v>879</v>
      </c>
      <c r="M1296" s="1" t="s">
        <v>234</v>
      </c>
      <c r="N1296" s="1" t="s">
        <v>235</v>
      </c>
    </row>
    <row r="1297" spans="1:14" x14ac:dyDescent="0.25">
      <c r="A1297" s="1" t="s">
        <v>1651</v>
      </c>
      <c r="B1297" s="1" t="s">
        <v>1360</v>
      </c>
      <c r="C1297" s="1" t="s">
        <v>81</v>
      </c>
      <c r="D1297" s="2"/>
      <c r="E1297" s="1" t="s">
        <v>207</v>
      </c>
      <c r="F1297" s="1"/>
      <c r="G1297" s="1" t="s">
        <v>35</v>
      </c>
      <c r="H1297" s="2"/>
      <c r="I1297">
        <v>1</v>
      </c>
      <c r="J1297" s="1" t="s">
        <v>234</v>
      </c>
      <c r="K1297" s="1" t="s">
        <v>879</v>
      </c>
      <c r="M1297" s="1" t="s">
        <v>234</v>
      </c>
      <c r="N1297" s="1" t="s">
        <v>235</v>
      </c>
    </row>
    <row r="1298" spans="1:14" x14ac:dyDescent="0.25">
      <c r="A1298" s="1" t="s">
        <v>1652</v>
      </c>
      <c r="B1298" s="1" t="s">
        <v>1360</v>
      </c>
      <c r="C1298" s="1" t="s">
        <v>82</v>
      </c>
      <c r="D1298" s="2"/>
      <c r="E1298" s="1" t="s">
        <v>207</v>
      </c>
      <c r="F1298" s="1"/>
      <c r="G1298" s="1" t="s">
        <v>35</v>
      </c>
      <c r="H1298" s="2"/>
      <c r="I1298">
        <v>1</v>
      </c>
      <c r="J1298" s="1" t="s">
        <v>234</v>
      </c>
      <c r="K1298" s="1" t="s">
        <v>879</v>
      </c>
      <c r="M1298" s="1" t="s">
        <v>234</v>
      </c>
      <c r="N1298" s="1" t="s">
        <v>235</v>
      </c>
    </row>
    <row r="1299" spans="1:14" x14ac:dyDescent="0.25">
      <c r="A1299" s="1" t="s">
        <v>1653</v>
      </c>
      <c r="B1299" s="1" t="s">
        <v>1360</v>
      </c>
      <c r="C1299" s="1" t="s">
        <v>82</v>
      </c>
      <c r="D1299" s="2"/>
      <c r="E1299" s="1" t="s">
        <v>207</v>
      </c>
      <c r="F1299" s="1"/>
      <c r="G1299" s="1" t="s">
        <v>35</v>
      </c>
      <c r="H1299" s="2"/>
      <c r="I1299">
        <v>1</v>
      </c>
      <c r="J1299" s="1" t="s">
        <v>234</v>
      </c>
      <c r="K1299" s="1" t="s">
        <v>879</v>
      </c>
      <c r="M1299" s="1" t="s">
        <v>234</v>
      </c>
      <c r="N1299" s="1" t="s">
        <v>235</v>
      </c>
    </row>
    <row r="1300" spans="1:14" x14ac:dyDescent="0.25">
      <c r="A1300" s="1" t="s">
        <v>1654</v>
      </c>
      <c r="B1300" s="1" t="s">
        <v>1360</v>
      </c>
      <c r="C1300" s="1" t="s">
        <v>82</v>
      </c>
      <c r="D1300" s="2"/>
      <c r="E1300" s="1" t="s">
        <v>207</v>
      </c>
      <c r="F1300" s="1"/>
      <c r="G1300" s="1" t="s">
        <v>35</v>
      </c>
      <c r="H1300" s="2"/>
      <c r="I1300">
        <v>1</v>
      </c>
      <c r="J1300" s="1" t="s">
        <v>234</v>
      </c>
      <c r="K1300" s="1" t="s">
        <v>879</v>
      </c>
      <c r="M1300" s="1" t="s">
        <v>234</v>
      </c>
      <c r="N1300" s="1" t="s">
        <v>235</v>
      </c>
    </row>
    <row r="1301" spans="1:14" x14ac:dyDescent="0.25">
      <c r="A1301" s="1" t="s">
        <v>1655</v>
      </c>
      <c r="B1301" s="1" t="s">
        <v>1360</v>
      </c>
      <c r="C1301" s="1" t="s">
        <v>82</v>
      </c>
      <c r="D1301" s="2"/>
      <c r="E1301" s="1" t="s">
        <v>207</v>
      </c>
      <c r="F1301" s="1"/>
      <c r="G1301" s="1" t="s">
        <v>35</v>
      </c>
      <c r="H1301" s="2"/>
      <c r="I1301">
        <v>1</v>
      </c>
      <c r="J1301" s="1" t="s">
        <v>234</v>
      </c>
      <c r="K1301" s="1" t="s">
        <v>879</v>
      </c>
      <c r="M1301" s="1" t="s">
        <v>234</v>
      </c>
      <c r="N1301" s="1" t="s">
        <v>235</v>
      </c>
    </row>
    <row r="1302" spans="1:14" x14ac:dyDescent="0.25">
      <c r="A1302" s="1" t="s">
        <v>1656</v>
      </c>
      <c r="B1302" s="1" t="s">
        <v>1360</v>
      </c>
      <c r="C1302" s="1" t="s">
        <v>82</v>
      </c>
      <c r="D1302" s="2"/>
      <c r="E1302" s="1" t="s">
        <v>207</v>
      </c>
      <c r="F1302" s="1"/>
      <c r="G1302" s="1" t="s">
        <v>35</v>
      </c>
      <c r="H1302" s="2"/>
      <c r="I1302">
        <v>1</v>
      </c>
      <c r="J1302" s="1" t="s">
        <v>234</v>
      </c>
      <c r="K1302" s="1" t="s">
        <v>879</v>
      </c>
      <c r="M1302" s="1" t="s">
        <v>234</v>
      </c>
      <c r="N1302" s="1" t="s">
        <v>235</v>
      </c>
    </row>
    <row r="1303" spans="1:14" x14ac:dyDescent="0.25">
      <c r="A1303" s="1" t="s">
        <v>1657</v>
      </c>
      <c r="B1303" s="1" t="s">
        <v>1364</v>
      </c>
      <c r="C1303" s="1" t="s">
        <v>80</v>
      </c>
      <c r="D1303" s="2"/>
      <c r="E1303" s="1" t="s">
        <v>207</v>
      </c>
      <c r="F1303" s="1"/>
      <c r="G1303" s="1" t="s">
        <v>35</v>
      </c>
      <c r="H1303" s="2"/>
      <c r="I1303">
        <v>1</v>
      </c>
      <c r="J1303" s="1" t="s">
        <v>234</v>
      </c>
      <c r="K1303" s="1" t="s">
        <v>879</v>
      </c>
      <c r="M1303" s="1" t="s">
        <v>234</v>
      </c>
      <c r="N1303" s="1" t="s">
        <v>235</v>
      </c>
    </row>
    <row r="1304" spans="1:14" x14ac:dyDescent="0.25">
      <c r="A1304" s="1" t="s">
        <v>1658</v>
      </c>
      <c r="B1304" s="1" t="s">
        <v>1364</v>
      </c>
      <c r="C1304" s="1" t="s">
        <v>80</v>
      </c>
      <c r="D1304" s="2"/>
      <c r="E1304" s="1" t="s">
        <v>207</v>
      </c>
      <c r="F1304" s="1"/>
      <c r="G1304" s="1" t="s">
        <v>35</v>
      </c>
      <c r="H1304" s="2"/>
      <c r="I1304">
        <v>1</v>
      </c>
      <c r="J1304" s="1" t="s">
        <v>234</v>
      </c>
      <c r="K1304" s="1" t="s">
        <v>879</v>
      </c>
      <c r="M1304" s="1" t="s">
        <v>234</v>
      </c>
      <c r="N1304" s="1" t="s">
        <v>235</v>
      </c>
    </row>
    <row r="1305" spans="1:14" x14ac:dyDescent="0.25">
      <c r="A1305" s="1" t="s">
        <v>1659</v>
      </c>
      <c r="B1305" s="1" t="s">
        <v>1364</v>
      </c>
      <c r="C1305" s="1" t="s">
        <v>80</v>
      </c>
      <c r="D1305" s="2"/>
      <c r="E1305" s="1" t="s">
        <v>207</v>
      </c>
      <c r="F1305" s="1"/>
      <c r="G1305" s="1" t="s">
        <v>35</v>
      </c>
      <c r="H1305" s="2"/>
      <c r="I1305">
        <v>1</v>
      </c>
      <c r="J1305" s="1" t="s">
        <v>234</v>
      </c>
      <c r="K1305" s="1" t="s">
        <v>879</v>
      </c>
      <c r="M1305" s="1" t="s">
        <v>234</v>
      </c>
      <c r="N1305" s="1" t="s">
        <v>235</v>
      </c>
    </row>
    <row r="1306" spans="1:14" x14ac:dyDescent="0.25">
      <c r="A1306" s="1" t="s">
        <v>1660</v>
      </c>
      <c r="B1306" s="1" t="s">
        <v>1364</v>
      </c>
      <c r="C1306" s="1" t="s">
        <v>80</v>
      </c>
      <c r="D1306" s="2"/>
      <c r="E1306" s="1" t="s">
        <v>207</v>
      </c>
      <c r="F1306" s="1"/>
      <c r="G1306" s="1" t="s">
        <v>35</v>
      </c>
      <c r="H1306" s="2"/>
      <c r="I1306">
        <v>1</v>
      </c>
      <c r="J1306" s="1" t="s">
        <v>234</v>
      </c>
      <c r="K1306" s="1" t="s">
        <v>879</v>
      </c>
      <c r="M1306" s="1" t="s">
        <v>234</v>
      </c>
      <c r="N1306" s="1" t="s">
        <v>235</v>
      </c>
    </row>
    <row r="1307" spans="1:14" x14ac:dyDescent="0.25">
      <c r="A1307" s="1" t="s">
        <v>1661</v>
      </c>
      <c r="B1307" s="1" t="s">
        <v>1364</v>
      </c>
      <c r="C1307" s="1" t="s">
        <v>80</v>
      </c>
      <c r="D1307" s="2"/>
      <c r="E1307" s="1" t="s">
        <v>207</v>
      </c>
      <c r="F1307" s="1"/>
      <c r="G1307" s="1" t="s">
        <v>35</v>
      </c>
      <c r="H1307" s="2"/>
      <c r="I1307">
        <v>1</v>
      </c>
      <c r="J1307" s="1" t="s">
        <v>234</v>
      </c>
      <c r="K1307" s="1" t="s">
        <v>879</v>
      </c>
      <c r="M1307" s="1" t="s">
        <v>234</v>
      </c>
      <c r="N1307" s="1" t="s">
        <v>235</v>
      </c>
    </row>
    <row r="1308" spans="1:14" x14ac:dyDescent="0.25">
      <c r="A1308" s="1" t="s">
        <v>1662</v>
      </c>
      <c r="B1308" s="1" t="s">
        <v>1364</v>
      </c>
      <c r="C1308" s="1" t="s">
        <v>80</v>
      </c>
      <c r="D1308" s="2"/>
      <c r="E1308" s="1" t="s">
        <v>207</v>
      </c>
      <c r="F1308" s="1"/>
      <c r="G1308" s="1" t="s">
        <v>35</v>
      </c>
      <c r="H1308" s="2"/>
      <c r="I1308">
        <v>1</v>
      </c>
      <c r="J1308" s="1" t="s">
        <v>234</v>
      </c>
      <c r="K1308" s="1" t="s">
        <v>879</v>
      </c>
      <c r="M1308" s="1" t="s">
        <v>234</v>
      </c>
      <c r="N1308" s="1" t="s">
        <v>235</v>
      </c>
    </row>
    <row r="1309" spans="1:14" x14ac:dyDescent="0.25">
      <c r="A1309" s="1" t="s">
        <v>1663</v>
      </c>
      <c r="B1309" s="1" t="s">
        <v>1364</v>
      </c>
      <c r="C1309" s="1" t="s">
        <v>80</v>
      </c>
      <c r="D1309" s="2"/>
      <c r="E1309" s="1" t="s">
        <v>207</v>
      </c>
      <c r="F1309" s="1"/>
      <c r="G1309" s="1" t="s">
        <v>35</v>
      </c>
      <c r="H1309" s="2"/>
      <c r="I1309">
        <v>1</v>
      </c>
      <c r="J1309" s="1" t="s">
        <v>234</v>
      </c>
      <c r="K1309" s="1" t="s">
        <v>879</v>
      </c>
      <c r="M1309" s="1" t="s">
        <v>234</v>
      </c>
      <c r="N1309" s="1" t="s">
        <v>235</v>
      </c>
    </row>
    <row r="1310" spans="1:14" x14ac:dyDescent="0.25">
      <c r="A1310" s="1" t="s">
        <v>1664</v>
      </c>
      <c r="B1310" s="1" t="s">
        <v>1364</v>
      </c>
      <c r="C1310" s="1" t="s">
        <v>80</v>
      </c>
      <c r="D1310" s="2"/>
      <c r="E1310" s="1" t="s">
        <v>207</v>
      </c>
      <c r="F1310" s="1"/>
      <c r="G1310" s="1" t="s">
        <v>35</v>
      </c>
      <c r="H1310" s="2"/>
      <c r="I1310">
        <v>1</v>
      </c>
      <c r="J1310" s="1" t="s">
        <v>234</v>
      </c>
      <c r="K1310" s="1" t="s">
        <v>879</v>
      </c>
      <c r="M1310" s="1" t="s">
        <v>234</v>
      </c>
      <c r="N1310" s="1" t="s">
        <v>235</v>
      </c>
    </row>
    <row r="1311" spans="1:14" x14ac:dyDescent="0.25">
      <c r="A1311" s="1" t="s">
        <v>1665</v>
      </c>
      <c r="B1311" s="1" t="s">
        <v>1364</v>
      </c>
      <c r="C1311" s="1" t="s">
        <v>80</v>
      </c>
      <c r="D1311" s="2"/>
      <c r="E1311" s="1" t="s">
        <v>207</v>
      </c>
      <c r="F1311" s="1"/>
      <c r="G1311" s="1" t="s">
        <v>35</v>
      </c>
      <c r="H1311" s="2"/>
      <c r="I1311">
        <v>1</v>
      </c>
      <c r="J1311" s="1" t="s">
        <v>234</v>
      </c>
      <c r="K1311" s="1" t="s">
        <v>879</v>
      </c>
      <c r="M1311" s="1" t="s">
        <v>234</v>
      </c>
      <c r="N1311" s="1" t="s">
        <v>235</v>
      </c>
    </row>
    <row r="1312" spans="1:14" x14ac:dyDescent="0.25">
      <c r="A1312" s="1" t="s">
        <v>1666</v>
      </c>
      <c r="B1312" s="1" t="s">
        <v>1364</v>
      </c>
      <c r="C1312" s="1" t="s">
        <v>80</v>
      </c>
      <c r="D1312" s="2"/>
      <c r="E1312" s="1" t="s">
        <v>207</v>
      </c>
      <c r="F1312" s="1"/>
      <c r="G1312" s="1" t="s">
        <v>35</v>
      </c>
      <c r="H1312" s="2"/>
      <c r="I1312">
        <v>1</v>
      </c>
      <c r="J1312" s="1" t="s">
        <v>234</v>
      </c>
      <c r="K1312" s="1" t="s">
        <v>879</v>
      </c>
      <c r="M1312" s="1" t="s">
        <v>234</v>
      </c>
      <c r="N1312" s="1" t="s">
        <v>235</v>
      </c>
    </row>
    <row r="1313" spans="1:14" x14ac:dyDescent="0.25">
      <c r="A1313" s="1" t="s">
        <v>1667</v>
      </c>
      <c r="B1313" s="1" t="s">
        <v>1364</v>
      </c>
      <c r="C1313" s="1" t="s">
        <v>80</v>
      </c>
      <c r="D1313" s="2"/>
      <c r="E1313" s="1" t="s">
        <v>207</v>
      </c>
      <c r="F1313" s="1"/>
      <c r="G1313" s="1" t="s">
        <v>35</v>
      </c>
      <c r="H1313" s="2"/>
      <c r="I1313">
        <v>1</v>
      </c>
      <c r="J1313" s="1" t="s">
        <v>234</v>
      </c>
      <c r="K1313" s="1" t="s">
        <v>879</v>
      </c>
      <c r="M1313" s="1" t="s">
        <v>234</v>
      </c>
      <c r="N1313" s="1" t="s">
        <v>235</v>
      </c>
    </row>
    <row r="1314" spans="1:14" x14ac:dyDescent="0.25">
      <c r="A1314" s="1" t="s">
        <v>1668</v>
      </c>
      <c r="B1314" s="1" t="s">
        <v>1364</v>
      </c>
      <c r="C1314" s="1" t="s">
        <v>80</v>
      </c>
      <c r="D1314" s="2"/>
      <c r="E1314" s="1" t="s">
        <v>207</v>
      </c>
      <c r="F1314" s="1"/>
      <c r="G1314" s="1" t="s">
        <v>35</v>
      </c>
      <c r="H1314" s="2"/>
      <c r="I1314">
        <v>1</v>
      </c>
      <c r="J1314" s="1" t="s">
        <v>234</v>
      </c>
      <c r="K1314" s="1" t="s">
        <v>879</v>
      </c>
      <c r="M1314" s="1" t="s">
        <v>234</v>
      </c>
      <c r="N1314" s="1" t="s">
        <v>235</v>
      </c>
    </row>
    <row r="1315" spans="1:14" x14ac:dyDescent="0.25">
      <c r="A1315" s="1" t="s">
        <v>1669</v>
      </c>
      <c r="B1315" s="1" t="s">
        <v>1364</v>
      </c>
      <c r="C1315" s="1" t="s">
        <v>80</v>
      </c>
      <c r="D1315" s="2"/>
      <c r="E1315" s="1" t="s">
        <v>207</v>
      </c>
      <c r="F1315" s="1"/>
      <c r="G1315" s="1" t="s">
        <v>35</v>
      </c>
      <c r="H1315" s="2"/>
      <c r="I1315">
        <v>1</v>
      </c>
      <c r="J1315" s="1" t="s">
        <v>234</v>
      </c>
      <c r="K1315" s="1" t="s">
        <v>879</v>
      </c>
      <c r="M1315" s="1" t="s">
        <v>234</v>
      </c>
      <c r="N1315" s="1" t="s">
        <v>235</v>
      </c>
    </row>
    <row r="1316" spans="1:14" x14ac:dyDescent="0.25">
      <c r="A1316" s="1" t="s">
        <v>1670</v>
      </c>
      <c r="B1316" s="1" t="s">
        <v>1364</v>
      </c>
      <c r="C1316" s="1" t="s">
        <v>80</v>
      </c>
      <c r="D1316" s="2"/>
      <c r="E1316" s="1" t="s">
        <v>207</v>
      </c>
      <c r="F1316" s="1"/>
      <c r="G1316" s="1" t="s">
        <v>35</v>
      </c>
      <c r="H1316" s="2"/>
      <c r="I1316">
        <v>1</v>
      </c>
      <c r="J1316" s="1" t="s">
        <v>234</v>
      </c>
      <c r="K1316" s="1" t="s">
        <v>879</v>
      </c>
      <c r="M1316" s="1" t="s">
        <v>234</v>
      </c>
      <c r="N1316" s="1" t="s">
        <v>235</v>
      </c>
    </row>
    <row r="1317" spans="1:14" x14ac:dyDescent="0.25">
      <c r="A1317" s="1" t="s">
        <v>1671</v>
      </c>
      <c r="B1317" s="1" t="s">
        <v>1364</v>
      </c>
      <c r="C1317" s="1" t="s">
        <v>80</v>
      </c>
      <c r="D1317" s="2"/>
      <c r="E1317" s="1" t="s">
        <v>207</v>
      </c>
      <c r="F1317" s="1"/>
      <c r="G1317" s="1" t="s">
        <v>35</v>
      </c>
      <c r="H1317" s="2"/>
      <c r="I1317">
        <v>1</v>
      </c>
      <c r="J1317" s="1" t="s">
        <v>234</v>
      </c>
      <c r="K1317" s="1" t="s">
        <v>879</v>
      </c>
      <c r="M1317" s="1" t="s">
        <v>234</v>
      </c>
      <c r="N1317" s="1" t="s">
        <v>235</v>
      </c>
    </row>
    <row r="1318" spans="1:14" x14ac:dyDescent="0.25">
      <c r="A1318" s="1" t="s">
        <v>1672</v>
      </c>
      <c r="B1318" s="1" t="s">
        <v>1364</v>
      </c>
      <c r="C1318" s="1" t="s">
        <v>80</v>
      </c>
      <c r="D1318" s="2"/>
      <c r="E1318" s="1" t="s">
        <v>207</v>
      </c>
      <c r="F1318" s="1"/>
      <c r="G1318" s="1" t="s">
        <v>35</v>
      </c>
      <c r="H1318" s="2"/>
      <c r="I1318">
        <v>1</v>
      </c>
      <c r="J1318" s="1" t="s">
        <v>234</v>
      </c>
      <c r="K1318" s="1" t="s">
        <v>879</v>
      </c>
      <c r="M1318" s="1" t="s">
        <v>234</v>
      </c>
      <c r="N1318" s="1" t="s">
        <v>235</v>
      </c>
    </row>
    <row r="1319" spans="1:14" x14ac:dyDescent="0.25">
      <c r="A1319" s="1" t="s">
        <v>1673</v>
      </c>
      <c r="B1319" s="1" t="s">
        <v>1364</v>
      </c>
      <c r="C1319" s="1" t="s">
        <v>80</v>
      </c>
      <c r="D1319" s="2"/>
      <c r="E1319" s="1" t="s">
        <v>207</v>
      </c>
      <c r="F1319" s="1"/>
      <c r="G1319" s="1" t="s">
        <v>35</v>
      </c>
      <c r="H1319" s="2"/>
      <c r="I1319">
        <v>1</v>
      </c>
      <c r="J1319" s="1" t="s">
        <v>234</v>
      </c>
      <c r="K1319" s="1" t="s">
        <v>879</v>
      </c>
      <c r="M1319" s="1" t="s">
        <v>234</v>
      </c>
      <c r="N1319" s="1" t="s">
        <v>235</v>
      </c>
    </row>
    <row r="1320" spans="1:14" x14ac:dyDescent="0.25">
      <c r="A1320" s="1" t="s">
        <v>1674</v>
      </c>
      <c r="B1320" s="1" t="s">
        <v>1364</v>
      </c>
      <c r="C1320" s="1" t="s">
        <v>80</v>
      </c>
      <c r="D1320" s="2"/>
      <c r="E1320" s="1" t="s">
        <v>207</v>
      </c>
      <c r="F1320" s="1"/>
      <c r="G1320" s="1" t="s">
        <v>35</v>
      </c>
      <c r="H1320" s="2"/>
      <c r="I1320">
        <v>1</v>
      </c>
      <c r="J1320" s="1" t="s">
        <v>234</v>
      </c>
      <c r="K1320" s="1" t="s">
        <v>879</v>
      </c>
      <c r="M1320" s="1" t="s">
        <v>234</v>
      </c>
      <c r="N1320" s="1" t="s">
        <v>235</v>
      </c>
    </row>
    <row r="1321" spans="1:14" x14ac:dyDescent="0.25">
      <c r="A1321" s="1" t="s">
        <v>1675</v>
      </c>
      <c r="B1321" s="1" t="s">
        <v>1364</v>
      </c>
      <c r="C1321" s="1" t="s">
        <v>80</v>
      </c>
      <c r="D1321" s="2"/>
      <c r="E1321" s="1" t="s">
        <v>207</v>
      </c>
      <c r="F1321" s="1"/>
      <c r="G1321" s="1" t="s">
        <v>35</v>
      </c>
      <c r="H1321" s="2"/>
      <c r="I1321">
        <v>1</v>
      </c>
      <c r="J1321" s="1" t="s">
        <v>234</v>
      </c>
      <c r="K1321" s="1" t="s">
        <v>879</v>
      </c>
      <c r="M1321" s="1" t="s">
        <v>234</v>
      </c>
      <c r="N1321" s="1" t="s">
        <v>235</v>
      </c>
    </row>
    <row r="1322" spans="1:14" x14ac:dyDescent="0.25">
      <c r="A1322" s="1" t="s">
        <v>1676</v>
      </c>
      <c r="B1322" s="1" t="s">
        <v>1364</v>
      </c>
      <c r="C1322" s="1" t="s">
        <v>80</v>
      </c>
      <c r="D1322" s="2"/>
      <c r="E1322" s="1" t="s">
        <v>207</v>
      </c>
      <c r="F1322" s="1"/>
      <c r="G1322" s="1" t="s">
        <v>35</v>
      </c>
      <c r="H1322" s="2"/>
      <c r="I1322">
        <v>1</v>
      </c>
      <c r="J1322" s="1" t="s">
        <v>234</v>
      </c>
      <c r="K1322" s="1" t="s">
        <v>879</v>
      </c>
      <c r="M1322" s="1" t="s">
        <v>234</v>
      </c>
      <c r="N1322" s="1" t="s">
        <v>235</v>
      </c>
    </row>
    <row r="1323" spans="1:14" x14ac:dyDescent="0.25">
      <c r="A1323" s="1" t="s">
        <v>1677</v>
      </c>
      <c r="B1323" s="1" t="s">
        <v>1364</v>
      </c>
      <c r="C1323" s="1" t="s">
        <v>80</v>
      </c>
      <c r="D1323" s="2"/>
      <c r="E1323" s="1" t="s">
        <v>207</v>
      </c>
      <c r="F1323" s="1"/>
      <c r="G1323" s="1" t="s">
        <v>35</v>
      </c>
      <c r="H1323" s="2"/>
      <c r="I1323">
        <v>1</v>
      </c>
      <c r="J1323" s="1" t="s">
        <v>234</v>
      </c>
      <c r="K1323" s="1" t="s">
        <v>879</v>
      </c>
      <c r="M1323" s="1" t="s">
        <v>234</v>
      </c>
      <c r="N1323" s="1" t="s">
        <v>235</v>
      </c>
    </row>
    <row r="1324" spans="1:14" x14ac:dyDescent="0.25">
      <c r="A1324" s="1" t="s">
        <v>1678</v>
      </c>
      <c r="B1324" s="1" t="s">
        <v>1364</v>
      </c>
      <c r="C1324" s="1" t="s">
        <v>80</v>
      </c>
      <c r="D1324" s="2"/>
      <c r="E1324" s="1" t="s">
        <v>207</v>
      </c>
      <c r="F1324" s="1"/>
      <c r="G1324" s="1" t="s">
        <v>35</v>
      </c>
      <c r="H1324" s="2"/>
      <c r="I1324">
        <v>1</v>
      </c>
      <c r="J1324" s="1" t="s">
        <v>234</v>
      </c>
      <c r="K1324" s="1" t="s">
        <v>879</v>
      </c>
      <c r="M1324" s="1" t="s">
        <v>234</v>
      </c>
      <c r="N1324" s="1" t="s">
        <v>235</v>
      </c>
    </row>
    <row r="1325" spans="1:14" x14ac:dyDescent="0.25">
      <c r="A1325" s="1" t="s">
        <v>1679</v>
      </c>
      <c r="B1325" s="1" t="s">
        <v>1364</v>
      </c>
      <c r="C1325" s="1" t="s">
        <v>80</v>
      </c>
      <c r="D1325" s="2"/>
      <c r="E1325" s="1" t="s">
        <v>207</v>
      </c>
      <c r="F1325" s="1"/>
      <c r="G1325" s="1" t="s">
        <v>35</v>
      </c>
      <c r="H1325" s="2"/>
      <c r="I1325">
        <v>1</v>
      </c>
      <c r="J1325" s="1" t="s">
        <v>234</v>
      </c>
      <c r="K1325" s="1" t="s">
        <v>879</v>
      </c>
      <c r="M1325" s="1" t="s">
        <v>234</v>
      </c>
      <c r="N1325" s="1" t="s">
        <v>235</v>
      </c>
    </row>
    <row r="1326" spans="1:14" x14ac:dyDescent="0.25">
      <c r="A1326" s="1" t="s">
        <v>1680</v>
      </c>
      <c r="B1326" s="1" t="s">
        <v>1364</v>
      </c>
      <c r="C1326" s="1" t="s">
        <v>80</v>
      </c>
      <c r="D1326" s="2"/>
      <c r="E1326" s="1" t="s">
        <v>207</v>
      </c>
      <c r="F1326" s="1"/>
      <c r="G1326" s="1" t="s">
        <v>35</v>
      </c>
      <c r="H1326" s="2"/>
      <c r="I1326">
        <v>1</v>
      </c>
      <c r="J1326" s="1" t="s">
        <v>234</v>
      </c>
      <c r="K1326" s="1" t="s">
        <v>879</v>
      </c>
      <c r="M1326" s="1" t="s">
        <v>234</v>
      </c>
      <c r="N1326" s="1" t="s">
        <v>235</v>
      </c>
    </row>
    <row r="1327" spans="1:14" x14ac:dyDescent="0.25">
      <c r="A1327" s="1" t="s">
        <v>1681</v>
      </c>
      <c r="B1327" s="1" t="s">
        <v>1364</v>
      </c>
      <c r="C1327" s="1" t="s">
        <v>80</v>
      </c>
      <c r="D1327" s="2"/>
      <c r="E1327" s="1" t="s">
        <v>207</v>
      </c>
      <c r="F1327" s="1"/>
      <c r="G1327" s="1" t="s">
        <v>35</v>
      </c>
      <c r="H1327" s="2"/>
      <c r="I1327">
        <v>1</v>
      </c>
      <c r="J1327" s="1" t="s">
        <v>234</v>
      </c>
      <c r="K1327" s="1" t="s">
        <v>879</v>
      </c>
      <c r="M1327" s="1" t="s">
        <v>234</v>
      </c>
      <c r="N1327" s="1" t="s">
        <v>235</v>
      </c>
    </row>
    <row r="1328" spans="1:14" x14ac:dyDescent="0.25">
      <c r="A1328" s="1" t="s">
        <v>1682</v>
      </c>
      <c r="B1328" s="1" t="s">
        <v>1364</v>
      </c>
      <c r="C1328" s="1" t="s">
        <v>80</v>
      </c>
      <c r="D1328" s="2"/>
      <c r="E1328" s="1" t="s">
        <v>207</v>
      </c>
      <c r="F1328" s="1"/>
      <c r="G1328" s="1" t="s">
        <v>35</v>
      </c>
      <c r="H1328" s="2"/>
      <c r="I1328">
        <v>1</v>
      </c>
      <c r="J1328" s="1" t="s">
        <v>234</v>
      </c>
      <c r="K1328" s="1" t="s">
        <v>879</v>
      </c>
      <c r="M1328" s="1" t="s">
        <v>234</v>
      </c>
      <c r="N1328" s="1" t="s">
        <v>235</v>
      </c>
    </row>
    <row r="1329" spans="1:14" x14ac:dyDescent="0.25">
      <c r="A1329" s="1" t="s">
        <v>1683</v>
      </c>
      <c r="B1329" s="1" t="s">
        <v>1364</v>
      </c>
      <c r="C1329" s="1" t="s">
        <v>80</v>
      </c>
      <c r="D1329" s="2"/>
      <c r="E1329" s="1" t="s">
        <v>207</v>
      </c>
      <c r="F1329" s="1"/>
      <c r="G1329" s="1" t="s">
        <v>35</v>
      </c>
      <c r="H1329" s="2"/>
      <c r="I1329">
        <v>1</v>
      </c>
      <c r="J1329" s="1" t="s">
        <v>234</v>
      </c>
      <c r="K1329" s="1" t="s">
        <v>879</v>
      </c>
      <c r="M1329" s="1" t="s">
        <v>234</v>
      </c>
      <c r="N1329" s="1" t="s">
        <v>235</v>
      </c>
    </row>
    <row r="1330" spans="1:14" x14ac:dyDescent="0.25">
      <c r="A1330" s="1" t="s">
        <v>1684</v>
      </c>
      <c r="B1330" s="1" t="s">
        <v>1364</v>
      </c>
      <c r="C1330" s="1" t="s">
        <v>80</v>
      </c>
      <c r="D1330" s="2"/>
      <c r="E1330" s="1" t="s">
        <v>207</v>
      </c>
      <c r="F1330" s="1"/>
      <c r="G1330" s="1" t="s">
        <v>35</v>
      </c>
      <c r="H1330" s="2"/>
      <c r="I1330">
        <v>1</v>
      </c>
      <c r="J1330" s="1" t="s">
        <v>234</v>
      </c>
      <c r="K1330" s="1" t="s">
        <v>879</v>
      </c>
      <c r="M1330" s="1" t="s">
        <v>234</v>
      </c>
      <c r="N1330" s="1" t="s">
        <v>235</v>
      </c>
    </row>
    <row r="1331" spans="1:14" x14ac:dyDescent="0.25">
      <c r="A1331" s="1" t="s">
        <v>1685</v>
      </c>
      <c r="B1331" s="1" t="s">
        <v>1364</v>
      </c>
      <c r="C1331" s="1" t="s">
        <v>80</v>
      </c>
      <c r="D1331" s="2"/>
      <c r="E1331" s="1" t="s">
        <v>207</v>
      </c>
      <c r="F1331" s="1"/>
      <c r="G1331" s="1" t="s">
        <v>35</v>
      </c>
      <c r="H1331" s="2"/>
      <c r="I1331">
        <v>1</v>
      </c>
      <c r="J1331" s="1" t="s">
        <v>234</v>
      </c>
      <c r="K1331" s="1" t="s">
        <v>879</v>
      </c>
      <c r="M1331" s="1" t="s">
        <v>234</v>
      </c>
      <c r="N1331" s="1" t="s">
        <v>235</v>
      </c>
    </row>
    <row r="1332" spans="1:14" x14ac:dyDescent="0.25">
      <c r="A1332" s="1" t="s">
        <v>1686</v>
      </c>
      <c r="B1332" s="1" t="s">
        <v>1364</v>
      </c>
      <c r="C1332" s="1" t="s">
        <v>80</v>
      </c>
      <c r="D1332" s="2"/>
      <c r="E1332" s="1" t="s">
        <v>207</v>
      </c>
      <c r="F1332" s="1"/>
      <c r="G1332" s="1" t="s">
        <v>35</v>
      </c>
      <c r="H1332" s="2"/>
      <c r="I1332">
        <v>1</v>
      </c>
      <c r="J1332" s="1" t="s">
        <v>234</v>
      </c>
      <c r="K1332" s="1" t="s">
        <v>879</v>
      </c>
      <c r="M1332" s="1" t="s">
        <v>234</v>
      </c>
      <c r="N1332" s="1" t="s">
        <v>235</v>
      </c>
    </row>
    <row r="1333" spans="1:14" x14ac:dyDescent="0.25">
      <c r="A1333" s="1" t="s">
        <v>1687</v>
      </c>
      <c r="B1333" s="1" t="s">
        <v>1364</v>
      </c>
      <c r="C1333" s="1" t="s">
        <v>80</v>
      </c>
      <c r="D1333" s="2"/>
      <c r="E1333" s="1" t="s">
        <v>207</v>
      </c>
      <c r="F1333" s="1"/>
      <c r="G1333" s="1" t="s">
        <v>35</v>
      </c>
      <c r="H1333" s="2"/>
      <c r="I1333">
        <v>1</v>
      </c>
      <c r="J1333" s="1" t="s">
        <v>234</v>
      </c>
      <c r="K1333" s="1" t="s">
        <v>879</v>
      </c>
      <c r="M1333" s="1" t="s">
        <v>234</v>
      </c>
      <c r="N1333" s="1" t="s">
        <v>235</v>
      </c>
    </row>
    <row r="1334" spans="1:14" x14ac:dyDescent="0.25">
      <c r="A1334" s="1" t="s">
        <v>1688</v>
      </c>
      <c r="B1334" s="1" t="s">
        <v>1364</v>
      </c>
      <c r="C1334" s="1" t="s">
        <v>80</v>
      </c>
      <c r="D1334" s="2"/>
      <c r="E1334" s="1" t="s">
        <v>207</v>
      </c>
      <c r="F1334" s="1"/>
      <c r="G1334" s="1" t="s">
        <v>35</v>
      </c>
      <c r="H1334" s="2"/>
      <c r="I1334">
        <v>1</v>
      </c>
      <c r="J1334" s="1" t="s">
        <v>234</v>
      </c>
      <c r="K1334" s="1" t="s">
        <v>879</v>
      </c>
      <c r="M1334" s="1" t="s">
        <v>234</v>
      </c>
      <c r="N1334" s="1" t="s">
        <v>235</v>
      </c>
    </row>
    <row r="1335" spans="1:14" x14ac:dyDescent="0.25">
      <c r="A1335" s="1" t="s">
        <v>1689</v>
      </c>
      <c r="B1335" s="1" t="s">
        <v>1364</v>
      </c>
      <c r="C1335" s="1" t="s">
        <v>80</v>
      </c>
      <c r="D1335" s="2"/>
      <c r="E1335" s="1" t="s">
        <v>207</v>
      </c>
      <c r="F1335" s="1"/>
      <c r="G1335" s="1" t="s">
        <v>35</v>
      </c>
      <c r="H1335" s="2"/>
      <c r="I1335">
        <v>1</v>
      </c>
      <c r="J1335" s="1" t="s">
        <v>234</v>
      </c>
      <c r="K1335" s="1" t="s">
        <v>879</v>
      </c>
      <c r="M1335" s="1" t="s">
        <v>234</v>
      </c>
      <c r="N1335" s="1" t="s">
        <v>235</v>
      </c>
    </row>
    <row r="1336" spans="1:14" x14ac:dyDescent="0.25">
      <c r="A1336" s="1" t="s">
        <v>1690</v>
      </c>
      <c r="B1336" s="1" t="s">
        <v>1364</v>
      </c>
      <c r="C1336" s="1" t="s">
        <v>80</v>
      </c>
      <c r="D1336" s="2"/>
      <c r="E1336" s="1" t="s">
        <v>207</v>
      </c>
      <c r="F1336" s="1"/>
      <c r="G1336" s="1" t="s">
        <v>35</v>
      </c>
      <c r="H1336" s="2"/>
      <c r="I1336">
        <v>1</v>
      </c>
      <c r="J1336" s="1" t="s">
        <v>234</v>
      </c>
      <c r="K1336" s="1" t="s">
        <v>879</v>
      </c>
      <c r="M1336" s="1" t="s">
        <v>234</v>
      </c>
      <c r="N1336" s="1" t="s">
        <v>235</v>
      </c>
    </row>
    <row r="1337" spans="1:14" x14ac:dyDescent="0.25">
      <c r="A1337" s="1" t="s">
        <v>1691</v>
      </c>
      <c r="B1337" s="1" t="s">
        <v>1364</v>
      </c>
      <c r="C1337" s="1" t="s">
        <v>80</v>
      </c>
      <c r="D1337" s="2"/>
      <c r="E1337" s="1" t="s">
        <v>207</v>
      </c>
      <c r="F1337" s="1"/>
      <c r="G1337" s="1" t="s">
        <v>35</v>
      </c>
      <c r="H1337" s="2"/>
      <c r="I1337">
        <v>1</v>
      </c>
      <c r="J1337" s="1" t="s">
        <v>234</v>
      </c>
      <c r="K1337" s="1" t="s">
        <v>879</v>
      </c>
      <c r="M1337" s="1" t="s">
        <v>234</v>
      </c>
      <c r="N1337" s="1" t="s">
        <v>235</v>
      </c>
    </row>
    <row r="1338" spans="1:14" x14ac:dyDescent="0.25">
      <c r="A1338" s="1" t="s">
        <v>1692</v>
      </c>
      <c r="B1338" s="1" t="s">
        <v>1364</v>
      </c>
      <c r="C1338" s="1" t="s">
        <v>80</v>
      </c>
      <c r="D1338" s="2"/>
      <c r="E1338" s="1" t="s">
        <v>207</v>
      </c>
      <c r="F1338" s="1"/>
      <c r="G1338" s="1" t="s">
        <v>35</v>
      </c>
      <c r="H1338" s="2"/>
      <c r="I1338">
        <v>1</v>
      </c>
      <c r="J1338" s="1" t="s">
        <v>234</v>
      </c>
      <c r="K1338" s="1" t="s">
        <v>879</v>
      </c>
      <c r="M1338" s="1" t="s">
        <v>234</v>
      </c>
      <c r="N1338" s="1" t="s">
        <v>235</v>
      </c>
    </row>
    <row r="1339" spans="1:14" x14ac:dyDescent="0.25">
      <c r="A1339" s="1" t="s">
        <v>1693</v>
      </c>
      <c r="B1339" s="1" t="s">
        <v>1364</v>
      </c>
      <c r="C1339" s="1" t="s">
        <v>80</v>
      </c>
      <c r="D1339" s="2"/>
      <c r="E1339" s="1" t="s">
        <v>207</v>
      </c>
      <c r="F1339" s="1"/>
      <c r="G1339" s="1" t="s">
        <v>35</v>
      </c>
      <c r="H1339" s="2"/>
      <c r="I1339">
        <v>1</v>
      </c>
      <c r="J1339" s="1" t="s">
        <v>234</v>
      </c>
      <c r="K1339" s="1" t="s">
        <v>879</v>
      </c>
      <c r="M1339" s="1" t="s">
        <v>234</v>
      </c>
      <c r="N1339" s="1" t="s">
        <v>235</v>
      </c>
    </row>
    <row r="1340" spans="1:14" x14ac:dyDescent="0.25">
      <c r="A1340" s="1" t="s">
        <v>1694</v>
      </c>
      <c r="B1340" s="1" t="s">
        <v>1364</v>
      </c>
      <c r="C1340" s="1" t="s">
        <v>80</v>
      </c>
      <c r="D1340" s="2"/>
      <c r="E1340" s="1" t="s">
        <v>207</v>
      </c>
      <c r="F1340" s="1"/>
      <c r="G1340" s="1" t="s">
        <v>35</v>
      </c>
      <c r="H1340" s="2"/>
      <c r="I1340">
        <v>1</v>
      </c>
      <c r="J1340" s="1" t="s">
        <v>234</v>
      </c>
      <c r="K1340" s="1" t="s">
        <v>879</v>
      </c>
      <c r="M1340" s="1" t="s">
        <v>234</v>
      </c>
      <c r="N1340" s="1" t="s">
        <v>235</v>
      </c>
    </row>
    <row r="1341" spans="1:14" x14ac:dyDescent="0.25">
      <c r="A1341" s="1" t="s">
        <v>1695</v>
      </c>
      <c r="B1341" s="1" t="s">
        <v>1364</v>
      </c>
      <c r="C1341" s="1" t="s">
        <v>80</v>
      </c>
      <c r="D1341" s="2"/>
      <c r="E1341" s="1" t="s">
        <v>207</v>
      </c>
      <c r="F1341" s="1"/>
      <c r="G1341" s="1" t="s">
        <v>35</v>
      </c>
      <c r="H1341" s="2"/>
      <c r="I1341">
        <v>1</v>
      </c>
      <c r="J1341" s="1" t="s">
        <v>234</v>
      </c>
      <c r="K1341" s="1" t="s">
        <v>879</v>
      </c>
      <c r="M1341" s="1" t="s">
        <v>234</v>
      </c>
      <c r="N1341" s="1" t="s">
        <v>235</v>
      </c>
    </row>
    <row r="1342" spans="1:14" x14ac:dyDescent="0.25">
      <c r="A1342" s="1" t="s">
        <v>1696</v>
      </c>
      <c r="B1342" s="1" t="s">
        <v>1364</v>
      </c>
      <c r="C1342" s="1" t="s">
        <v>80</v>
      </c>
      <c r="D1342" s="2"/>
      <c r="E1342" s="1" t="s">
        <v>207</v>
      </c>
      <c r="F1342" s="1"/>
      <c r="G1342" s="1" t="s">
        <v>35</v>
      </c>
      <c r="H1342" s="2"/>
      <c r="I1342">
        <v>1</v>
      </c>
      <c r="J1342" s="1" t="s">
        <v>234</v>
      </c>
      <c r="K1342" s="1" t="s">
        <v>879</v>
      </c>
      <c r="M1342" s="1" t="s">
        <v>234</v>
      </c>
      <c r="N1342" s="1" t="s">
        <v>235</v>
      </c>
    </row>
    <row r="1343" spans="1:14" x14ac:dyDescent="0.25">
      <c r="A1343" s="1" t="s">
        <v>1697</v>
      </c>
      <c r="B1343" s="1" t="s">
        <v>1364</v>
      </c>
      <c r="C1343" s="1" t="s">
        <v>80</v>
      </c>
      <c r="D1343" s="2"/>
      <c r="E1343" s="1" t="s">
        <v>207</v>
      </c>
      <c r="F1343" s="1"/>
      <c r="G1343" s="1" t="s">
        <v>35</v>
      </c>
      <c r="H1343" s="2"/>
      <c r="I1343">
        <v>1</v>
      </c>
      <c r="J1343" s="1" t="s">
        <v>234</v>
      </c>
      <c r="K1343" s="1" t="s">
        <v>879</v>
      </c>
      <c r="M1343" s="1" t="s">
        <v>234</v>
      </c>
      <c r="N1343" s="1" t="s">
        <v>235</v>
      </c>
    </row>
    <row r="1344" spans="1:14" x14ac:dyDescent="0.25">
      <c r="A1344" s="1" t="s">
        <v>1698</v>
      </c>
      <c r="B1344" s="1" t="s">
        <v>1364</v>
      </c>
      <c r="C1344" s="1" t="s">
        <v>80</v>
      </c>
      <c r="D1344" s="2"/>
      <c r="E1344" s="1" t="s">
        <v>207</v>
      </c>
      <c r="F1344" s="1"/>
      <c r="G1344" s="1" t="s">
        <v>35</v>
      </c>
      <c r="H1344" s="2"/>
      <c r="I1344">
        <v>1</v>
      </c>
      <c r="J1344" s="1" t="s">
        <v>234</v>
      </c>
      <c r="K1344" s="1" t="s">
        <v>879</v>
      </c>
      <c r="M1344" s="1" t="s">
        <v>234</v>
      </c>
      <c r="N1344" s="1" t="s">
        <v>235</v>
      </c>
    </row>
    <row r="1345" spans="1:14" x14ac:dyDescent="0.25">
      <c r="A1345" s="1" t="s">
        <v>1699</v>
      </c>
      <c r="B1345" s="1" t="s">
        <v>1364</v>
      </c>
      <c r="C1345" s="1" t="s">
        <v>80</v>
      </c>
      <c r="D1345" s="2"/>
      <c r="E1345" s="1" t="s">
        <v>207</v>
      </c>
      <c r="F1345" s="1"/>
      <c r="G1345" s="1" t="s">
        <v>35</v>
      </c>
      <c r="H1345" s="2"/>
      <c r="I1345">
        <v>1</v>
      </c>
      <c r="J1345" s="1" t="s">
        <v>234</v>
      </c>
      <c r="K1345" s="1" t="s">
        <v>879</v>
      </c>
      <c r="M1345" s="1" t="s">
        <v>234</v>
      </c>
      <c r="N1345" s="1" t="s">
        <v>235</v>
      </c>
    </row>
    <row r="1346" spans="1:14" x14ac:dyDescent="0.25">
      <c r="A1346" s="1" t="s">
        <v>1700</v>
      </c>
      <c r="B1346" s="1" t="s">
        <v>1364</v>
      </c>
      <c r="C1346" s="1" t="s">
        <v>80</v>
      </c>
      <c r="D1346" s="2"/>
      <c r="E1346" s="1" t="s">
        <v>207</v>
      </c>
      <c r="F1346" s="1"/>
      <c r="G1346" s="1" t="s">
        <v>35</v>
      </c>
      <c r="H1346" s="2"/>
      <c r="I1346">
        <v>1</v>
      </c>
      <c r="J1346" s="1" t="s">
        <v>234</v>
      </c>
      <c r="K1346" s="1" t="s">
        <v>879</v>
      </c>
      <c r="M1346" s="1" t="s">
        <v>234</v>
      </c>
      <c r="N1346" s="1" t="s">
        <v>235</v>
      </c>
    </row>
    <row r="1347" spans="1:14" x14ac:dyDescent="0.25">
      <c r="A1347" s="1" t="s">
        <v>1701</v>
      </c>
      <c r="B1347" s="1" t="s">
        <v>1364</v>
      </c>
      <c r="C1347" s="1" t="s">
        <v>80</v>
      </c>
      <c r="D1347" s="2"/>
      <c r="E1347" s="1" t="s">
        <v>207</v>
      </c>
      <c r="F1347" s="1"/>
      <c r="G1347" s="1" t="s">
        <v>35</v>
      </c>
      <c r="H1347" s="2"/>
      <c r="I1347">
        <v>1</v>
      </c>
      <c r="J1347" s="1" t="s">
        <v>234</v>
      </c>
      <c r="K1347" s="1" t="s">
        <v>879</v>
      </c>
      <c r="M1347" s="1" t="s">
        <v>234</v>
      </c>
      <c r="N1347" s="1" t="s">
        <v>235</v>
      </c>
    </row>
    <row r="1348" spans="1:14" x14ac:dyDescent="0.25">
      <c r="A1348" s="1" t="s">
        <v>1702</v>
      </c>
      <c r="B1348" s="1" t="s">
        <v>1364</v>
      </c>
      <c r="C1348" s="1" t="s">
        <v>80</v>
      </c>
      <c r="D1348" s="2"/>
      <c r="E1348" s="1" t="s">
        <v>207</v>
      </c>
      <c r="F1348" s="1"/>
      <c r="G1348" s="1" t="s">
        <v>35</v>
      </c>
      <c r="H1348" s="2"/>
      <c r="I1348">
        <v>1</v>
      </c>
      <c r="J1348" s="1" t="s">
        <v>234</v>
      </c>
      <c r="K1348" s="1" t="s">
        <v>879</v>
      </c>
      <c r="M1348" s="1" t="s">
        <v>234</v>
      </c>
      <c r="N1348" s="1" t="s">
        <v>235</v>
      </c>
    </row>
    <row r="1349" spans="1:14" x14ac:dyDescent="0.25">
      <c r="A1349" s="1" t="s">
        <v>1703</v>
      </c>
      <c r="B1349" s="1" t="s">
        <v>1364</v>
      </c>
      <c r="C1349" s="1" t="s">
        <v>80</v>
      </c>
      <c r="D1349" s="2"/>
      <c r="E1349" s="1" t="s">
        <v>207</v>
      </c>
      <c r="F1349" s="1"/>
      <c r="G1349" s="1" t="s">
        <v>35</v>
      </c>
      <c r="H1349" s="2"/>
      <c r="I1349">
        <v>1</v>
      </c>
      <c r="J1349" s="1" t="s">
        <v>234</v>
      </c>
      <c r="K1349" s="1" t="s">
        <v>879</v>
      </c>
      <c r="M1349" s="1" t="s">
        <v>234</v>
      </c>
      <c r="N1349" s="1" t="s">
        <v>235</v>
      </c>
    </row>
    <row r="1350" spans="1:14" x14ac:dyDescent="0.25">
      <c r="A1350" s="1" t="s">
        <v>1704</v>
      </c>
      <c r="B1350" s="1" t="s">
        <v>1364</v>
      </c>
      <c r="C1350" s="1" t="s">
        <v>80</v>
      </c>
      <c r="D1350" s="2"/>
      <c r="E1350" s="1" t="s">
        <v>207</v>
      </c>
      <c r="F1350" s="1"/>
      <c r="G1350" s="1" t="s">
        <v>35</v>
      </c>
      <c r="H1350" s="2"/>
      <c r="I1350">
        <v>1</v>
      </c>
      <c r="J1350" s="1" t="s">
        <v>234</v>
      </c>
      <c r="K1350" s="1" t="s">
        <v>879</v>
      </c>
      <c r="M1350" s="1" t="s">
        <v>234</v>
      </c>
      <c r="N1350" s="1" t="s">
        <v>235</v>
      </c>
    </row>
    <row r="1351" spans="1:14" x14ac:dyDescent="0.25">
      <c r="A1351" s="1" t="s">
        <v>1705</v>
      </c>
      <c r="B1351" s="1" t="s">
        <v>1364</v>
      </c>
      <c r="C1351" s="1" t="s">
        <v>80</v>
      </c>
      <c r="D1351" s="2"/>
      <c r="E1351" s="1" t="s">
        <v>207</v>
      </c>
      <c r="F1351" s="1"/>
      <c r="G1351" s="1" t="s">
        <v>35</v>
      </c>
      <c r="H1351" s="2"/>
      <c r="I1351">
        <v>1</v>
      </c>
      <c r="J1351" s="1" t="s">
        <v>234</v>
      </c>
      <c r="K1351" s="1" t="s">
        <v>879</v>
      </c>
      <c r="M1351" s="1" t="s">
        <v>234</v>
      </c>
      <c r="N1351" s="1" t="s">
        <v>235</v>
      </c>
    </row>
    <row r="1352" spans="1:14" x14ac:dyDescent="0.25">
      <c r="A1352" s="1" t="s">
        <v>1706</v>
      </c>
      <c r="B1352" s="1" t="s">
        <v>1364</v>
      </c>
      <c r="C1352" s="1" t="s">
        <v>80</v>
      </c>
      <c r="D1352" s="2"/>
      <c r="E1352" s="1" t="s">
        <v>207</v>
      </c>
      <c r="F1352" s="1"/>
      <c r="G1352" s="1" t="s">
        <v>35</v>
      </c>
      <c r="H1352" s="2"/>
      <c r="I1352">
        <v>1</v>
      </c>
      <c r="J1352" s="1" t="s">
        <v>234</v>
      </c>
      <c r="K1352" s="1" t="s">
        <v>879</v>
      </c>
      <c r="M1352" s="1" t="s">
        <v>234</v>
      </c>
      <c r="N1352" s="1" t="s">
        <v>235</v>
      </c>
    </row>
    <row r="1353" spans="1:14" x14ac:dyDescent="0.25">
      <c r="A1353" s="1" t="s">
        <v>1707</v>
      </c>
      <c r="B1353" s="1" t="s">
        <v>1364</v>
      </c>
      <c r="C1353" s="1" t="s">
        <v>80</v>
      </c>
      <c r="D1353" s="2"/>
      <c r="E1353" s="1" t="s">
        <v>207</v>
      </c>
      <c r="F1353" s="1"/>
      <c r="G1353" s="1" t="s">
        <v>35</v>
      </c>
      <c r="H1353" s="2"/>
      <c r="I1353">
        <v>1</v>
      </c>
      <c r="J1353" s="1" t="s">
        <v>234</v>
      </c>
      <c r="K1353" s="1" t="s">
        <v>879</v>
      </c>
      <c r="M1353" s="1" t="s">
        <v>234</v>
      </c>
      <c r="N1353" s="1" t="s">
        <v>235</v>
      </c>
    </row>
    <row r="1354" spans="1:14" x14ac:dyDescent="0.25">
      <c r="A1354" s="1" t="s">
        <v>1708</v>
      </c>
      <c r="B1354" s="1" t="s">
        <v>1364</v>
      </c>
      <c r="C1354" s="1" t="s">
        <v>80</v>
      </c>
      <c r="D1354" s="2"/>
      <c r="E1354" s="1" t="s">
        <v>207</v>
      </c>
      <c r="F1354" s="1"/>
      <c r="G1354" s="1" t="s">
        <v>35</v>
      </c>
      <c r="H1354" s="2"/>
      <c r="I1354">
        <v>1</v>
      </c>
      <c r="J1354" s="1" t="s">
        <v>234</v>
      </c>
      <c r="K1354" s="1" t="s">
        <v>879</v>
      </c>
      <c r="M1354" s="1" t="s">
        <v>234</v>
      </c>
      <c r="N1354" s="1" t="s">
        <v>235</v>
      </c>
    </row>
    <row r="1355" spans="1:14" x14ac:dyDescent="0.25">
      <c r="A1355" s="1" t="s">
        <v>1709</v>
      </c>
      <c r="B1355" s="1" t="s">
        <v>1364</v>
      </c>
      <c r="C1355" s="1" t="s">
        <v>80</v>
      </c>
      <c r="D1355" s="2"/>
      <c r="E1355" s="1" t="s">
        <v>207</v>
      </c>
      <c r="F1355" s="1"/>
      <c r="G1355" s="1" t="s">
        <v>35</v>
      </c>
      <c r="H1355" s="2"/>
      <c r="I1355">
        <v>1</v>
      </c>
      <c r="J1355" s="1" t="s">
        <v>234</v>
      </c>
      <c r="K1355" s="1" t="s">
        <v>879</v>
      </c>
      <c r="M1355" s="1" t="s">
        <v>234</v>
      </c>
      <c r="N1355" s="1" t="s">
        <v>235</v>
      </c>
    </row>
    <row r="1356" spans="1:14" x14ac:dyDescent="0.25">
      <c r="A1356" s="1" t="s">
        <v>1710</v>
      </c>
      <c r="B1356" s="1" t="s">
        <v>1364</v>
      </c>
      <c r="C1356" s="1" t="s">
        <v>80</v>
      </c>
      <c r="D1356" s="2"/>
      <c r="E1356" s="1" t="s">
        <v>207</v>
      </c>
      <c r="F1356" s="1"/>
      <c r="G1356" s="1" t="s">
        <v>35</v>
      </c>
      <c r="H1356" s="2"/>
      <c r="I1356">
        <v>1</v>
      </c>
      <c r="J1356" s="1" t="s">
        <v>234</v>
      </c>
      <c r="K1356" s="1" t="s">
        <v>879</v>
      </c>
      <c r="M1356" s="1" t="s">
        <v>234</v>
      </c>
      <c r="N1356" s="1" t="s">
        <v>235</v>
      </c>
    </row>
    <row r="1357" spans="1:14" x14ac:dyDescent="0.25">
      <c r="A1357" s="1" t="s">
        <v>1711</v>
      </c>
      <c r="B1357" s="1" t="s">
        <v>1364</v>
      </c>
      <c r="C1357" s="1" t="s">
        <v>80</v>
      </c>
      <c r="D1357" s="2"/>
      <c r="E1357" s="1" t="s">
        <v>207</v>
      </c>
      <c r="F1357" s="1"/>
      <c r="G1357" s="1" t="s">
        <v>35</v>
      </c>
      <c r="H1357" s="2"/>
      <c r="I1357">
        <v>1</v>
      </c>
      <c r="J1357" s="1" t="s">
        <v>234</v>
      </c>
      <c r="K1357" s="1" t="s">
        <v>879</v>
      </c>
      <c r="M1357" s="1" t="s">
        <v>234</v>
      </c>
      <c r="N1357" s="1" t="s">
        <v>235</v>
      </c>
    </row>
    <row r="1358" spans="1:14" x14ac:dyDescent="0.25">
      <c r="A1358" s="1" t="s">
        <v>1712</v>
      </c>
      <c r="B1358" s="1" t="s">
        <v>1364</v>
      </c>
      <c r="C1358" s="1" t="s">
        <v>80</v>
      </c>
      <c r="D1358" s="2"/>
      <c r="E1358" s="1" t="s">
        <v>207</v>
      </c>
      <c r="F1358" s="1"/>
      <c r="G1358" s="1" t="s">
        <v>35</v>
      </c>
      <c r="H1358" s="2"/>
      <c r="I1358">
        <v>1</v>
      </c>
      <c r="J1358" s="1" t="s">
        <v>234</v>
      </c>
      <c r="K1358" s="1" t="s">
        <v>879</v>
      </c>
      <c r="M1358" s="1" t="s">
        <v>234</v>
      </c>
      <c r="N1358" s="1" t="s">
        <v>235</v>
      </c>
    </row>
    <row r="1359" spans="1:14" x14ac:dyDescent="0.25">
      <c r="A1359" s="1" t="s">
        <v>1713</v>
      </c>
      <c r="B1359" s="1" t="s">
        <v>1364</v>
      </c>
      <c r="C1359" s="1" t="s">
        <v>80</v>
      </c>
      <c r="D1359" s="2"/>
      <c r="E1359" s="1" t="s">
        <v>207</v>
      </c>
      <c r="F1359" s="1"/>
      <c r="G1359" s="1" t="s">
        <v>35</v>
      </c>
      <c r="H1359" s="2"/>
      <c r="I1359">
        <v>1</v>
      </c>
      <c r="J1359" s="1" t="s">
        <v>234</v>
      </c>
      <c r="K1359" s="1" t="s">
        <v>879</v>
      </c>
      <c r="M1359" s="1" t="s">
        <v>234</v>
      </c>
      <c r="N1359" s="1" t="s">
        <v>235</v>
      </c>
    </row>
    <row r="1360" spans="1:14" x14ac:dyDescent="0.25">
      <c r="A1360" s="1" t="s">
        <v>1714</v>
      </c>
      <c r="B1360" s="1" t="s">
        <v>1364</v>
      </c>
      <c r="C1360" s="1" t="s">
        <v>80</v>
      </c>
      <c r="D1360" s="2"/>
      <c r="E1360" s="1" t="s">
        <v>207</v>
      </c>
      <c r="F1360" s="1"/>
      <c r="G1360" s="1" t="s">
        <v>35</v>
      </c>
      <c r="H1360" s="2"/>
      <c r="I1360">
        <v>1</v>
      </c>
      <c r="J1360" s="1" t="s">
        <v>234</v>
      </c>
      <c r="K1360" s="1" t="s">
        <v>879</v>
      </c>
      <c r="M1360" s="1" t="s">
        <v>234</v>
      </c>
      <c r="N1360" s="1" t="s">
        <v>235</v>
      </c>
    </row>
    <row r="1361" spans="1:14" x14ac:dyDescent="0.25">
      <c r="A1361" s="1" t="s">
        <v>1715</v>
      </c>
      <c r="B1361" s="1" t="s">
        <v>1364</v>
      </c>
      <c r="C1361" s="1" t="s">
        <v>80</v>
      </c>
      <c r="D1361" s="2"/>
      <c r="E1361" s="1" t="s">
        <v>207</v>
      </c>
      <c r="F1361" s="1"/>
      <c r="G1361" s="1" t="s">
        <v>35</v>
      </c>
      <c r="H1361" s="2"/>
      <c r="I1361">
        <v>1</v>
      </c>
      <c r="J1361" s="1" t="s">
        <v>234</v>
      </c>
      <c r="K1361" s="1" t="s">
        <v>879</v>
      </c>
      <c r="M1361" s="1" t="s">
        <v>234</v>
      </c>
      <c r="N1361" s="1" t="s">
        <v>235</v>
      </c>
    </row>
    <row r="1362" spans="1:14" x14ac:dyDescent="0.25">
      <c r="A1362" s="1" t="s">
        <v>1716</v>
      </c>
      <c r="B1362" s="1" t="s">
        <v>1364</v>
      </c>
      <c r="C1362" s="1" t="s">
        <v>80</v>
      </c>
      <c r="D1362" s="2"/>
      <c r="E1362" s="1" t="s">
        <v>207</v>
      </c>
      <c r="F1362" s="1"/>
      <c r="G1362" s="1" t="s">
        <v>35</v>
      </c>
      <c r="H1362" s="2"/>
      <c r="I1362">
        <v>1</v>
      </c>
      <c r="J1362" s="1" t="s">
        <v>234</v>
      </c>
      <c r="K1362" s="1" t="s">
        <v>879</v>
      </c>
      <c r="M1362" s="1" t="s">
        <v>234</v>
      </c>
      <c r="N1362" s="1" t="s">
        <v>235</v>
      </c>
    </row>
    <row r="1363" spans="1:14" x14ac:dyDescent="0.25">
      <c r="A1363" s="1" t="s">
        <v>1717</v>
      </c>
      <c r="B1363" s="1" t="s">
        <v>1364</v>
      </c>
      <c r="C1363" s="1" t="s">
        <v>80</v>
      </c>
      <c r="D1363" s="2"/>
      <c r="E1363" s="1" t="s">
        <v>207</v>
      </c>
      <c r="F1363" s="1"/>
      <c r="G1363" s="1" t="s">
        <v>35</v>
      </c>
      <c r="H1363" s="2"/>
      <c r="I1363">
        <v>1</v>
      </c>
      <c r="J1363" s="1" t="s">
        <v>234</v>
      </c>
      <c r="K1363" s="1" t="s">
        <v>879</v>
      </c>
      <c r="M1363" s="1" t="s">
        <v>234</v>
      </c>
      <c r="N1363" s="1" t="s">
        <v>235</v>
      </c>
    </row>
    <row r="1364" spans="1:14" x14ac:dyDescent="0.25">
      <c r="A1364" s="1" t="s">
        <v>1718</v>
      </c>
      <c r="B1364" s="1" t="s">
        <v>1364</v>
      </c>
      <c r="C1364" s="1" t="s">
        <v>80</v>
      </c>
      <c r="D1364" s="2"/>
      <c r="E1364" s="1" t="s">
        <v>207</v>
      </c>
      <c r="F1364" s="1"/>
      <c r="G1364" s="1" t="s">
        <v>35</v>
      </c>
      <c r="H1364" s="2"/>
      <c r="I1364">
        <v>1</v>
      </c>
      <c r="J1364" s="1" t="s">
        <v>234</v>
      </c>
      <c r="K1364" s="1" t="s">
        <v>879</v>
      </c>
      <c r="M1364" s="1" t="s">
        <v>234</v>
      </c>
      <c r="N1364" s="1" t="s">
        <v>235</v>
      </c>
    </row>
    <row r="1365" spans="1:14" x14ac:dyDescent="0.25">
      <c r="A1365" s="1" t="s">
        <v>1719</v>
      </c>
      <c r="B1365" s="1" t="s">
        <v>1364</v>
      </c>
      <c r="C1365" s="1" t="s">
        <v>80</v>
      </c>
      <c r="D1365" s="2"/>
      <c r="E1365" s="1" t="s">
        <v>207</v>
      </c>
      <c r="F1365" s="1"/>
      <c r="G1365" s="1" t="s">
        <v>35</v>
      </c>
      <c r="H1365" s="2"/>
      <c r="I1365">
        <v>1</v>
      </c>
      <c r="J1365" s="1" t="s">
        <v>234</v>
      </c>
      <c r="K1365" s="1" t="s">
        <v>879</v>
      </c>
      <c r="M1365" s="1" t="s">
        <v>234</v>
      </c>
      <c r="N1365" s="1" t="s">
        <v>235</v>
      </c>
    </row>
    <row r="1366" spans="1:14" x14ac:dyDescent="0.25">
      <c r="A1366" s="1" t="s">
        <v>1720</v>
      </c>
      <c r="B1366" s="1" t="s">
        <v>1364</v>
      </c>
      <c r="C1366" s="1" t="s">
        <v>80</v>
      </c>
      <c r="D1366" s="2"/>
      <c r="E1366" s="1" t="s">
        <v>207</v>
      </c>
      <c r="F1366" s="1"/>
      <c r="G1366" s="1" t="s">
        <v>35</v>
      </c>
      <c r="H1366" s="2"/>
      <c r="I1366">
        <v>1</v>
      </c>
      <c r="J1366" s="1" t="s">
        <v>234</v>
      </c>
      <c r="K1366" s="1" t="s">
        <v>879</v>
      </c>
      <c r="M1366" s="1" t="s">
        <v>234</v>
      </c>
      <c r="N1366" s="1" t="s">
        <v>235</v>
      </c>
    </row>
    <row r="1367" spans="1:14" x14ac:dyDescent="0.25">
      <c r="A1367" s="1" t="s">
        <v>1721</v>
      </c>
      <c r="B1367" s="1" t="s">
        <v>1364</v>
      </c>
      <c r="C1367" s="1" t="s">
        <v>80</v>
      </c>
      <c r="D1367" s="2"/>
      <c r="E1367" s="1" t="s">
        <v>207</v>
      </c>
      <c r="F1367" s="1"/>
      <c r="G1367" s="1" t="s">
        <v>35</v>
      </c>
      <c r="H1367" s="2"/>
      <c r="I1367">
        <v>1</v>
      </c>
      <c r="J1367" s="1" t="s">
        <v>234</v>
      </c>
      <c r="K1367" s="1" t="s">
        <v>879</v>
      </c>
      <c r="M1367" s="1" t="s">
        <v>234</v>
      </c>
      <c r="N1367" s="1" t="s">
        <v>235</v>
      </c>
    </row>
    <row r="1368" spans="1:14" x14ac:dyDescent="0.25">
      <c r="A1368" s="1" t="s">
        <v>1722</v>
      </c>
      <c r="B1368" s="1" t="s">
        <v>1364</v>
      </c>
      <c r="C1368" s="1" t="s">
        <v>80</v>
      </c>
      <c r="D1368" s="2"/>
      <c r="E1368" s="1" t="s">
        <v>207</v>
      </c>
      <c r="F1368" s="1"/>
      <c r="G1368" s="1" t="s">
        <v>35</v>
      </c>
      <c r="H1368" s="2"/>
      <c r="I1368">
        <v>1</v>
      </c>
      <c r="J1368" s="1" t="s">
        <v>234</v>
      </c>
      <c r="K1368" s="1" t="s">
        <v>879</v>
      </c>
      <c r="M1368" s="1" t="s">
        <v>234</v>
      </c>
      <c r="N1368" s="1" t="s">
        <v>235</v>
      </c>
    </row>
    <row r="1369" spans="1:14" x14ac:dyDescent="0.25">
      <c r="A1369" s="1" t="s">
        <v>1723</v>
      </c>
      <c r="B1369" s="1" t="s">
        <v>1364</v>
      </c>
      <c r="C1369" s="1" t="s">
        <v>80</v>
      </c>
      <c r="D1369" s="2"/>
      <c r="E1369" s="1" t="s">
        <v>207</v>
      </c>
      <c r="F1369" s="1"/>
      <c r="G1369" s="1" t="s">
        <v>35</v>
      </c>
      <c r="H1369" s="2"/>
      <c r="I1369">
        <v>1</v>
      </c>
      <c r="J1369" s="1" t="s">
        <v>234</v>
      </c>
      <c r="K1369" s="1" t="s">
        <v>879</v>
      </c>
      <c r="M1369" s="1" t="s">
        <v>234</v>
      </c>
      <c r="N1369" s="1" t="s">
        <v>235</v>
      </c>
    </row>
    <row r="1370" spans="1:14" x14ac:dyDescent="0.25">
      <c r="A1370" s="1" t="s">
        <v>1724</v>
      </c>
      <c r="B1370" s="1" t="s">
        <v>1364</v>
      </c>
      <c r="C1370" s="1" t="s">
        <v>80</v>
      </c>
      <c r="D1370" s="2"/>
      <c r="E1370" s="1" t="s">
        <v>207</v>
      </c>
      <c r="F1370" s="1"/>
      <c r="G1370" s="1" t="s">
        <v>35</v>
      </c>
      <c r="H1370" s="2"/>
      <c r="I1370">
        <v>1</v>
      </c>
      <c r="J1370" s="1" t="s">
        <v>234</v>
      </c>
      <c r="K1370" s="1" t="s">
        <v>879</v>
      </c>
      <c r="M1370" s="1" t="s">
        <v>234</v>
      </c>
      <c r="N1370" s="1" t="s">
        <v>235</v>
      </c>
    </row>
    <row r="1371" spans="1:14" x14ac:dyDescent="0.25">
      <c r="A1371" s="1" t="s">
        <v>1725</v>
      </c>
      <c r="B1371" s="1" t="s">
        <v>1364</v>
      </c>
      <c r="C1371" s="1" t="s">
        <v>80</v>
      </c>
      <c r="D1371" s="2"/>
      <c r="E1371" s="1" t="s">
        <v>207</v>
      </c>
      <c r="F1371" s="1"/>
      <c r="G1371" s="1" t="s">
        <v>35</v>
      </c>
      <c r="H1371" s="2"/>
      <c r="I1371">
        <v>1</v>
      </c>
      <c r="J1371" s="1" t="s">
        <v>234</v>
      </c>
      <c r="K1371" s="1" t="s">
        <v>879</v>
      </c>
      <c r="M1371" s="1" t="s">
        <v>234</v>
      </c>
      <c r="N1371" s="1" t="s">
        <v>235</v>
      </c>
    </row>
    <row r="1372" spans="1:14" x14ac:dyDescent="0.25">
      <c r="A1372" s="1" t="s">
        <v>1726</v>
      </c>
      <c r="B1372" s="1" t="s">
        <v>1364</v>
      </c>
      <c r="C1372" s="1" t="s">
        <v>80</v>
      </c>
      <c r="D1372" s="2"/>
      <c r="E1372" s="1" t="s">
        <v>207</v>
      </c>
      <c r="F1372" s="1"/>
      <c r="G1372" s="1" t="s">
        <v>35</v>
      </c>
      <c r="H1372" s="2"/>
      <c r="I1372">
        <v>1</v>
      </c>
      <c r="J1372" s="1" t="s">
        <v>234</v>
      </c>
      <c r="K1372" s="1" t="s">
        <v>879</v>
      </c>
      <c r="M1372" s="1" t="s">
        <v>234</v>
      </c>
      <c r="N1372" s="1" t="s">
        <v>235</v>
      </c>
    </row>
    <row r="1373" spans="1:14" x14ac:dyDescent="0.25">
      <c r="A1373" s="1" t="s">
        <v>1727</v>
      </c>
      <c r="B1373" s="1" t="s">
        <v>1364</v>
      </c>
      <c r="C1373" s="1" t="s">
        <v>80</v>
      </c>
      <c r="D1373" s="2"/>
      <c r="E1373" s="1" t="s">
        <v>207</v>
      </c>
      <c r="F1373" s="1"/>
      <c r="G1373" s="1" t="s">
        <v>35</v>
      </c>
      <c r="H1373" s="2"/>
      <c r="I1373">
        <v>1</v>
      </c>
      <c r="J1373" s="1" t="s">
        <v>234</v>
      </c>
      <c r="K1373" s="1" t="s">
        <v>879</v>
      </c>
      <c r="M1373" s="1" t="s">
        <v>234</v>
      </c>
      <c r="N1373" s="1" t="s">
        <v>235</v>
      </c>
    </row>
    <row r="1374" spans="1:14" x14ac:dyDescent="0.25">
      <c r="A1374" s="1" t="s">
        <v>1728</v>
      </c>
      <c r="B1374" s="1" t="s">
        <v>1364</v>
      </c>
      <c r="C1374" s="1" t="s">
        <v>80</v>
      </c>
      <c r="D1374" s="2"/>
      <c r="E1374" s="1" t="s">
        <v>207</v>
      </c>
      <c r="F1374" s="1"/>
      <c r="G1374" s="1" t="s">
        <v>35</v>
      </c>
      <c r="H1374" s="2"/>
      <c r="I1374">
        <v>1</v>
      </c>
      <c r="J1374" s="1" t="s">
        <v>234</v>
      </c>
      <c r="K1374" s="1" t="s">
        <v>879</v>
      </c>
      <c r="M1374" s="1" t="s">
        <v>234</v>
      </c>
      <c r="N1374" s="1" t="s">
        <v>235</v>
      </c>
    </row>
    <row r="1375" spans="1:14" x14ac:dyDescent="0.25">
      <c r="A1375" s="1" t="s">
        <v>1729</v>
      </c>
      <c r="B1375" s="1" t="s">
        <v>1364</v>
      </c>
      <c r="C1375" s="1" t="s">
        <v>80</v>
      </c>
      <c r="D1375" s="2"/>
      <c r="E1375" s="1" t="s">
        <v>207</v>
      </c>
      <c r="F1375" s="1"/>
      <c r="G1375" s="1" t="s">
        <v>35</v>
      </c>
      <c r="H1375" s="2"/>
      <c r="I1375">
        <v>1</v>
      </c>
      <c r="J1375" s="1" t="s">
        <v>234</v>
      </c>
      <c r="K1375" s="1" t="s">
        <v>879</v>
      </c>
      <c r="M1375" s="1" t="s">
        <v>234</v>
      </c>
      <c r="N1375" s="1" t="s">
        <v>235</v>
      </c>
    </row>
    <row r="1376" spans="1:14" x14ac:dyDescent="0.25">
      <c r="A1376" s="1" t="s">
        <v>1730</v>
      </c>
      <c r="B1376" s="1" t="s">
        <v>1364</v>
      </c>
      <c r="C1376" s="1" t="s">
        <v>80</v>
      </c>
      <c r="D1376" s="2"/>
      <c r="E1376" s="1" t="s">
        <v>207</v>
      </c>
      <c r="F1376" s="1"/>
      <c r="G1376" s="1" t="s">
        <v>35</v>
      </c>
      <c r="H1376" s="2"/>
      <c r="I1376">
        <v>1</v>
      </c>
      <c r="J1376" s="1" t="s">
        <v>234</v>
      </c>
      <c r="K1376" s="1" t="s">
        <v>879</v>
      </c>
      <c r="M1376" s="1" t="s">
        <v>234</v>
      </c>
      <c r="N1376" s="1" t="s">
        <v>235</v>
      </c>
    </row>
    <row r="1377" spans="1:14" x14ac:dyDescent="0.25">
      <c r="A1377" s="1" t="s">
        <v>1731</v>
      </c>
      <c r="B1377" s="1" t="s">
        <v>1364</v>
      </c>
      <c r="C1377" s="1" t="s">
        <v>80</v>
      </c>
      <c r="D1377" s="2"/>
      <c r="E1377" s="1" t="s">
        <v>207</v>
      </c>
      <c r="F1377" s="1"/>
      <c r="G1377" s="1" t="s">
        <v>35</v>
      </c>
      <c r="H1377" s="2"/>
      <c r="I1377">
        <v>1</v>
      </c>
      <c r="J1377" s="1" t="s">
        <v>234</v>
      </c>
      <c r="K1377" s="1" t="s">
        <v>879</v>
      </c>
      <c r="M1377" s="1" t="s">
        <v>234</v>
      </c>
      <c r="N1377" s="1" t="s">
        <v>235</v>
      </c>
    </row>
    <row r="1378" spans="1:14" x14ac:dyDescent="0.25">
      <c r="A1378" s="1" t="s">
        <v>1732</v>
      </c>
      <c r="B1378" s="1" t="s">
        <v>1364</v>
      </c>
      <c r="C1378" s="1" t="s">
        <v>80</v>
      </c>
      <c r="D1378" s="2"/>
      <c r="E1378" s="1" t="s">
        <v>207</v>
      </c>
      <c r="F1378" s="1"/>
      <c r="G1378" s="1" t="s">
        <v>35</v>
      </c>
      <c r="H1378" s="2"/>
      <c r="I1378">
        <v>1</v>
      </c>
      <c r="J1378" s="1" t="s">
        <v>234</v>
      </c>
      <c r="K1378" s="1" t="s">
        <v>879</v>
      </c>
      <c r="M1378" s="1" t="s">
        <v>234</v>
      </c>
      <c r="N1378" s="1" t="s">
        <v>235</v>
      </c>
    </row>
    <row r="1379" spans="1:14" x14ac:dyDescent="0.25">
      <c r="A1379" s="1" t="s">
        <v>1733</v>
      </c>
      <c r="B1379" s="1" t="s">
        <v>1364</v>
      </c>
      <c r="C1379" s="1" t="s">
        <v>80</v>
      </c>
      <c r="D1379" s="2"/>
      <c r="E1379" s="1" t="s">
        <v>207</v>
      </c>
      <c r="F1379" s="1"/>
      <c r="G1379" s="1" t="s">
        <v>35</v>
      </c>
      <c r="H1379" s="2"/>
      <c r="I1379">
        <v>1</v>
      </c>
      <c r="J1379" s="1" t="s">
        <v>234</v>
      </c>
      <c r="K1379" s="1" t="s">
        <v>879</v>
      </c>
      <c r="M1379" s="1" t="s">
        <v>234</v>
      </c>
      <c r="N1379" s="1" t="s">
        <v>235</v>
      </c>
    </row>
    <row r="1380" spans="1:14" x14ac:dyDescent="0.25">
      <c r="A1380" s="1" t="s">
        <v>1734</v>
      </c>
      <c r="B1380" s="1" t="s">
        <v>1364</v>
      </c>
      <c r="C1380" s="1" t="s">
        <v>80</v>
      </c>
      <c r="D1380" s="2"/>
      <c r="E1380" s="1" t="s">
        <v>207</v>
      </c>
      <c r="F1380" s="1"/>
      <c r="G1380" s="1" t="s">
        <v>35</v>
      </c>
      <c r="H1380" s="2"/>
      <c r="I1380">
        <v>1</v>
      </c>
      <c r="J1380" s="1" t="s">
        <v>234</v>
      </c>
      <c r="K1380" s="1" t="s">
        <v>879</v>
      </c>
      <c r="M1380" s="1" t="s">
        <v>234</v>
      </c>
      <c r="N1380" s="1" t="s">
        <v>235</v>
      </c>
    </row>
    <row r="1381" spans="1:14" x14ac:dyDescent="0.25">
      <c r="A1381" s="1" t="s">
        <v>1735</v>
      </c>
      <c r="B1381" s="1" t="s">
        <v>1364</v>
      </c>
      <c r="C1381" s="1" t="s">
        <v>80</v>
      </c>
      <c r="D1381" s="2"/>
      <c r="E1381" s="1" t="s">
        <v>207</v>
      </c>
      <c r="F1381" s="1"/>
      <c r="G1381" s="1" t="s">
        <v>35</v>
      </c>
      <c r="H1381" s="2"/>
      <c r="I1381">
        <v>1</v>
      </c>
      <c r="J1381" s="1" t="s">
        <v>234</v>
      </c>
      <c r="K1381" s="1" t="s">
        <v>879</v>
      </c>
      <c r="M1381" s="1" t="s">
        <v>234</v>
      </c>
      <c r="N1381" s="1" t="s">
        <v>235</v>
      </c>
    </row>
    <row r="1382" spans="1:14" x14ac:dyDescent="0.25">
      <c r="A1382" s="1" t="s">
        <v>1736</v>
      </c>
      <c r="B1382" s="1" t="s">
        <v>1364</v>
      </c>
      <c r="C1382" s="1" t="s">
        <v>80</v>
      </c>
      <c r="D1382" s="2"/>
      <c r="E1382" s="1" t="s">
        <v>207</v>
      </c>
      <c r="F1382" s="1"/>
      <c r="G1382" s="1" t="s">
        <v>35</v>
      </c>
      <c r="H1382" s="2"/>
      <c r="I1382">
        <v>1</v>
      </c>
      <c r="J1382" s="1" t="s">
        <v>234</v>
      </c>
      <c r="K1382" s="1" t="s">
        <v>879</v>
      </c>
      <c r="M1382" s="1" t="s">
        <v>234</v>
      </c>
      <c r="N1382" s="1" t="s">
        <v>235</v>
      </c>
    </row>
    <row r="1383" spans="1:14" x14ac:dyDescent="0.25">
      <c r="A1383" s="1" t="s">
        <v>1737</v>
      </c>
      <c r="B1383" s="1" t="s">
        <v>1364</v>
      </c>
      <c r="C1383" s="1" t="s">
        <v>80</v>
      </c>
      <c r="D1383" s="2"/>
      <c r="E1383" s="1" t="s">
        <v>207</v>
      </c>
      <c r="F1383" s="1"/>
      <c r="G1383" s="1" t="s">
        <v>35</v>
      </c>
      <c r="H1383" s="2"/>
      <c r="I1383">
        <v>1</v>
      </c>
      <c r="J1383" s="1" t="s">
        <v>234</v>
      </c>
      <c r="K1383" s="1" t="s">
        <v>879</v>
      </c>
      <c r="M1383" s="1" t="s">
        <v>234</v>
      </c>
      <c r="N1383" s="1" t="s">
        <v>235</v>
      </c>
    </row>
    <row r="1384" spans="1:14" x14ac:dyDescent="0.25">
      <c r="A1384" s="1" t="s">
        <v>1738</v>
      </c>
      <c r="B1384" s="1" t="s">
        <v>1364</v>
      </c>
      <c r="C1384" s="1" t="s">
        <v>80</v>
      </c>
      <c r="D1384" s="2"/>
      <c r="E1384" s="1" t="s">
        <v>207</v>
      </c>
      <c r="F1384" s="1"/>
      <c r="G1384" s="1" t="s">
        <v>35</v>
      </c>
      <c r="H1384" s="2"/>
      <c r="I1384">
        <v>1</v>
      </c>
      <c r="J1384" s="1" t="s">
        <v>234</v>
      </c>
      <c r="K1384" s="1" t="s">
        <v>879</v>
      </c>
      <c r="M1384" s="1" t="s">
        <v>234</v>
      </c>
      <c r="N1384" s="1" t="s">
        <v>235</v>
      </c>
    </row>
    <row r="1385" spans="1:14" x14ac:dyDescent="0.25">
      <c r="A1385" s="1" t="s">
        <v>1739</v>
      </c>
      <c r="B1385" s="1" t="s">
        <v>1364</v>
      </c>
      <c r="C1385" s="1" t="s">
        <v>80</v>
      </c>
      <c r="D1385" s="2"/>
      <c r="E1385" s="1" t="s">
        <v>207</v>
      </c>
      <c r="F1385" s="1"/>
      <c r="G1385" s="1" t="s">
        <v>35</v>
      </c>
      <c r="H1385" s="2"/>
      <c r="I1385">
        <v>1</v>
      </c>
      <c r="J1385" s="1" t="s">
        <v>234</v>
      </c>
      <c r="K1385" s="1" t="s">
        <v>879</v>
      </c>
      <c r="M1385" s="1" t="s">
        <v>234</v>
      </c>
      <c r="N1385" s="1" t="s">
        <v>235</v>
      </c>
    </row>
    <row r="1386" spans="1:14" x14ac:dyDescent="0.25">
      <c r="A1386" s="1" t="s">
        <v>1740</v>
      </c>
      <c r="B1386" s="1" t="s">
        <v>1364</v>
      </c>
      <c r="C1386" s="1" t="s">
        <v>80</v>
      </c>
      <c r="D1386" s="2"/>
      <c r="E1386" s="1" t="s">
        <v>207</v>
      </c>
      <c r="F1386" s="1"/>
      <c r="G1386" s="1" t="s">
        <v>35</v>
      </c>
      <c r="H1386" s="2"/>
      <c r="I1386">
        <v>1</v>
      </c>
      <c r="J1386" s="1" t="s">
        <v>234</v>
      </c>
      <c r="K1386" s="1" t="s">
        <v>879</v>
      </c>
      <c r="M1386" s="1" t="s">
        <v>234</v>
      </c>
      <c r="N1386" s="1" t="s">
        <v>235</v>
      </c>
    </row>
    <row r="1387" spans="1:14" x14ac:dyDescent="0.25">
      <c r="A1387" s="1" t="s">
        <v>1741</v>
      </c>
      <c r="B1387" s="1" t="s">
        <v>1364</v>
      </c>
      <c r="C1387" s="1" t="s">
        <v>80</v>
      </c>
      <c r="D1387" s="2"/>
      <c r="E1387" s="1" t="s">
        <v>207</v>
      </c>
      <c r="F1387" s="1"/>
      <c r="G1387" s="1" t="s">
        <v>35</v>
      </c>
      <c r="H1387" s="2"/>
      <c r="I1387">
        <v>1</v>
      </c>
      <c r="J1387" s="1" t="s">
        <v>234</v>
      </c>
      <c r="K1387" s="1" t="s">
        <v>879</v>
      </c>
      <c r="M1387" s="1" t="s">
        <v>234</v>
      </c>
      <c r="N1387" s="1" t="s">
        <v>235</v>
      </c>
    </row>
    <row r="1388" spans="1:14" x14ac:dyDescent="0.25">
      <c r="A1388" s="1" t="s">
        <v>1742</v>
      </c>
      <c r="B1388" s="1" t="s">
        <v>1364</v>
      </c>
      <c r="C1388" s="1" t="s">
        <v>80</v>
      </c>
      <c r="D1388" s="2"/>
      <c r="E1388" s="1" t="s">
        <v>207</v>
      </c>
      <c r="F1388" s="1"/>
      <c r="G1388" s="1" t="s">
        <v>35</v>
      </c>
      <c r="H1388" s="2"/>
      <c r="I1388">
        <v>1</v>
      </c>
      <c r="J1388" s="1" t="s">
        <v>234</v>
      </c>
      <c r="K1388" s="1" t="s">
        <v>879</v>
      </c>
      <c r="M1388" s="1" t="s">
        <v>234</v>
      </c>
      <c r="N1388" s="1" t="s">
        <v>235</v>
      </c>
    </row>
    <row r="1389" spans="1:14" x14ac:dyDescent="0.25">
      <c r="A1389" s="1" t="s">
        <v>1743</v>
      </c>
      <c r="B1389" s="1" t="s">
        <v>1364</v>
      </c>
      <c r="C1389" s="1" t="s">
        <v>80</v>
      </c>
      <c r="D1389" s="2"/>
      <c r="E1389" s="1" t="s">
        <v>207</v>
      </c>
      <c r="F1389" s="1"/>
      <c r="G1389" s="1" t="s">
        <v>35</v>
      </c>
      <c r="H1389" s="2"/>
      <c r="I1389">
        <v>1</v>
      </c>
      <c r="J1389" s="1" t="s">
        <v>234</v>
      </c>
      <c r="K1389" s="1" t="s">
        <v>879</v>
      </c>
      <c r="M1389" s="1" t="s">
        <v>234</v>
      </c>
      <c r="N1389" s="1" t="s">
        <v>235</v>
      </c>
    </row>
    <row r="1390" spans="1:14" x14ac:dyDescent="0.25">
      <c r="A1390" s="1" t="s">
        <v>1744</v>
      </c>
      <c r="B1390" s="1" t="s">
        <v>1364</v>
      </c>
      <c r="C1390" s="1" t="s">
        <v>80</v>
      </c>
      <c r="D1390" s="2"/>
      <c r="E1390" s="1" t="s">
        <v>207</v>
      </c>
      <c r="F1390" s="1"/>
      <c r="G1390" s="1" t="s">
        <v>35</v>
      </c>
      <c r="H1390" s="2"/>
      <c r="I1390">
        <v>1</v>
      </c>
      <c r="J1390" s="1" t="s">
        <v>234</v>
      </c>
      <c r="K1390" s="1" t="s">
        <v>879</v>
      </c>
      <c r="M1390" s="1" t="s">
        <v>234</v>
      </c>
      <c r="N1390" s="1" t="s">
        <v>235</v>
      </c>
    </row>
    <row r="1391" spans="1:14" x14ac:dyDescent="0.25">
      <c r="A1391" s="1" t="s">
        <v>1745</v>
      </c>
      <c r="B1391" s="1" t="s">
        <v>1364</v>
      </c>
      <c r="C1391" s="1" t="s">
        <v>80</v>
      </c>
      <c r="D1391" s="2"/>
      <c r="E1391" s="1" t="s">
        <v>207</v>
      </c>
      <c r="F1391" s="1"/>
      <c r="G1391" s="1" t="s">
        <v>35</v>
      </c>
      <c r="H1391" s="2"/>
      <c r="I1391">
        <v>1</v>
      </c>
      <c r="J1391" s="1" t="s">
        <v>234</v>
      </c>
      <c r="K1391" s="1" t="s">
        <v>879</v>
      </c>
      <c r="M1391" s="1" t="s">
        <v>234</v>
      </c>
      <c r="N1391" s="1" t="s">
        <v>235</v>
      </c>
    </row>
    <row r="1392" spans="1:14" x14ac:dyDescent="0.25">
      <c r="A1392" s="1" t="s">
        <v>1746</v>
      </c>
      <c r="B1392" s="1" t="s">
        <v>1364</v>
      </c>
      <c r="C1392" s="1" t="s">
        <v>80</v>
      </c>
      <c r="D1392" s="2"/>
      <c r="E1392" s="1" t="s">
        <v>207</v>
      </c>
      <c r="F1392" s="1"/>
      <c r="G1392" s="1" t="s">
        <v>35</v>
      </c>
      <c r="H1392" s="2"/>
      <c r="I1392">
        <v>1</v>
      </c>
      <c r="J1392" s="1" t="s">
        <v>234</v>
      </c>
      <c r="K1392" s="1" t="s">
        <v>879</v>
      </c>
      <c r="M1392" s="1" t="s">
        <v>234</v>
      </c>
      <c r="N1392" s="1" t="s">
        <v>235</v>
      </c>
    </row>
    <row r="1393" spans="1:14" x14ac:dyDescent="0.25">
      <c r="A1393" s="1" t="s">
        <v>1747</v>
      </c>
      <c r="B1393" s="1" t="s">
        <v>1364</v>
      </c>
      <c r="C1393" s="1" t="s">
        <v>80</v>
      </c>
      <c r="D1393" s="2"/>
      <c r="E1393" s="1" t="s">
        <v>207</v>
      </c>
      <c r="F1393" s="1"/>
      <c r="G1393" s="1" t="s">
        <v>35</v>
      </c>
      <c r="H1393" s="2"/>
      <c r="I1393">
        <v>1</v>
      </c>
      <c r="J1393" s="1" t="s">
        <v>234</v>
      </c>
      <c r="K1393" s="1" t="s">
        <v>879</v>
      </c>
      <c r="M1393" s="1" t="s">
        <v>234</v>
      </c>
      <c r="N1393" s="1" t="s">
        <v>235</v>
      </c>
    </row>
    <row r="1394" spans="1:14" x14ac:dyDescent="0.25">
      <c r="A1394" s="1" t="s">
        <v>1748</v>
      </c>
      <c r="B1394" s="1" t="s">
        <v>1364</v>
      </c>
      <c r="C1394" s="1" t="s">
        <v>80</v>
      </c>
      <c r="D1394" s="2"/>
      <c r="E1394" s="1" t="s">
        <v>207</v>
      </c>
      <c r="F1394" s="1"/>
      <c r="G1394" s="1" t="s">
        <v>35</v>
      </c>
      <c r="H1394" s="2"/>
      <c r="I1394">
        <v>1</v>
      </c>
      <c r="J1394" s="1" t="s">
        <v>234</v>
      </c>
      <c r="K1394" s="1" t="s">
        <v>879</v>
      </c>
      <c r="M1394" s="1" t="s">
        <v>234</v>
      </c>
      <c r="N1394" s="1" t="s">
        <v>235</v>
      </c>
    </row>
    <row r="1395" spans="1:14" x14ac:dyDescent="0.25">
      <c r="A1395" s="1" t="s">
        <v>1749</v>
      </c>
      <c r="B1395" s="1" t="s">
        <v>1364</v>
      </c>
      <c r="C1395" s="1" t="s">
        <v>80</v>
      </c>
      <c r="D1395" s="2"/>
      <c r="E1395" s="1" t="s">
        <v>207</v>
      </c>
      <c r="F1395" s="1"/>
      <c r="G1395" s="1" t="s">
        <v>35</v>
      </c>
      <c r="H1395" s="2"/>
      <c r="I1395">
        <v>1</v>
      </c>
      <c r="J1395" s="1" t="s">
        <v>234</v>
      </c>
      <c r="K1395" s="1" t="s">
        <v>879</v>
      </c>
      <c r="M1395" s="1" t="s">
        <v>234</v>
      </c>
      <c r="N1395" s="1" t="s">
        <v>235</v>
      </c>
    </row>
    <row r="1396" spans="1:14" x14ac:dyDescent="0.25">
      <c r="A1396" s="1" t="s">
        <v>1750</v>
      </c>
      <c r="B1396" s="1" t="s">
        <v>1364</v>
      </c>
      <c r="C1396" s="1" t="s">
        <v>80</v>
      </c>
      <c r="D1396" s="2"/>
      <c r="E1396" s="1" t="s">
        <v>207</v>
      </c>
      <c r="F1396" s="1"/>
      <c r="G1396" s="1" t="s">
        <v>35</v>
      </c>
      <c r="H1396" s="2"/>
      <c r="I1396">
        <v>1</v>
      </c>
      <c r="J1396" s="1" t="s">
        <v>234</v>
      </c>
      <c r="K1396" s="1" t="s">
        <v>879</v>
      </c>
      <c r="M1396" s="1" t="s">
        <v>234</v>
      </c>
      <c r="N1396" s="1" t="s">
        <v>235</v>
      </c>
    </row>
    <row r="1397" spans="1:14" x14ac:dyDescent="0.25">
      <c r="A1397" s="1" t="s">
        <v>1751</v>
      </c>
      <c r="B1397" s="1" t="s">
        <v>1364</v>
      </c>
      <c r="C1397" s="1" t="s">
        <v>80</v>
      </c>
      <c r="D1397" s="2"/>
      <c r="E1397" s="1" t="s">
        <v>207</v>
      </c>
      <c r="F1397" s="1"/>
      <c r="G1397" s="1" t="s">
        <v>35</v>
      </c>
      <c r="H1397" s="2"/>
      <c r="I1397">
        <v>1</v>
      </c>
      <c r="J1397" s="1" t="s">
        <v>234</v>
      </c>
      <c r="K1397" s="1" t="s">
        <v>879</v>
      </c>
      <c r="M1397" s="1" t="s">
        <v>234</v>
      </c>
      <c r="N1397" s="1" t="s">
        <v>235</v>
      </c>
    </row>
    <row r="1398" spans="1:14" x14ac:dyDescent="0.25">
      <c r="A1398" s="1" t="s">
        <v>1752</v>
      </c>
      <c r="B1398" s="1" t="s">
        <v>1364</v>
      </c>
      <c r="C1398" s="1" t="s">
        <v>80</v>
      </c>
      <c r="D1398" s="2"/>
      <c r="E1398" s="1" t="s">
        <v>207</v>
      </c>
      <c r="F1398" s="1"/>
      <c r="G1398" s="1" t="s">
        <v>35</v>
      </c>
      <c r="H1398" s="2"/>
      <c r="I1398">
        <v>1</v>
      </c>
      <c r="J1398" s="1" t="s">
        <v>234</v>
      </c>
      <c r="K1398" s="1" t="s">
        <v>879</v>
      </c>
      <c r="M1398" s="1" t="s">
        <v>234</v>
      </c>
      <c r="N1398" s="1" t="s">
        <v>235</v>
      </c>
    </row>
    <row r="1399" spans="1:14" x14ac:dyDescent="0.25">
      <c r="A1399" s="1" t="s">
        <v>1753</v>
      </c>
      <c r="B1399" s="1" t="s">
        <v>1364</v>
      </c>
      <c r="C1399" s="1" t="s">
        <v>80</v>
      </c>
      <c r="D1399" s="2"/>
      <c r="E1399" s="1" t="s">
        <v>207</v>
      </c>
      <c r="F1399" s="1"/>
      <c r="G1399" s="1" t="s">
        <v>35</v>
      </c>
      <c r="H1399" s="2"/>
      <c r="I1399">
        <v>1</v>
      </c>
      <c r="J1399" s="1" t="s">
        <v>234</v>
      </c>
      <c r="K1399" s="1" t="s">
        <v>879</v>
      </c>
      <c r="M1399" s="1" t="s">
        <v>234</v>
      </c>
      <c r="N1399" s="1" t="s">
        <v>235</v>
      </c>
    </row>
    <row r="1400" spans="1:14" x14ac:dyDescent="0.25">
      <c r="A1400" s="1" t="s">
        <v>1754</v>
      </c>
      <c r="B1400" s="1" t="s">
        <v>1364</v>
      </c>
      <c r="C1400" s="1" t="s">
        <v>80</v>
      </c>
      <c r="D1400" s="2"/>
      <c r="E1400" s="1" t="s">
        <v>207</v>
      </c>
      <c r="F1400" s="1"/>
      <c r="G1400" s="1" t="s">
        <v>35</v>
      </c>
      <c r="H1400" s="2"/>
      <c r="I1400">
        <v>1</v>
      </c>
      <c r="J1400" s="1" t="s">
        <v>234</v>
      </c>
      <c r="K1400" s="1" t="s">
        <v>879</v>
      </c>
      <c r="M1400" s="1" t="s">
        <v>234</v>
      </c>
      <c r="N1400" s="1" t="s">
        <v>235</v>
      </c>
    </row>
    <row r="1401" spans="1:14" x14ac:dyDescent="0.25">
      <c r="A1401" s="1" t="s">
        <v>1755</v>
      </c>
      <c r="B1401" s="1" t="s">
        <v>1364</v>
      </c>
      <c r="C1401" s="1" t="s">
        <v>80</v>
      </c>
      <c r="D1401" s="2"/>
      <c r="E1401" s="1" t="s">
        <v>207</v>
      </c>
      <c r="F1401" s="1"/>
      <c r="G1401" s="1" t="s">
        <v>35</v>
      </c>
      <c r="H1401" s="2"/>
      <c r="I1401">
        <v>1</v>
      </c>
      <c r="J1401" s="1" t="s">
        <v>234</v>
      </c>
      <c r="K1401" s="1" t="s">
        <v>879</v>
      </c>
      <c r="M1401" s="1" t="s">
        <v>234</v>
      </c>
      <c r="N1401" s="1" t="s">
        <v>235</v>
      </c>
    </row>
    <row r="1402" spans="1:14" x14ac:dyDescent="0.25">
      <c r="A1402" s="1" t="s">
        <v>1756</v>
      </c>
      <c r="B1402" s="1" t="s">
        <v>1364</v>
      </c>
      <c r="C1402" s="1" t="s">
        <v>80</v>
      </c>
      <c r="D1402" s="2"/>
      <c r="E1402" s="1" t="s">
        <v>207</v>
      </c>
      <c r="F1402" s="1"/>
      <c r="G1402" s="1" t="s">
        <v>35</v>
      </c>
      <c r="H1402" s="2"/>
      <c r="I1402">
        <v>1</v>
      </c>
      <c r="J1402" s="1" t="s">
        <v>234</v>
      </c>
      <c r="K1402" s="1" t="s">
        <v>879</v>
      </c>
      <c r="M1402" s="1" t="s">
        <v>234</v>
      </c>
      <c r="N1402" s="1" t="s">
        <v>235</v>
      </c>
    </row>
    <row r="1403" spans="1:14" x14ac:dyDescent="0.25">
      <c r="A1403" s="1" t="s">
        <v>1757</v>
      </c>
      <c r="B1403" s="1" t="s">
        <v>1364</v>
      </c>
      <c r="C1403" s="1" t="s">
        <v>80</v>
      </c>
      <c r="D1403" s="2"/>
      <c r="E1403" s="1" t="s">
        <v>207</v>
      </c>
      <c r="F1403" s="1"/>
      <c r="G1403" s="1" t="s">
        <v>35</v>
      </c>
      <c r="H1403" s="2"/>
      <c r="I1403">
        <v>1</v>
      </c>
      <c r="J1403" s="1" t="s">
        <v>234</v>
      </c>
      <c r="K1403" s="1" t="s">
        <v>879</v>
      </c>
      <c r="M1403" s="1" t="s">
        <v>234</v>
      </c>
      <c r="N1403" s="1" t="s">
        <v>235</v>
      </c>
    </row>
    <row r="1404" spans="1:14" x14ac:dyDescent="0.25">
      <c r="A1404" s="1" t="s">
        <v>1758</v>
      </c>
      <c r="B1404" s="1" t="s">
        <v>1364</v>
      </c>
      <c r="C1404" s="1" t="s">
        <v>80</v>
      </c>
      <c r="D1404" s="2"/>
      <c r="E1404" s="1" t="s">
        <v>207</v>
      </c>
      <c r="F1404" s="1"/>
      <c r="G1404" s="1" t="s">
        <v>35</v>
      </c>
      <c r="H1404" s="2"/>
      <c r="I1404">
        <v>1</v>
      </c>
      <c r="J1404" s="1" t="s">
        <v>234</v>
      </c>
      <c r="K1404" s="1" t="s">
        <v>879</v>
      </c>
      <c r="M1404" s="1" t="s">
        <v>234</v>
      </c>
      <c r="N1404" s="1" t="s">
        <v>235</v>
      </c>
    </row>
    <row r="1405" spans="1:14" x14ac:dyDescent="0.25">
      <c r="A1405" s="1" t="s">
        <v>1759</v>
      </c>
      <c r="B1405" s="1" t="s">
        <v>1364</v>
      </c>
      <c r="C1405" s="1" t="s">
        <v>80</v>
      </c>
      <c r="D1405" s="2"/>
      <c r="E1405" s="1" t="s">
        <v>207</v>
      </c>
      <c r="F1405" s="1"/>
      <c r="G1405" s="1" t="s">
        <v>35</v>
      </c>
      <c r="H1405" s="2"/>
      <c r="I1405">
        <v>1</v>
      </c>
      <c r="J1405" s="1" t="s">
        <v>234</v>
      </c>
      <c r="K1405" s="1" t="s">
        <v>879</v>
      </c>
      <c r="M1405" s="1" t="s">
        <v>234</v>
      </c>
      <c r="N1405" s="1" t="s">
        <v>235</v>
      </c>
    </row>
    <row r="1406" spans="1:14" x14ac:dyDescent="0.25">
      <c r="A1406" s="1" t="s">
        <v>1760</v>
      </c>
      <c r="B1406" s="1" t="s">
        <v>1364</v>
      </c>
      <c r="C1406" s="1" t="s">
        <v>80</v>
      </c>
      <c r="D1406" s="2"/>
      <c r="E1406" s="1" t="s">
        <v>207</v>
      </c>
      <c r="F1406" s="1"/>
      <c r="G1406" s="1" t="s">
        <v>35</v>
      </c>
      <c r="H1406" s="2"/>
      <c r="I1406">
        <v>1</v>
      </c>
      <c r="J1406" s="1" t="s">
        <v>234</v>
      </c>
      <c r="K1406" s="1" t="s">
        <v>879</v>
      </c>
      <c r="M1406" s="1" t="s">
        <v>234</v>
      </c>
      <c r="N1406" s="1" t="s">
        <v>235</v>
      </c>
    </row>
    <row r="1407" spans="1:14" x14ac:dyDescent="0.25">
      <c r="A1407" s="1" t="s">
        <v>1761</v>
      </c>
      <c r="B1407" s="1" t="s">
        <v>1364</v>
      </c>
      <c r="C1407" s="1" t="s">
        <v>80</v>
      </c>
      <c r="D1407" s="2"/>
      <c r="E1407" s="1" t="s">
        <v>207</v>
      </c>
      <c r="F1407" s="1"/>
      <c r="G1407" s="1" t="s">
        <v>35</v>
      </c>
      <c r="H1407" s="2"/>
      <c r="I1407">
        <v>1</v>
      </c>
      <c r="J1407" s="1" t="s">
        <v>234</v>
      </c>
      <c r="K1407" s="1" t="s">
        <v>879</v>
      </c>
      <c r="M1407" s="1" t="s">
        <v>234</v>
      </c>
      <c r="N1407" s="1" t="s">
        <v>235</v>
      </c>
    </row>
    <row r="1408" spans="1:14" x14ac:dyDescent="0.25">
      <c r="A1408" s="1" t="s">
        <v>1762</v>
      </c>
      <c r="B1408" s="1" t="s">
        <v>1364</v>
      </c>
      <c r="C1408" s="1" t="s">
        <v>80</v>
      </c>
      <c r="D1408" s="2"/>
      <c r="E1408" s="1" t="s">
        <v>207</v>
      </c>
      <c r="F1408" s="1"/>
      <c r="G1408" s="1" t="s">
        <v>35</v>
      </c>
      <c r="H1408" s="2"/>
      <c r="I1408">
        <v>1</v>
      </c>
      <c r="J1408" s="1" t="s">
        <v>234</v>
      </c>
      <c r="K1408" s="1" t="s">
        <v>879</v>
      </c>
      <c r="M1408" s="1" t="s">
        <v>234</v>
      </c>
      <c r="N1408" s="1" t="s">
        <v>235</v>
      </c>
    </row>
    <row r="1409" spans="1:14" x14ac:dyDescent="0.25">
      <c r="A1409" s="1" t="s">
        <v>1763</v>
      </c>
      <c r="B1409" s="1" t="s">
        <v>1364</v>
      </c>
      <c r="C1409" s="1" t="s">
        <v>80</v>
      </c>
      <c r="D1409" s="2"/>
      <c r="E1409" s="1" t="s">
        <v>207</v>
      </c>
      <c r="F1409" s="1"/>
      <c r="G1409" s="1" t="s">
        <v>35</v>
      </c>
      <c r="H1409" s="2"/>
      <c r="I1409">
        <v>1</v>
      </c>
      <c r="J1409" s="1" t="s">
        <v>234</v>
      </c>
      <c r="K1409" s="1" t="s">
        <v>879</v>
      </c>
      <c r="M1409" s="1" t="s">
        <v>234</v>
      </c>
      <c r="N1409" s="1" t="s">
        <v>235</v>
      </c>
    </row>
    <row r="1410" spans="1:14" x14ac:dyDescent="0.25">
      <c r="A1410" s="1" t="s">
        <v>1764</v>
      </c>
      <c r="B1410" s="1" t="s">
        <v>1364</v>
      </c>
      <c r="C1410" s="1" t="s">
        <v>80</v>
      </c>
      <c r="D1410" s="2"/>
      <c r="E1410" s="1" t="s">
        <v>207</v>
      </c>
      <c r="F1410" s="1"/>
      <c r="G1410" s="1" t="s">
        <v>35</v>
      </c>
      <c r="H1410" s="2"/>
      <c r="I1410">
        <v>1</v>
      </c>
      <c r="J1410" s="1" t="s">
        <v>234</v>
      </c>
      <c r="K1410" s="1" t="s">
        <v>879</v>
      </c>
      <c r="M1410" s="1" t="s">
        <v>234</v>
      </c>
      <c r="N1410" s="1" t="s">
        <v>235</v>
      </c>
    </row>
    <row r="1411" spans="1:14" x14ac:dyDescent="0.25">
      <c r="A1411" s="1" t="s">
        <v>1765</v>
      </c>
      <c r="B1411" s="1" t="s">
        <v>1364</v>
      </c>
      <c r="C1411" s="1" t="s">
        <v>80</v>
      </c>
      <c r="D1411" s="2"/>
      <c r="E1411" s="1" t="s">
        <v>207</v>
      </c>
      <c r="F1411" s="1"/>
      <c r="G1411" s="1" t="s">
        <v>35</v>
      </c>
      <c r="H1411" s="2"/>
      <c r="I1411">
        <v>1</v>
      </c>
      <c r="J1411" s="1" t="s">
        <v>234</v>
      </c>
      <c r="K1411" s="1" t="s">
        <v>879</v>
      </c>
      <c r="M1411" s="1" t="s">
        <v>234</v>
      </c>
      <c r="N1411" s="1" t="s">
        <v>235</v>
      </c>
    </row>
    <row r="1412" spans="1:14" x14ac:dyDescent="0.25">
      <c r="A1412" s="1" t="s">
        <v>1766</v>
      </c>
      <c r="B1412" s="1" t="s">
        <v>1364</v>
      </c>
      <c r="C1412" s="1" t="s">
        <v>80</v>
      </c>
      <c r="D1412" s="2"/>
      <c r="E1412" s="1" t="s">
        <v>207</v>
      </c>
      <c r="F1412" s="1"/>
      <c r="G1412" s="1" t="s">
        <v>35</v>
      </c>
      <c r="H1412" s="2"/>
      <c r="I1412">
        <v>1</v>
      </c>
      <c r="J1412" s="1" t="s">
        <v>234</v>
      </c>
      <c r="K1412" s="1" t="s">
        <v>879</v>
      </c>
      <c r="M1412" s="1" t="s">
        <v>234</v>
      </c>
      <c r="N1412" s="1" t="s">
        <v>235</v>
      </c>
    </row>
    <row r="1413" spans="1:14" x14ac:dyDescent="0.25">
      <c r="A1413" s="1" t="s">
        <v>1767</v>
      </c>
      <c r="B1413" s="1" t="s">
        <v>1364</v>
      </c>
      <c r="C1413" s="1" t="s">
        <v>80</v>
      </c>
      <c r="D1413" s="2"/>
      <c r="E1413" s="1" t="s">
        <v>207</v>
      </c>
      <c r="F1413" s="1"/>
      <c r="G1413" s="1" t="s">
        <v>35</v>
      </c>
      <c r="H1413" s="2"/>
      <c r="I1413">
        <v>1</v>
      </c>
      <c r="J1413" s="1" t="s">
        <v>234</v>
      </c>
      <c r="K1413" s="1" t="s">
        <v>879</v>
      </c>
      <c r="M1413" s="1" t="s">
        <v>234</v>
      </c>
      <c r="N1413" s="1" t="s">
        <v>235</v>
      </c>
    </row>
    <row r="1414" spans="1:14" x14ac:dyDescent="0.25">
      <c r="A1414" s="1" t="s">
        <v>1768</v>
      </c>
      <c r="B1414" s="1" t="s">
        <v>1364</v>
      </c>
      <c r="C1414" s="1" t="s">
        <v>80</v>
      </c>
      <c r="D1414" s="2"/>
      <c r="E1414" s="1" t="s">
        <v>207</v>
      </c>
      <c r="F1414" s="1"/>
      <c r="G1414" s="1" t="s">
        <v>35</v>
      </c>
      <c r="H1414" s="2"/>
      <c r="I1414">
        <v>1</v>
      </c>
      <c r="J1414" s="1" t="s">
        <v>234</v>
      </c>
      <c r="K1414" s="1" t="s">
        <v>879</v>
      </c>
      <c r="M1414" s="1" t="s">
        <v>234</v>
      </c>
      <c r="N1414" s="1" t="s">
        <v>235</v>
      </c>
    </row>
    <row r="1415" spans="1:14" x14ac:dyDescent="0.25">
      <c r="A1415" s="1" t="s">
        <v>1769</v>
      </c>
      <c r="B1415" s="1" t="s">
        <v>1364</v>
      </c>
      <c r="C1415" s="1" t="s">
        <v>80</v>
      </c>
      <c r="D1415" s="2"/>
      <c r="E1415" s="1" t="s">
        <v>207</v>
      </c>
      <c r="F1415" s="1"/>
      <c r="G1415" s="1" t="s">
        <v>35</v>
      </c>
      <c r="H1415" s="2"/>
      <c r="I1415">
        <v>1</v>
      </c>
      <c r="J1415" s="1" t="s">
        <v>234</v>
      </c>
      <c r="K1415" s="1" t="s">
        <v>879</v>
      </c>
      <c r="M1415" s="1" t="s">
        <v>234</v>
      </c>
      <c r="N1415" s="1" t="s">
        <v>235</v>
      </c>
    </row>
    <row r="1416" spans="1:14" x14ac:dyDescent="0.25">
      <c r="A1416" s="1" t="s">
        <v>1770</v>
      </c>
      <c r="B1416" s="1" t="s">
        <v>1364</v>
      </c>
      <c r="C1416" s="1" t="s">
        <v>80</v>
      </c>
      <c r="D1416" s="2"/>
      <c r="E1416" s="1" t="s">
        <v>207</v>
      </c>
      <c r="F1416" s="1"/>
      <c r="G1416" s="1" t="s">
        <v>35</v>
      </c>
      <c r="H1416" s="2"/>
      <c r="I1416">
        <v>1</v>
      </c>
      <c r="J1416" s="1" t="s">
        <v>234</v>
      </c>
      <c r="K1416" s="1" t="s">
        <v>879</v>
      </c>
      <c r="M1416" s="1" t="s">
        <v>234</v>
      </c>
      <c r="N1416" s="1" t="s">
        <v>235</v>
      </c>
    </row>
    <row r="1417" spans="1:14" x14ac:dyDescent="0.25">
      <c r="A1417" s="1" t="s">
        <v>1771</v>
      </c>
      <c r="B1417" s="1" t="s">
        <v>1364</v>
      </c>
      <c r="C1417" s="1" t="s">
        <v>80</v>
      </c>
      <c r="D1417" s="2"/>
      <c r="E1417" s="1" t="s">
        <v>207</v>
      </c>
      <c r="F1417" s="1"/>
      <c r="G1417" s="1" t="s">
        <v>35</v>
      </c>
      <c r="H1417" s="2"/>
      <c r="I1417">
        <v>1</v>
      </c>
      <c r="J1417" s="1" t="s">
        <v>234</v>
      </c>
      <c r="K1417" s="1" t="s">
        <v>879</v>
      </c>
      <c r="M1417" s="1" t="s">
        <v>234</v>
      </c>
      <c r="N1417" s="1" t="s">
        <v>235</v>
      </c>
    </row>
    <row r="1418" spans="1:14" x14ac:dyDescent="0.25">
      <c r="A1418" s="1" t="s">
        <v>1772</v>
      </c>
      <c r="B1418" s="1" t="s">
        <v>1364</v>
      </c>
      <c r="C1418" s="1" t="s">
        <v>80</v>
      </c>
      <c r="D1418" s="2"/>
      <c r="E1418" s="1" t="s">
        <v>207</v>
      </c>
      <c r="F1418" s="1"/>
      <c r="G1418" s="1" t="s">
        <v>35</v>
      </c>
      <c r="H1418" s="2"/>
      <c r="I1418">
        <v>1</v>
      </c>
      <c r="J1418" s="1" t="s">
        <v>234</v>
      </c>
      <c r="K1418" s="1" t="s">
        <v>879</v>
      </c>
      <c r="M1418" s="1" t="s">
        <v>234</v>
      </c>
      <c r="N1418" s="1" t="s">
        <v>235</v>
      </c>
    </row>
    <row r="1419" spans="1:14" x14ac:dyDescent="0.25">
      <c r="A1419" s="1" t="s">
        <v>1773</v>
      </c>
      <c r="B1419" s="1" t="s">
        <v>1364</v>
      </c>
      <c r="C1419" s="1" t="s">
        <v>80</v>
      </c>
      <c r="D1419" s="2"/>
      <c r="E1419" s="1" t="s">
        <v>207</v>
      </c>
      <c r="F1419" s="1"/>
      <c r="G1419" s="1" t="s">
        <v>35</v>
      </c>
      <c r="H1419" s="2"/>
      <c r="I1419">
        <v>1</v>
      </c>
      <c r="J1419" s="1" t="s">
        <v>234</v>
      </c>
      <c r="K1419" s="1" t="s">
        <v>879</v>
      </c>
      <c r="M1419" s="1" t="s">
        <v>234</v>
      </c>
      <c r="N1419" s="1" t="s">
        <v>235</v>
      </c>
    </row>
    <row r="1420" spans="1:14" x14ac:dyDescent="0.25">
      <c r="A1420" s="1" t="s">
        <v>1774</v>
      </c>
      <c r="B1420" s="1" t="s">
        <v>1364</v>
      </c>
      <c r="C1420" s="1" t="s">
        <v>80</v>
      </c>
      <c r="D1420" s="2"/>
      <c r="E1420" s="1" t="s">
        <v>207</v>
      </c>
      <c r="F1420" s="1"/>
      <c r="G1420" s="1" t="s">
        <v>35</v>
      </c>
      <c r="H1420" s="2"/>
      <c r="I1420">
        <v>1</v>
      </c>
      <c r="J1420" s="1" t="s">
        <v>234</v>
      </c>
      <c r="K1420" s="1" t="s">
        <v>879</v>
      </c>
      <c r="M1420" s="1" t="s">
        <v>234</v>
      </c>
      <c r="N1420" s="1" t="s">
        <v>235</v>
      </c>
    </row>
    <row r="1421" spans="1:14" x14ac:dyDescent="0.25">
      <c r="A1421" s="1" t="s">
        <v>1775</v>
      </c>
      <c r="B1421" s="1" t="s">
        <v>1364</v>
      </c>
      <c r="C1421" s="1" t="s">
        <v>80</v>
      </c>
      <c r="D1421" s="2"/>
      <c r="E1421" s="1" t="s">
        <v>207</v>
      </c>
      <c r="F1421" s="1"/>
      <c r="G1421" s="1" t="s">
        <v>35</v>
      </c>
      <c r="H1421" s="2"/>
      <c r="I1421">
        <v>1</v>
      </c>
      <c r="J1421" s="1" t="s">
        <v>234</v>
      </c>
      <c r="K1421" s="1" t="s">
        <v>879</v>
      </c>
      <c r="M1421" s="1" t="s">
        <v>234</v>
      </c>
      <c r="N1421" s="1" t="s">
        <v>235</v>
      </c>
    </row>
    <row r="1422" spans="1:14" x14ac:dyDescent="0.25">
      <c r="A1422" s="1" t="s">
        <v>1776</v>
      </c>
      <c r="B1422" s="1" t="s">
        <v>1364</v>
      </c>
      <c r="C1422" s="1" t="s">
        <v>80</v>
      </c>
      <c r="D1422" s="2"/>
      <c r="E1422" s="1" t="s">
        <v>207</v>
      </c>
      <c r="F1422" s="1"/>
      <c r="G1422" s="1" t="s">
        <v>35</v>
      </c>
      <c r="H1422" s="2"/>
      <c r="I1422">
        <v>1</v>
      </c>
      <c r="J1422" s="1" t="s">
        <v>234</v>
      </c>
      <c r="K1422" s="1" t="s">
        <v>879</v>
      </c>
      <c r="M1422" s="1" t="s">
        <v>234</v>
      </c>
      <c r="N1422" s="1" t="s">
        <v>235</v>
      </c>
    </row>
    <row r="1423" spans="1:14" x14ac:dyDescent="0.25">
      <c r="A1423" s="1" t="s">
        <v>1777</v>
      </c>
      <c r="B1423" s="1" t="s">
        <v>1364</v>
      </c>
      <c r="C1423" s="1" t="s">
        <v>80</v>
      </c>
      <c r="D1423" s="2"/>
      <c r="E1423" s="1" t="s">
        <v>207</v>
      </c>
      <c r="F1423" s="1"/>
      <c r="G1423" s="1" t="s">
        <v>35</v>
      </c>
      <c r="H1423" s="2"/>
      <c r="I1423">
        <v>1</v>
      </c>
      <c r="J1423" s="1" t="s">
        <v>234</v>
      </c>
      <c r="K1423" s="1" t="s">
        <v>879</v>
      </c>
      <c r="M1423" s="1" t="s">
        <v>234</v>
      </c>
      <c r="N1423" s="1" t="s">
        <v>235</v>
      </c>
    </row>
    <row r="1424" spans="1:14" x14ac:dyDescent="0.25">
      <c r="A1424" s="1" t="s">
        <v>1778</v>
      </c>
      <c r="B1424" s="1" t="s">
        <v>1364</v>
      </c>
      <c r="C1424" s="1" t="s">
        <v>80</v>
      </c>
      <c r="D1424" s="2"/>
      <c r="E1424" s="1" t="s">
        <v>207</v>
      </c>
      <c r="F1424" s="1"/>
      <c r="G1424" s="1" t="s">
        <v>35</v>
      </c>
      <c r="H1424" s="2"/>
      <c r="I1424">
        <v>1</v>
      </c>
      <c r="J1424" s="1" t="s">
        <v>234</v>
      </c>
      <c r="K1424" s="1" t="s">
        <v>879</v>
      </c>
      <c r="M1424" s="1" t="s">
        <v>234</v>
      </c>
      <c r="N1424" s="1" t="s">
        <v>235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52"/>
  <dimension ref="A1:AD1205"/>
  <sheetViews>
    <sheetView workbookViewId="0">
      <selection activeCell="B1" sqref="B1:AD1205"/>
    </sheetView>
  </sheetViews>
  <sheetFormatPr defaultRowHeight="15" x14ac:dyDescent="0.25"/>
  <cols>
    <col min="2" max="2" width="15.140625" bestFit="1" customWidth="1"/>
    <col min="3" max="3" width="8.5703125" bestFit="1" customWidth="1"/>
    <col min="4" max="4" width="10.5703125" bestFit="1" customWidth="1"/>
    <col min="5" max="5" width="28.5703125" bestFit="1" customWidth="1"/>
    <col min="6" max="6" width="8.7109375" bestFit="1" customWidth="1"/>
    <col min="7" max="7" width="8.85546875" bestFit="1" customWidth="1"/>
    <col min="8" max="8" width="8.7109375" bestFit="1" customWidth="1"/>
    <col min="9" max="9" width="7.85546875" bestFit="1" customWidth="1"/>
    <col min="10" max="10" width="8" bestFit="1" customWidth="1"/>
    <col min="11" max="11" width="6.5703125" bestFit="1" customWidth="1"/>
    <col min="12" max="12" width="9.85546875" bestFit="1" customWidth="1"/>
    <col min="13" max="13" width="8.85546875" bestFit="1" customWidth="1"/>
    <col min="14" max="14" width="11.85546875" bestFit="1" customWidth="1"/>
    <col min="16" max="16" width="8.7109375" bestFit="1" customWidth="1"/>
    <col min="17" max="17" width="10.42578125" bestFit="1" customWidth="1"/>
    <col min="18" max="18" width="5.85546875" bestFit="1" customWidth="1"/>
    <col min="19" max="19" width="6.85546875" bestFit="1" customWidth="1"/>
    <col min="20" max="21" width="5.42578125" bestFit="1" customWidth="1"/>
    <col min="22" max="22" width="8.85546875" bestFit="1" customWidth="1"/>
    <col min="23" max="23" width="9.28515625" bestFit="1" customWidth="1"/>
    <col min="24" max="24" width="8.28515625" bestFit="1" customWidth="1"/>
    <col min="25" max="25" width="12.5703125" bestFit="1" customWidth="1"/>
    <col min="26" max="26" width="13.42578125" bestFit="1" customWidth="1"/>
    <col min="27" max="28" width="11.85546875" bestFit="1" customWidth="1"/>
    <col min="29" max="29" width="14" bestFit="1" customWidth="1"/>
    <col min="30" max="30" width="18.5703125" bestFit="1" customWidth="1"/>
  </cols>
  <sheetData>
    <row r="1" spans="1:30" x14ac:dyDescent="0.25">
      <c r="A1" t="s">
        <v>2066</v>
      </c>
      <c r="B1" t="s">
        <v>5</v>
      </c>
      <c r="C1" t="s">
        <v>19</v>
      </c>
      <c r="D1" t="s">
        <v>14</v>
      </c>
      <c r="E1" t="s">
        <v>61</v>
      </c>
      <c r="F1" t="s">
        <v>0</v>
      </c>
      <c r="G1" t="s">
        <v>69</v>
      </c>
      <c r="H1" t="s">
        <v>270</v>
      </c>
      <c r="I1" t="s">
        <v>1</v>
      </c>
      <c r="J1" t="s">
        <v>272</v>
      </c>
      <c r="K1" t="s">
        <v>273</v>
      </c>
      <c r="L1" t="s">
        <v>269</v>
      </c>
      <c r="M1" t="s">
        <v>271</v>
      </c>
      <c r="N1" t="s">
        <v>202</v>
      </c>
      <c r="O1" t="s">
        <v>46</v>
      </c>
      <c r="P1" t="s">
        <v>89</v>
      </c>
      <c r="Q1" t="s">
        <v>196</v>
      </c>
      <c r="R1" t="s">
        <v>195</v>
      </c>
      <c r="S1" t="s">
        <v>197</v>
      </c>
      <c r="T1" t="s">
        <v>198</v>
      </c>
      <c r="U1" t="s">
        <v>199</v>
      </c>
      <c r="V1" t="s">
        <v>68</v>
      </c>
      <c r="W1" t="s">
        <v>70</v>
      </c>
      <c r="X1" t="s">
        <v>2</v>
      </c>
      <c r="Y1" t="s">
        <v>71</v>
      </c>
      <c r="Z1" t="s">
        <v>1101</v>
      </c>
      <c r="AA1" t="s">
        <v>200</v>
      </c>
      <c r="AB1" t="s">
        <v>201</v>
      </c>
      <c r="AC1" t="s">
        <v>203</v>
      </c>
      <c r="AD1" t="s">
        <v>204</v>
      </c>
    </row>
    <row r="2" spans="1:30" x14ac:dyDescent="0.25">
      <c r="B2" s="1" t="s">
        <v>243</v>
      </c>
      <c r="C2">
        <v>1</v>
      </c>
      <c r="D2" s="1" t="s">
        <v>80</v>
      </c>
      <c r="E2" t="s">
        <v>152</v>
      </c>
      <c r="F2" s="1" t="s">
        <v>314</v>
      </c>
      <c r="O2" s="1" t="s">
        <v>315</v>
      </c>
      <c r="P2" t="s">
        <v>108</v>
      </c>
      <c r="Q2" s="1" t="s">
        <v>244</v>
      </c>
      <c r="R2">
        <v>1</v>
      </c>
      <c r="S2">
        <v>50</v>
      </c>
      <c r="T2">
        <v>31</v>
      </c>
      <c r="U2">
        <v>28</v>
      </c>
      <c r="AA2">
        <v>257.00502881800003</v>
      </c>
      <c r="AB2">
        <v>378508.14326400001</v>
      </c>
      <c r="AC2" s="1" t="s">
        <v>245</v>
      </c>
      <c r="AD2" t="s">
        <v>246</v>
      </c>
    </row>
    <row r="3" spans="1:30" x14ac:dyDescent="0.25">
      <c r="B3" s="1" t="s">
        <v>247</v>
      </c>
      <c r="C3">
        <v>2</v>
      </c>
      <c r="D3" s="1" t="s">
        <v>80</v>
      </c>
      <c r="E3" t="s">
        <v>152</v>
      </c>
      <c r="F3" s="1" t="s">
        <v>314</v>
      </c>
      <c r="O3" s="1" t="s">
        <v>316</v>
      </c>
      <c r="P3" t="s">
        <v>108</v>
      </c>
      <c r="Q3" s="1" t="s">
        <v>244</v>
      </c>
      <c r="R3">
        <v>2</v>
      </c>
      <c r="S3">
        <v>50</v>
      </c>
      <c r="T3">
        <v>32</v>
      </c>
      <c r="U3">
        <v>27</v>
      </c>
      <c r="AA3">
        <v>248.99101351300001</v>
      </c>
      <c r="AB3">
        <v>361852.47819699999</v>
      </c>
      <c r="AC3" s="1" t="s">
        <v>245</v>
      </c>
      <c r="AD3" t="s">
        <v>246</v>
      </c>
    </row>
    <row r="4" spans="1:30" x14ac:dyDescent="0.25">
      <c r="B4" s="1" t="s">
        <v>248</v>
      </c>
      <c r="C4">
        <v>3</v>
      </c>
      <c r="D4" s="1" t="s">
        <v>80</v>
      </c>
      <c r="E4" t="s">
        <v>152</v>
      </c>
      <c r="F4" s="1" t="s">
        <v>314</v>
      </c>
      <c r="O4" s="1" t="s">
        <v>316</v>
      </c>
      <c r="P4" t="s">
        <v>108</v>
      </c>
      <c r="Q4" s="1" t="s">
        <v>244</v>
      </c>
      <c r="R4">
        <v>1</v>
      </c>
      <c r="S4">
        <v>50</v>
      </c>
      <c r="T4">
        <v>32</v>
      </c>
      <c r="U4">
        <v>27</v>
      </c>
      <c r="AA4">
        <v>248.991148184</v>
      </c>
      <c r="AB4">
        <v>361852.69532</v>
      </c>
      <c r="AC4" s="1" t="s">
        <v>245</v>
      </c>
      <c r="AD4" t="s">
        <v>246</v>
      </c>
    </row>
    <row r="5" spans="1:30" x14ac:dyDescent="0.25">
      <c r="B5" s="1" t="s">
        <v>249</v>
      </c>
      <c r="C5">
        <v>4</v>
      </c>
      <c r="D5" s="1" t="s">
        <v>80</v>
      </c>
      <c r="E5" t="s">
        <v>152</v>
      </c>
      <c r="F5" s="1" t="s">
        <v>314</v>
      </c>
      <c r="O5" s="1" t="s">
        <v>317</v>
      </c>
      <c r="P5" t="s">
        <v>108</v>
      </c>
      <c r="Q5" s="1" t="s">
        <v>244</v>
      </c>
      <c r="R5">
        <v>2</v>
      </c>
      <c r="S5">
        <v>50</v>
      </c>
      <c r="T5">
        <v>32</v>
      </c>
      <c r="U5">
        <v>27</v>
      </c>
      <c r="AA5">
        <v>249.848910335</v>
      </c>
      <c r="AB5">
        <v>363120.84054499998</v>
      </c>
      <c r="AC5" s="1" t="s">
        <v>245</v>
      </c>
      <c r="AD5" t="s">
        <v>246</v>
      </c>
    </row>
    <row r="6" spans="1:30" x14ac:dyDescent="0.25">
      <c r="B6" s="1" t="s">
        <v>250</v>
      </c>
      <c r="C6">
        <v>5</v>
      </c>
      <c r="D6" s="1" t="s">
        <v>80</v>
      </c>
      <c r="E6" t="s">
        <v>152</v>
      </c>
      <c r="F6" s="1" t="s">
        <v>314</v>
      </c>
      <c r="O6" s="1" t="s">
        <v>317</v>
      </c>
      <c r="P6" t="s">
        <v>108</v>
      </c>
      <c r="Q6" s="1" t="s">
        <v>244</v>
      </c>
      <c r="R6">
        <v>2</v>
      </c>
      <c r="S6">
        <v>50</v>
      </c>
      <c r="T6">
        <v>32</v>
      </c>
      <c r="U6">
        <v>27</v>
      </c>
      <c r="AA6">
        <v>249.84894065099999</v>
      </c>
      <c r="AB6">
        <v>363120.88839099999</v>
      </c>
      <c r="AC6" s="1" t="s">
        <v>245</v>
      </c>
      <c r="AD6" t="s">
        <v>246</v>
      </c>
    </row>
    <row r="7" spans="1:30" x14ac:dyDescent="0.25">
      <c r="B7" s="1" t="s">
        <v>251</v>
      </c>
      <c r="C7">
        <v>6</v>
      </c>
      <c r="D7" s="1" t="s">
        <v>80</v>
      </c>
      <c r="E7" t="s">
        <v>152</v>
      </c>
      <c r="F7" s="1" t="s">
        <v>318</v>
      </c>
      <c r="O7" s="1" t="s">
        <v>319</v>
      </c>
      <c r="P7" t="s">
        <v>108</v>
      </c>
      <c r="Q7" s="1" t="s">
        <v>244</v>
      </c>
      <c r="R7">
        <v>1</v>
      </c>
      <c r="S7">
        <v>50</v>
      </c>
      <c r="T7">
        <v>32</v>
      </c>
      <c r="U7">
        <v>28</v>
      </c>
      <c r="AA7">
        <v>317.005005541</v>
      </c>
      <c r="AB7">
        <v>474004.09244799998</v>
      </c>
      <c r="AC7" s="1" t="s">
        <v>245</v>
      </c>
      <c r="AD7" t="s">
        <v>246</v>
      </c>
    </row>
    <row r="8" spans="1:30" x14ac:dyDescent="0.25">
      <c r="B8" s="1" t="s">
        <v>252</v>
      </c>
      <c r="C8">
        <v>7</v>
      </c>
      <c r="D8" s="1" t="s">
        <v>80</v>
      </c>
      <c r="E8" t="s">
        <v>152</v>
      </c>
      <c r="F8" s="1" t="s">
        <v>318</v>
      </c>
      <c r="O8" s="1" t="s">
        <v>320</v>
      </c>
      <c r="P8" t="s">
        <v>108</v>
      </c>
      <c r="Q8" s="1" t="s">
        <v>244</v>
      </c>
      <c r="R8">
        <v>1</v>
      </c>
      <c r="S8">
        <v>50</v>
      </c>
      <c r="T8">
        <v>33</v>
      </c>
      <c r="U8">
        <v>27</v>
      </c>
      <c r="AA8">
        <v>308.99097399599998</v>
      </c>
      <c r="AB8">
        <v>458242.43232000002</v>
      </c>
      <c r="AC8" s="1" t="s">
        <v>245</v>
      </c>
      <c r="AD8" t="s">
        <v>246</v>
      </c>
    </row>
    <row r="9" spans="1:30" x14ac:dyDescent="0.25">
      <c r="B9" s="1" t="s">
        <v>253</v>
      </c>
      <c r="C9">
        <v>8</v>
      </c>
      <c r="D9" s="1" t="s">
        <v>80</v>
      </c>
      <c r="E9" t="s">
        <v>152</v>
      </c>
      <c r="F9" s="1" t="s">
        <v>318</v>
      </c>
      <c r="O9" s="1" t="s">
        <v>320</v>
      </c>
      <c r="P9" t="s">
        <v>108</v>
      </c>
      <c r="Q9" s="1" t="s">
        <v>244</v>
      </c>
      <c r="R9">
        <v>2</v>
      </c>
      <c r="S9">
        <v>50</v>
      </c>
      <c r="T9">
        <v>33</v>
      </c>
      <c r="U9">
        <v>27</v>
      </c>
      <c r="AA9">
        <v>308.99119506099998</v>
      </c>
      <c r="AB9">
        <v>458242.78810300003</v>
      </c>
      <c r="AC9" s="1" t="s">
        <v>245</v>
      </c>
      <c r="AD9" t="s">
        <v>246</v>
      </c>
    </row>
    <row r="10" spans="1:30" x14ac:dyDescent="0.25">
      <c r="B10" s="1" t="s">
        <v>254</v>
      </c>
      <c r="C10">
        <v>9</v>
      </c>
      <c r="D10" s="1" t="s">
        <v>80</v>
      </c>
      <c r="E10" t="s">
        <v>152</v>
      </c>
      <c r="F10" s="1" t="s">
        <v>318</v>
      </c>
      <c r="O10" s="1" t="s">
        <v>321</v>
      </c>
      <c r="P10" t="s">
        <v>108</v>
      </c>
      <c r="Q10" s="1" t="s">
        <v>244</v>
      </c>
      <c r="R10">
        <v>2</v>
      </c>
      <c r="S10">
        <v>50</v>
      </c>
      <c r="T10">
        <v>33</v>
      </c>
      <c r="U10">
        <v>27</v>
      </c>
      <c r="AA10">
        <v>309.84894635500001</v>
      </c>
      <c r="AB10">
        <v>459618.069701</v>
      </c>
      <c r="AC10" s="1" t="s">
        <v>245</v>
      </c>
      <c r="AD10" t="s">
        <v>246</v>
      </c>
    </row>
    <row r="11" spans="1:30" x14ac:dyDescent="0.25">
      <c r="B11" s="1" t="s">
        <v>255</v>
      </c>
      <c r="C11">
        <v>10</v>
      </c>
      <c r="D11" s="1" t="s">
        <v>80</v>
      </c>
      <c r="E11" t="s">
        <v>152</v>
      </c>
      <c r="F11" s="1" t="s">
        <v>318</v>
      </c>
      <c r="O11" s="1" t="s">
        <v>321</v>
      </c>
      <c r="P11" t="s">
        <v>108</v>
      </c>
      <c r="Q11" s="1" t="s">
        <v>244</v>
      </c>
      <c r="R11">
        <v>2</v>
      </c>
      <c r="S11">
        <v>50</v>
      </c>
      <c r="T11">
        <v>33</v>
      </c>
      <c r="U11">
        <v>27</v>
      </c>
      <c r="AA11">
        <v>309.84900054500002</v>
      </c>
      <c r="AB11">
        <v>459618.15081199998</v>
      </c>
      <c r="AC11" s="1" t="s">
        <v>245</v>
      </c>
      <c r="AD11" t="s">
        <v>246</v>
      </c>
    </row>
    <row r="12" spans="1:30" x14ac:dyDescent="0.25">
      <c r="B12" s="1" t="s">
        <v>256</v>
      </c>
      <c r="C12">
        <v>11</v>
      </c>
      <c r="D12" s="1" t="s">
        <v>80</v>
      </c>
      <c r="E12" t="s">
        <v>152</v>
      </c>
      <c r="F12" s="1" t="s">
        <v>322</v>
      </c>
      <c r="O12" s="1" t="s">
        <v>323</v>
      </c>
      <c r="P12" t="s">
        <v>108</v>
      </c>
      <c r="Q12" s="1" t="s">
        <v>244</v>
      </c>
      <c r="R12">
        <v>2</v>
      </c>
      <c r="S12">
        <v>50</v>
      </c>
      <c r="T12">
        <v>33</v>
      </c>
      <c r="U12">
        <v>26</v>
      </c>
      <c r="AA12">
        <v>308.99417323199998</v>
      </c>
      <c r="AB12">
        <v>458482.37290700001</v>
      </c>
      <c r="AC12" s="1" t="s">
        <v>245</v>
      </c>
      <c r="AD12" t="s">
        <v>246</v>
      </c>
    </row>
    <row r="13" spans="1:30" x14ac:dyDescent="0.25">
      <c r="B13" s="1" t="s">
        <v>257</v>
      </c>
      <c r="C13">
        <v>12</v>
      </c>
      <c r="D13" s="1" t="s">
        <v>80</v>
      </c>
      <c r="E13" t="s">
        <v>152</v>
      </c>
      <c r="F13" s="1" t="s">
        <v>322</v>
      </c>
      <c r="O13" s="1" t="s">
        <v>323</v>
      </c>
      <c r="P13" t="s">
        <v>108</v>
      </c>
      <c r="Q13" s="1" t="s">
        <v>244</v>
      </c>
      <c r="R13">
        <v>2</v>
      </c>
      <c r="S13">
        <v>50</v>
      </c>
      <c r="T13">
        <v>33</v>
      </c>
      <c r="U13">
        <v>26</v>
      </c>
      <c r="AA13">
        <v>308.99418449000001</v>
      </c>
      <c r="AB13">
        <v>458482.39140399999</v>
      </c>
      <c r="AC13" s="1" t="s">
        <v>245</v>
      </c>
      <c r="AD13" t="s">
        <v>246</v>
      </c>
    </row>
    <row r="14" spans="1:30" x14ac:dyDescent="0.25">
      <c r="B14" s="1" t="s">
        <v>258</v>
      </c>
      <c r="C14">
        <v>13</v>
      </c>
      <c r="D14" s="1" t="s">
        <v>80</v>
      </c>
      <c r="E14" t="s">
        <v>152</v>
      </c>
      <c r="F14" s="1" t="s">
        <v>322</v>
      </c>
      <c r="O14" s="1" t="s">
        <v>324</v>
      </c>
      <c r="P14" t="s">
        <v>108</v>
      </c>
      <c r="Q14" s="1" t="s">
        <v>244</v>
      </c>
      <c r="R14">
        <v>2</v>
      </c>
      <c r="S14">
        <v>50</v>
      </c>
      <c r="T14">
        <v>34</v>
      </c>
      <c r="U14">
        <v>27</v>
      </c>
      <c r="AA14">
        <v>495.70073609600001</v>
      </c>
      <c r="AB14">
        <v>748996.02119600005</v>
      </c>
      <c r="AC14" s="1" t="s">
        <v>245</v>
      </c>
      <c r="AD14" t="s">
        <v>246</v>
      </c>
    </row>
    <row r="15" spans="1:30" x14ac:dyDescent="0.25">
      <c r="B15" s="1" t="s">
        <v>259</v>
      </c>
      <c r="C15">
        <v>14</v>
      </c>
      <c r="D15" s="1" t="s">
        <v>80</v>
      </c>
      <c r="E15" t="s">
        <v>152</v>
      </c>
      <c r="F15" s="1" t="s">
        <v>322</v>
      </c>
      <c r="O15" s="1" t="s">
        <v>325</v>
      </c>
      <c r="P15" t="s">
        <v>108</v>
      </c>
      <c r="Q15" s="1" t="s">
        <v>244</v>
      </c>
      <c r="R15">
        <v>1</v>
      </c>
      <c r="S15">
        <v>50</v>
      </c>
      <c r="T15">
        <v>34</v>
      </c>
      <c r="U15">
        <v>28</v>
      </c>
      <c r="AA15">
        <v>317.002073924</v>
      </c>
      <c r="AB15">
        <v>489456.758867</v>
      </c>
      <c r="AC15" s="1" t="s">
        <v>245</v>
      </c>
      <c r="AD15" t="s">
        <v>246</v>
      </c>
    </row>
    <row r="16" spans="1:30" x14ac:dyDescent="0.25">
      <c r="B16" s="1" t="s">
        <v>259</v>
      </c>
      <c r="C16">
        <v>15</v>
      </c>
      <c r="D16" s="1" t="s">
        <v>80</v>
      </c>
      <c r="E16" t="s">
        <v>152</v>
      </c>
      <c r="F16" s="1" t="s">
        <v>322</v>
      </c>
      <c r="O16" s="1" t="s">
        <v>326</v>
      </c>
      <c r="P16" t="s">
        <v>108</v>
      </c>
      <c r="Q16" s="1" t="s">
        <v>244</v>
      </c>
      <c r="R16">
        <v>1</v>
      </c>
      <c r="S16">
        <v>50</v>
      </c>
      <c r="T16">
        <v>34</v>
      </c>
      <c r="U16">
        <v>28</v>
      </c>
      <c r="AA16">
        <v>317.005005541</v>
      </c>
      <c r="AB16">
        <v>489460.85044800001</v>
      </c>
      <c r="AC16" s="1" t="s">
        <v>245</v>
      </c>
      <c r="AD16" t="s">
        <v>246</v>
      </c>
    </row>
    <row r="17" spans="2:30" x14ac:dyDescent="0.25">
      <c r="B17" s="1" t="s">
        <v>260</v>
      </c>
      <c r="C17">
        <v>16</v>
      </c>
      <c r="D17" s="1" t="s">
        <v>80</v>
      </c>
      <c r="E17" t="s">
        <v>152</v>
      </c>
      <c r="F17" s="1" t="s">
        <v>322</v>
      </c>
      <c r="O17" s="1" t="s">
        <v>327</v>
      </c>
      <c r="P17" t="s">
        <v>108</v>
      </c>
      <c r="Q17" s="1" t="s">
        <v>244</v>
      </c>
      <c r="R17">
        <v>2</v>
      </c>
      <c r="S17">
        <v>50</v>
      </c>
      <c r="T17">
        <v>41</v>
      </c>
      <c r="U17">
        <v>24</v>
      </c>
      <c r="AA17">
        <v>293.780283333</v>
      </c>
      <c r="AB17">
        <v>479751.31325399998</v>
      </c>
      <c r="AC17" s="1" t="s">
        <v>245</v>
      </c>
      <c r="AD17" t="s">
        <v>246</v>
      </c>
    </row>
    <row r="18" spans="2:30" x14ac:dyDescent="0.25">
      <c r="B18" s="1" t="s">
        <v>261</v>
      </c>
      <c r="C18">
        <v>17</v>
      </c>
      <c r="D18" s="1" t="s">
        <v>80</v>
      </c>
      <c r="E18" t="s">
        <v>152</v>
      </c>
      <c r="F18" s="1" t="s">
        <v>318</v>
      </c>
      <c r="O18" s="1" t="s">
        <v>328</v>
      </c>
      <c r="P18" t="s">
        <v>108</v>
      </c>
      <c r="Q18" s="1" t="s">
        <v>244</v>
      </c>
      <c r="R18">
        <v>2</v>
      </c>
      <c r="S18">
        <v>50</v>
      </c>
      <c r="T18">
        <v>42</v>
      </c>
      <c r="U18">
        <v>28</v>
      </c>
      <c r="AA18">
        <v>698.87507335099997</v>
      </c>
      <c r="AB18">
        <v>1211538.46251</v>
      </c>
      <c r="AC18" s="1" t="s">
        <v>245</v>
      </c>
      <c r="AD18" t="s">
        <v>246</v>
      </c>
    </row>
    <row r="19" spans="2:30" x14ac:dyDescent="0.25">
      <c r="B19" s="1" t="s">
        <v>262</v>
      </c>
      <c r="C19">
        <v>18</v>
      </c>
      <c r="D19" s="1" t="s">
        <v>80</v>
      </c>
      <c r="E19" t="s">
        <v>152</v>
      </c>
      <c r="F19" s="1" t="s">
        <v>314</v>
      </c>
      <c r="O19" s="1" t="s">
        <v>328</v>
      </c>
      <c r="P19" t="s">
        <v>108</v>
      </c>
      <c r="Q19" s="1" t="s">
        <v>244</v>
      </c>
      <c r="R19">
        <v>2</v>
      </c>
      <c r="S19">
        <v>50</v>
      </c>
      <c r="T19">
        <v>42</v>
      </c>
      <c r="U19">
        <v>28</v>
      </c>
      <c r="AA19">
        <v>698.87507335099997</v>
      </c>
      <c r="AB19">
        <v>1211538.46251</v>
      </c>
      <c r="AC19" s="1" t="s">
        <v>245</v>
      </c>
      <c r="AD19" t="s">
        <v>246</v>
      </c>
    </row>
    <row r="20" spans="2:30" x14ac:dyDescent="0.25">
      <c r="B20" s="1" t="s">
        <v>259</v>
      </c>
      <c r="C20">
        <v>19</v>
      </c>
      <c r="D20" s="1" t="s">
        <v>80</v>
      </c>
      <c r="E20" t="s">
        <v>152</v>
      </c>
      <c r="F20" s="1" t="s">
        <v>322</v>
      </c>
      <c r="O20" s="1" t="s">
        <v>329</v>
      </c>
      <c r="P20" t="s">
        <v>108</v>
      </c>
      <c r="Q20" s="1" t="s">
        <v>244</v>
      </c>
      <c r="R20">
        <v>6</v>
      </c>
      <c r="S20">
        <v>50</v>
      </c>
      <c r="T20">
        <v>42</v>
      </c>
      <c r="U20">
        <v>32</v>
      </c>
      <c r="AA20">
        <v>1404.5642292499999</v>
      </c>
      <c r="AB20">
        <v>2588239.14744</v>
      </c>
      <c r="AC20" s="1" t="s">
        <v>245</v>
      </c>
      <c r="AD20" t="s">
        <v>246</v>
      </c>
    </row>
    <row r="21" spans="2:30" x14ac:dyDescent="0.25">
      <c r="B21" s="1" t="s">
        <v>259</v>
      </c>
      <c r="C21">
        <v>20</v>
      </c>
      <c r="D21" s="1" t="s">
        <v>80</v>
      </c>
      <c r="E21" t="s">
        <v>152</v>
      </c>
      <c r="F21" s="1" t="s">
        <v>322</v>
      </c>
      <c r="O21" s="1" t="s">
        <v>330</v>
      </c>
      <c r="P21" t="s">
        <v>108</v>
      </c>
      <c r="Q21" s="1" t="s">
        <v>244</v>
      </c>
      <c r="R21">
        <v>2</v>
      </c>
      <c r="S21">
        <v>50</v>
      </c>
      <c r="T21">
        <v>42</v>
      </c>
      <c r="U21">
        <v>33</v>
      </c>
      <c r="AA21">
        <v>1069.38916113</v>
      </c>
      <c r="AB21">
        <v>2018269.0138699999</v>
      </c>
      <c r="AC21" s="1" t="s">
        <v>245</v>
      </c>
      <c r="AD21" t="s">
        <v>246</v>
      </c>
    </row>
    <row r="22" spans="2:30" x14ac:dyDescent="0.25">
      <c r="B22" s="1" t="s">
        <v>259</v>
      </c>
      <c r="C22">
        <v>21</v>
      </c>
      <c r="D22" s="1" t="s">
        <v>80</v>
      </c>
      <c r="E22" t="s">
        <v>152</v>
      </c>
      <c r="F22" s="1" t="s">
        <v>322</v>
      </c>
      <c r="O22" s="1" t="s">
        <v>331</v>
      </c>
      <c r="P22" t="s">
        <v>108</v>
      </c>
      <c r="Q22" s="1" t="s">
        <v>244</v>
      </c>
      <c r="R22">
        <v>2</v>
      </c>
      <c r="S22">
        <v>50</v>
      </c>
      <c r="T22">
        <v>42</v>
      </c>
      <c r="U22">
        <v>33</v>
      </c>
      <c r="AA22">
        <v>1068.6446174600001</v>
      </c>
      <c r="AB22">
        <v>2017044.2852099999</v>
      </c>
      <c r="AC22" s="1" t="s">
        <v>245</v>
      </c>
      <c r="AD22" t="s">
        <v>246</v>
      </c>
    </row>
    <row r="23" spans="2:30" x14ac:dyDescent="0.25">
      <c r="B23" s="1" t="s">
        <v>259</v>
      </c>
      <c r="C23">
        <v>22</v>
      </c>
      <c r="D23" s="1" t="s">
        <v>80</v>
      </c>
      <c r="E23" t="s">
        <v>152</v>
      </c>
      <c r="F23" s="1" t="s">
        <v>322</v>
      </c>
      <c r="O23" s="1" t="s">
        <v>332</v>
      </c>
      <c r="P23" t="s">
        <v>108</v>
      </c>
      <c r="Q23" s="1" t="s">
        <v>244</v>
      </c>
      <c r="R23">
        <v>1</v>
      </c>
      <c r="S23">
        <v>50</v>
      </c>
      <c r="T23">
        <v>42</v>
      </c>
      <c r="U23">
        <v>32</v>
      </c>
      <c r="AA23">
        <v>1339.20649252</v>
      </c>
      <c r="AB23">
        <v>2495902.8754099999</v>
      </c>
      <c r="AC23" s="1" t="s">
        <v>245</v>
      </c>
      <c r="AD23" t="s">
        <v>246</v>
      </c>
    </row>
    <row r="24" spans="2:30" x14ac:dyDescent="0.25">
      <c r="B24" s="1" t="s">
        <v>259</v>
      </c>
      <c r="C24">
        <v>23</v>
      </c>
      <c r="D24" s="1" t="s">
        <v>80</v>
      </c>
      <c r="E24" t="s">
        <v>152</v>
      </c>
      <c r="F24" s="1" t="s">
        <v>322</v>
      </c>
      <c r="O24" s="1" t="s">
        <v>333</v>
      </c>
      <c r="P24" t="s">
        <v>108</v>
      </c>
      <c r="Q24" s="1" t="s">
        <v>244</v>
      </c>
      <c r="R24">
        <v>1</v>
      </c>
      <c r="S24">
        <v>50</v>
      </c>
      <c r="T24">
        <v>42</v>
      </c>
      <c r="U24">
        <v>32</v>
      </c>
      <c r="AA24">
        <v>1341.4461318900001</v>
      </c>
      <c r="AB24">
        <v>2499140.7191599999</v>
      </c>
      <c r="AC24" s="1" t="s">
        <v>245</v>
      </c>
      <c r="AD24" t="s">
        <v>246</v>
      </c>
    </row>
    <row r="25" spans="2:30" x14ac:dyDescent="0.25">
      <c r="B25" s="1" t="s">
        <v>263</v>
      </c>
      <c r="C25">
        <v>24</v>
      </c>
      <c r="D25" s="1" t="s">
        <v>80</v>
      </c>
      <c r="E25" t="s">
        <v>152</v>
      </c>
      <c r="F25" s="1" t="s">
        <v>314</v>
      </c>
      <c r="O25" s="1" t="s">
        <v>334</v>
      </c>
      <c r="P25" t="s">
        <v>108</v>
      </c>
      <c r="Q25" s="1" t="s">
        <v>244</v>
      </c>
      <c r="R25">
        <v>1</v>
      </c>
      <c r="S25">
        <v>50</v>
      </c>
      <c r="T25">
        <v>43</v>
      </c>
      <c r="U25">
        <v>28</v>
      </c>
      <c r="AA25">
        <v>799.03216333900002</v>
      </c>
      <c r="AB25">
        <v>1418537.9568700001</v>
      </c>
      <c r="AC25" s="1" t="s">
        <v>245</v>
      </c>
      <c r="AD25" t="s">
        <v>246</v>
      </c>
    </row>
    <row r="26" spans="2:30" x14ac:dyDescent="0.25">
      <c r="B26" s="1" t="s">
        <v>264</v>
      </c>
      <c r="C26">
        <v>25</v>
      </c>
      <c r="D26" s="1" t="s">
        <v>80</v>
      </c>
      <c r="E26" t="s">
        <v>152</v>
      </c>
      <c r="F26" s="1" t="s">
        <v>318</v>
      </c>
      <c r="O26" s="1" t="s">
        <v>335</v>
      </c>
      <c r="P26" t="s">
        <v>108</v>
      </c>
      <c r="Q26" s="1" t="s">
        <v>244</v>
      </c>
      <c r="R26">
        <v>1</v>
      </c>
      <c r="S26">
        <v>50</v>
      </c>
      <c r="T26">
        <v>43</v>
      </c>
      <c r="U26">
        <v>28</v>
      </c>
      <c r="AA26">
        <v>799.39957694199995</v>
      </c>
      <c r="AB26">
        <v>1419334.13078</v>
      </c>
      <c r="AC26" s="1" t="s">
        <v>245</v>
      </c>
      <c r="AD26" t="s">
        <v>246</v>
      </c>
    </row>
    <row r="27" spans="2:30" x14ac:dyDescent="0.25">
      <c r="B27" s="1" t="s">
        <v>263</v>
      </c>
      <c r="C27">
        <v>26</v>
      </c>
      <c r="D27" s="1" t="s">
        <v>80</v>
      </c>
      <c r="E27" t="s">
        <v>152</v>
      </c>
      <c r="F27" s="1" t="s">
        <v>314</v>
      </c>
      <c r="O27" s="1" t="s">
        <v>335</v>
      </c>
      <c r="P27" t="s">
        <v>108</v>
      </c>
      <c r="Q27" s="1" t="s">
        <v>244</v>
      </c>
      <c r="R27">
        <v>1</v>
      </c>
      <c r="S27">
        <v>50</v>
      </c>
      <c r="T27">
        <v>43</v>
      </c>
      <c r="U27">
        <v>28</v>
      </c>
      <c r="AA27">
        <v>799.39957694199995</v>
      </c>
      <c r="AB27">
        <v>1419334.13078</v>
      </c>
      <c r="AC27" s="1" t="s">
        <v>245</v>
      </c>
      <c r="AD27" t="s">
        <v>246</v>
      </c>
    </row>
    <row r="28" spans="2:30" x14ac:dyDescent="0.25">
      <c r="B28" s="1" t="s">
        <v>261</v>
      </c>
      <c r="C28">
        <v>27</v>
      </c>
      <c r="D28" s="1" t="s">
        <v>80</v>
      </c>
      <c r="E28" t="s">
        <v>152</v>
      </c>
      <c r="F28" s="1" t="s">
        <v>318</v>
      </c>
      <c r="O28" s="1" t="s">
        <v>336</v>
      </c>
      <c r="P28" t="s">
        <v>108</v>
      </c>
      <c r="Q28" s="1" t="s">
        <v>244</v>
      </c>
      <c r="R28">
        <v>9</v>
      </c>
      <c r="S28">
        <v>50</v>
      </c>
      <c r="T28">
        <v>45</v>
      </c>
      <c r="U28">
        <v>28</v>
      </c>
      <c r="AA28">
        <v>854.93592795400002</v>
      </c>
      <c r="AB28">
        <v>1548789.57201</v>
      </c>
      <c r="AC28" s="1" t="s">
        <v>245</v>
      </c>
      <c r="AD28" t="s">
        <v>246</v>
      </c>
    </row>
    <row r="29" spans="2:30" x14ac:dyDescent="0.25">
      <c r="B29" s="1" t="s">
        <v>262</v>
      </c>
      <c r="C29">
        <v>28</v>
      </c>
      <c r="D29" s="1" t="s">
        <v>80</v>
      </c>
      <c r="E29" t="s">
        <v>152</v>
      </c>
      <c r="F29" s="1" t="s">
        <v>314</v>
      </c>
      <c r="O29" s="1" t="s">
        <v>336</v>
      </c>
      <c r="P29" t="s">
        <v>108</v>
      </c>
      <c r="Q29" s="1" t="s">
        <v>244</v>
      </c>
      <c r="R29">
        <v>9</v>
      </c>
      <c r="S29">
        <v>50</v>
      </c>
      <c r="T29">
        <v>45</v>
      </c>
      <c r="U29">
        <v>28</v>
      </c>
      <c r="AA29">
        <v>854.93592795400002</v>
      </c>
      <c r="AB29">
        <v>1548789.5719999999</v>
      </c>
      <c r="AC29" s="1" t="s">
        <v>245</v>
      </c>
      <c r="AD29" t="s">
        <v>246</v>
      </c>
    </row>
    <row r="30" spans="2:30" x14ac:dyDescent="0.25">
      <c r="B30" s="1" t="s">
        <v>264</v>
      </c>
      <c r="C30">
        <v>29</v>
      </c>
      <c r="D30" s="1" t="s">
        <v>80</v>
      </c>
      <c r="E30" t="s">
        <v>152</v>
      </c>
      <c r="F30" s="1" t="s">
        <v>318</v>
      </c>
      <c r="O30" s="1" t="s">
        <v>337</v>
      </c>
      <c r="P30" t="s">
        <v>108</v>
      </c>
      <c r="Q30" s="1" t="s">
        <v>244</v>
      </c>
      <c r="R30">
        <v>9</v>
      </c>
      <c r="S30">
        <v>50</v>
      </c>
      <c r="T30">
        <v>45</v>
      </c>
      <c r="U30">
        <v>28</v>
      </c>
      <c r="AA30">
        <v>904.90122470799997</v>
      </c>
      <c r="AB30">
        <v>1653425.13057</v>
      </c>
      <c r="AC30" s="1" t="s">
        <v>245</v>
      </c>
      <c r="AD30" t="s">
        <v>246</v>
      </c>
    </row>
    <row r="31" spans="2:30" x14ac:dyDescent="0.25">
      <c r="B31" s="1" t="s">
        <v>263</v>
      </c>
      <c r="C31">
        <v>30</v>
      </c>
      <c r="D31" s="1" t="s">
        <v>80</v>
      </c>
      <c r="E31" t="s">
        <v>152</v>
      </c>
      <c r="F31" s="1" t="s">
        <v>314</v>
      </c>
      <c r="O31" s="1" t="s">
        <v>337</v>
      </c>
      <c r="P31" t="s">
        <v>108</v>
      </c>
      <c r="Q31" s="1" t="s">
        <v>244</v>
      </c>
      <c r="R31">
        <v>9</v>
      </c>
      <c r="S31">
        <v>50</v>
      </c>
      <c r="T31">
        <v>45</v>
      </c>
      <c r="U31">
        <v>28</v>
      </c>
      <c r="AA31">
        <v>904.90122470799997</v>
      </c>
      <c r="AB31">
        <v>1653425.1305800001</v>
      </c>
      <c r="AC31" s="1" t="s">
        <v>245</v>
      </c>
      <c r="AD31" t="s">
        <v>246</v>
      </c>
    </row>
    <row r="32" spans="2:30" x14ac:dyDescent="0.25">
      <c r="B32" s="1" t="s">
        <v>264</v>
      </c>
      <c r="C32">
        <v>31</v>
      </c>
      <c r="D32" s="1" t="s">
        <v>80</v>
      </c>
      <c r="E32" t="s">
        <v>152</v>
      </c>
      <c r="F32" s="1" t="s">
        <v>318</v>
      </c>
      <c r="O32" s="1" t="s">
        <v>338</v>
      </c>
      <c r="P32" t="s">
        <v>108</v>
      </c>
      <c r="Q32" s="1" t="s">
        <v>244</v>
      </c>
      <c r="R32">
        <v>1</v>
      </c>
      <c r="S32">
        <v>50</v>
      </c>
      <c r="T32">
        <v>45</v>
      </c>
      <c r="U32">
        <v>45</v>
      </c>
      <c r="AA32">
        <v>798.92195289599999</v>
      </c>
      <c r="AB32">
        <v>1813972.80583</v>
      </c>
      <c r="AC32" s="1" t="s">
        <v>245</v>
      </c>
      <c r="AD32" t="s">
        <v>246</v>
      </c>
    </row>
    <row r="33" spans="2:30" x14ac:dyDescent="0.25">
      <c r="B33" s="1" t="s">
        <v>260</v>
      </c>
      <c r="C33">
        <v>32</v>
      </c>
      <c r="D33" s="1" t="s">
        <v>80</v>
      </c>
      <c r="E33" t="s">
        <v>152</v>
      </c>
      <c r="F33" s="1" t="s">
        <v>322</v>
      </c>
      <c r="O33" s="1" t="s">
        <v>339</v>
      </c>
      <c r="P33" t="s">
        <v>108</v>
      </c>
      <c r="Q33" s="1" t="s">
        <v>244</v>
      </c>
      <c r="R33">
        <v>6</v>
      </c>
      <c r="S33">
        <v>50</v>
      </c>
      <c r="T33">
        <v>47</v>
      </c>
      <c r="U33">
        <v>31</v>
      </c>
      <c r="AA33">
        <v>1469.9438952600001</v>
      </c>
      <c r="AB33">
        <v>2859709.3971899999</v>
      </c>
      <c r="AC33" s="1" t="s">
        <v>245</v>
      </c>
      <c r="AD33" t="s">
        <v>246</v>
      </c>
    </row>
    <row r="34" spans="2:30" x14ac:dyDescent="0.25">
      <c r="B34" s="1" t="s">
        <v>260</v>
      </c>
      <c r="C34">
        <v>33</v>
      </c>
      <c r="D34" s="1" t="s">
        <v>80</v>
      </c>
      <c r="E34" t="s">
        <v>152</v>
      </c>
      <c r="F34" s="1" t="s">
        <v>322</v>
      </c>
      <c r="O34" s="1" t="s">
        <v>340</v>
      </c>
      <c r="P34" t="s">
        <v>108</v>
      </c>
      <c r="Q34" s="1" t="s">
        <v>244</v>
      </c>
      <c r="R34">
        <v>2</v>
      </c>
      <c r="S34">
        <v>50</v>
      </c>
      <c r="T34">
        <v>47</v>
      </c>
      <c r="U34">
        <v>32</v>
      </c>
      <c r="AA34">
        <v>1404.8848978999999</v>
      </c>
      <c r="AB34">
        <v>2775210.1098199999</v>
      </c>
      <c r="AC34" s="1" t="s">
        <v>245</v>
      </c>
      <c r="AD34" t="s">
        <v>246</v>
      </c>
    </row>
    <row r="35" spans="2:30" x14ac:dyDescent="0.25">
      <c r="B35" s="1" t="s">
        <v>260</v>
      </c>
      <c r="C35">
        <v>34</v>
      </c>
      <c r="D35" s="1" t="s">
        <v>80</v>
      </c>
      <c r="E35" t="s">
        <v>152</v>
      </c>
      <c r="F35" s="1" t="s">
        <v>322</v>
      </c>
      <c r="O35" s="1" t="s">
        <v>341</v>
      </c>
      <c r="P35" t="s">
        <v>108</v>
      </c>
      <c r="Q35" s="1" t="s">
        <v>244</v>
      </c>
      <c r="R35">
        <v>2</v>
      </c>
      <c r="S35">
        <v>50</v>
      </c>
      <c r="T35">
        <v>47</v>
      </c>
      <c r="U35">
        <v>32</v>
      </c>
      <c r="AA35">
        <v>1404.6125113099999</v>
      </c>
      <c r="AB35">
        <v>2774830.3297999999</v>
      </c>
      <c r="AC35" s="1" t="s">
        <v>245</v>
      </c>
      <c r="AD35" t="s">
        <v>246</v>
      </c>
    </row>
    <row r="36" spans="2:30" x14ac:dyDescent="0.25">
      <c r="B36" s="1" t="s">
        <v>255</v>
      </c>
      <c r="C36">
        <v>35</v>
      </c>
      <c r="D36" s="1" t="s">
        <v>80</v>
      </c>
      <c r="E36" t="s">
        <v>152</v>
      </c>
      <c r="F36" s="1" t="s">
        <v>318</v>
      </c>
      <c r="O36" s="1" t="s">
        <v>342</v>
      </c>
      <c r="P36" t="s">
        <v>108</v>
      </c>
      <c r="Q36" s="1" t="s">
        <v>244</v>
      </c>
      <c r="R36">
        <v>1</v>
      </c>
      <c r="S36">
        <v>50</v>
      </c>
      <c r="T36">
        <v>47</v>
      </c>
      <c r="U36">
        <v>42</v>
      </c>
      <c r="AA36">
        <v>288.90512516000001</v>
      </c>
      <c r="AB36">
        <v>643839.52515300002</v>
      </c>
      <c r="AC36" s="1" t="s">
        <v>245</v>
      </c>
      <c r="AD36" t="s">
        <v>246</v>
      </c>
    </row>
    <row r="37" spans="2:30" x14ac:dyDescent="0.25">
      <c r="B37" s="1" t="s">
        <v>250</v>
      </c>
      <c r="C37">
        <v>36</v>
      </c>
      <c r="D37" s="1" t="s">
        <v>80</v>
      </c>
      <c r="E37" t="s">
        <v>152</v>
      </c>
      <c r="F37" s="1" t="s">
        <v>314</v>
      </c>
      <c r="O37" s="1" t="s">
        <v>342</v>
      </c>
      <c r="P37" t="s">
        <v>108</v>
      </c>
      <c r="Q37" s="1" t="s">
        <v>244</v>
      </c>
      <c r="R37">
        <v>1</v>
      </c>
      <c r="S37">
        <v>50</v>
      </c>
      <c r="T37">
        <v>47</v>
      </c>
      <c r="U37">
        <v>42</v>
      </c>
      <c r="AA37">
        <v>288.90512516000001</v>
      </c>
      <c r="AB37">
        <v>643839.52515300002</v>
      </c>
      <c r="AC37" s="1" t="s">
        <v>245</v>
      </c>
      <c r="AD37" t="s">
        <v>246</v>
      </c>
    </row>
    <row r="38" spans="2:30" x14ac:dyDescent="0.25">
      <c r="B38" s="1" t="s">
        <v>258</v>
      </c>
      <c r="C38">
        <v>37</v>
      </c>
      <c r="D38" s="1" t="s">
        <v>80</v>
      </c>
      <c r="E38" t="s">
        <v>152</v>
      </c>
      <c r="F38" s="1" t="s">
        <v>322</v>
      </c>
      <c r="O38" s="1" t="s">
        <v>343</v>
      </c>
      <c r="P38" t="s">
        <v>108</v>
      </c>
      <c r="Q38" s="1" t="s">
        <v>244</v>
      </c>
      <c r="R38">
        <v>3</v>
      </c>
      <c r="S38">
        <v>50</v>
      </c>
      <c r="T38">
        <v>48</v>
      </c>
      <c r="U38">
        <v>27</v>
      </c>
      <c r="AA38">
        <v>1342.1116643600001</v>
      </c>
      <c r="AB38">
        <v>2519166.6511499998</v>
      </c>
      <c r="AC38" s="1" t="s">
        <v>245</v>
      </c>
      <c r="AD38" t="s">
        <v>246</v>
      </c>
    </row>
    <row r="39" spans="2:30" x14ac:dyDescent="0.25">
      <c r="B39" s="1" t="s">
        <v>258</v>
      </c>
      <c r="C39">
        <v>38</v>
      </c>
      <c r="D39" s="1" t="s">
        <v>80</v>
      </c>
      <c r="E39" t="s">
        <v>152</v>
      </c>
      <c r="F39" s="1" t="s">
        <v>322</v>
      </c>
      <c r="O39" s="1" t="s">
        <v>344</v>
      </c>
      <c r="P39" t="s">
        <v>108</v>
      </c>
      <c r="Q39" s="1" t="s">
        <v>244</v>
      </c>
      <c r="R39">
        <v>6</v>
      </c>
      <c r="S39">
        <v>50</v>
      </c>
      <c r="T39">
        <v>48</v>
      </c>
      <c r="U39">
        <v>27</v>
      </c>
      <c r="AA39">
        <v>1406.9988672899999</v>
      </c>
      <c r="AB39">
        <v>2606728.38619</v>
      </c>
      <c r="AC39" s="1" t="s">
        <v>245</v>
      </c>
      <c r="AD39" t="s">
        <v>246</v>
      </c>
    </row>
    <row r="40" spans="2:30" x14ac:dyDescent="0.25">
      <c r="B40" s="1" t="s">
        <v>249</v>
      </c>
      <c r="C40">
        <v>39</v>
      </c>
      <c r="D40" s="1" t="s">
        <v>80</v>
      </c>
      <c r="E40" t="s">
        <v>152</v>
      </c>
      <c r="F40" s="1" t="s">
        <v>314</v>
      </c>
      <c r="O40" s="1" t="s">
        <v>345</v>
      </c>
      <c r="P40" t="s">
        <v>108</v>
      </c>
      <c r="Q40" s="1" t="s">
        <v>244</v>
      </c>
      <c r="R40">
        <v>6</v>
      </c>
      <c r="S40">
        <v>50</v>
      </c>
      <c r="T40">
        <v>48</v>
      </c>
      <c r="U40">
        <v>30</v>
      </c>
      <c r="AA40">
        <v>1365.84906204</v>
      </c>
      <c r="AB40">
        <v>2674505.7922299998</v>
      </c>
      <c r="AC40" s="1" t="s">
        <v>245</v>
      </c>
      <c r="AD40" t="s">
        <v>246</v>
      </c>
    </row>
    <row r="41" spans="2:30" x14ac:dyDescent="0.25">
      <c r="B41" s="1" t="s">
        <v>249</v>
      </c>
      <c r="C41">
        <v>40</v>
      </c>
      <c r="D41" s="1" t="s">
        <v>80</v>
      </c>
      <c r="E41" t="s">
        <v>152</v>
      </c>
      <c r="F41" s="1" t="s">
        <v>314</v>
      </c>
      <c r="O41" s="1" t="s">
        <v>346</v>
      </c>
      <c r="P41" t="s">
        <v>108</v>
      </c>
      <c r="Q41" s="1" t="s">
        <v>244</v>
      </c>
      <c r="R41">
        <v>3</v>
      </c>
      <c r="S41">
        <v>50</v>
      </c>
      <c r="T41">
        <v>48</v>
      </c>
      <c r="U41">
        <v>30</v>
      </c>
      <c r="AA41">
        <v>1165.66605168</v>
      </c>
      <c r="AB41">
        <v>2275434.3669599998</v>
      </c>
      <c r="AC41" s="1" t="s">
        <v>245</v>
      </c>
      <c r="AD41" t="s">
        <v>246</v>
      </c>
    </row>
    <row r="42" spans="2:30" x14ac:dyDescent="0.25">
      <c r="B42" s="1" t="s">
        <v>249</v>
      </c>
      <c r="C42">
        <v>41</v>
      </c>
      <c r="D42" s="1" t="s">
        <v>80</v>
      </c>
      <c r="E42" t="s">
        <v>152</v>
      </c>
      <c r="F42" s="1" t="s">
        <v>314</v>
      </c>
      <c r="O42" s="1" t="s">
        <v>347</v>
      </c>
      <c r="P42" t="s">
        <v>108</v>
      </c>
      <c r="Q42" s="1" t="s">
        <v>244</v>
      </c>
      <c r="R42">
        <v>3</v>
      </c>
      <c r="S42">
        <v>50</v>
      </c>
      <c r="T42">
        <v>48</v>
      </c>
      <c r="U42">
        <v>31</v>
      </c>
      <c r="AA42">
        <v>1299.61513109</v>
      </c>
      <c r="AB42">
        <v>2584324.7015399998</v>
      </c>
      <c r="AC42" s="1" t="s">
        <v>245</v>
      </c>
      <c r="AD42" t="s">
        <v>246</v>
      </c>
    </row>
    <row r="43" spans="2:30" x14ac:dyDescent="0.25">
      <c r="B43" s="1" t="s">
        <v>250</v>
      </c>
      <c r="C43">
        <v>42</v>
      </c>
      <c r="D43" s="1" t="s">
        <v>80</v>
      </c>
      <c r="E43" t="s">
        <v>152</v>
      </c>
      <c r="F43" s="1" t="s">
        <v>314</v>
      </c>
      <c r="O43" s="1" t="s">
        <v>348</v>
      </c>
      <c r="P43" t="s">
        <v>108</v>
      </c>
      <c r="Q43" s="1" t="s">
        <v>244</v>
      </c>
      <c r="R43">
        <v>6</v>
      </c>
      <c r="S43">
        <v>50</v>
      </c>
      <c r="T43">
        <v>48</v>
      </c>
      <c r="U43">
        <v>31</v>
      </c>
      <c r="AA43">
        <v>1520.8051476099999</v>
      </c>
      <c r="AB43">
        <v>3009455.03504</v>
      </c>
      <c r="AC43" s="1" t="s">
        <v>245</v>
      </c>
      <c r="AD43" t="s">
        <v>246</v>
      </c>
    </row>
    <row r="44" spans="2:30" x14ac:dyDescent="0.25">
      <c r="B44" s="1" t="s">
        <v>250</v>
      </c>
      <c r="C44">
        <v>43</v>
      </c>
      <c r="D44" s="1" t="s">
        <v>80</v>
      </c>
      <c r="E44" t="s">
        <v>152</v>
      </c>
      <c r="F44" s="1" t="s">
        <v>314</v>
      </c>
      <c r="O44" s="1" t="s">
        <v>349</v>
      </c>
      <c r="P44" t="s">
        <v>108</v>
      </c>
      <c r="Q44" s="1" t="s">
        <v>244</v>
      </c>
      <c r="R44">
        <v>1</v>
      </c>
      <c r="S44">
        <v>50</v>
      </c>
      <c r="T44">
        <v>48</v>
      </c>
      <c r="U44">
        <v>32</v>
      </c>
      <c r="AA44">
        <v>1454.5711768399999</v>
      </c>
      <c r="AB44">
        <v>2919273.8927799999</v>
      </c>
      <c r="AC44" s="1" t="s">
        <v>245</v>
      </c>
      <c r="AD44" t="s">
        <v>246</v>
      </c>
    </row>
    <row r="45" spans="2:30" x14ac:dyDescent="0.25">
      <c r="B45" s="1" t="s">
        <v>250</v>
      </c>
      <c r="C45">
        <v>44</v>
      </c>
      <c r="D45" s="1" t="s">
        <v>80</v>
      </c>
      <c r="E45" t="s">
        <v>152</v>
      </c>
      <c r="F45" s="1" t="s">
        <v>314</v>
      </c>
      <c r="O45" s="1" t="s">
        <v>346</v>
      </c>
      <c r="P45" t="s">
        <v>108</v>
      </c>
      <c r="Q45" s="1" t="s">
        <v>244</v>
      </c>
      <c r="R45">
        <v>1</v>
      </c>
      <c r="S45">
        <v>50</v>
      </c>
      <c r="T45">
        <v>48</v>
      </c>
      <c r="U45">
        <v>30</v>
      </c>
      <c r="AA45">
        <v>1165.66605168</v>
      </c>
      <c r="AB45">
        <v>2275434.3679200001</v>
      </c>
      <c r="AC45" s="1" t="s">
        <v>245</v>
      </c>
      <c r="AD45" t="s">
        <v>246</v>
      </c>
    </row>
    <row r="46" spans="2:30" x14ac:dyDescent="0.25">
      <c r="B46" s="1" t="s">
        <v>250</v>
      </c>
      <c r="C46">
        <v>45</v>
      </c>
      <c r="D46" s="1" t="s">
        <v>80</v>
      </c>
      <c r="E46" t="s">
        <v>152</v>
      </c>
      <c r="F46" s="1" t="s">
        <v>314</v>
      </c>
      <c r="O46" s="1" t="s">
        <v>350</v>
      </c>
      <c r="P46" t="s">
        <v>108</v>
      </c>
      <c r="Q46" s="1" t="s">
        <v>244</v>
      </c>
      <c r="R46">
        <v>1</v>
      </c>
      <c r="S46">
        <v>50</v>
      </c>
      <c r="T46">
        <v>48</v>
      </c>
      <c r="U46">
        <v>32</v>
      </c>
      <c r="AA46">
        <v>1454.73040388</v>
      </c>
      <c r="AB46">
        <v>2919495.9485599999</v>
      </c>
      <c r="AC46" s="1" t="s">
        <v>245</v>
      </c>
      <c r="AD46" t="s">
        <v>246</v>
      </c>
    </row>
    <row r="47" spans="2:30" x14ac:dyDescent="0.25">
      <c r="B47" s="1" t="s">
        <v>250</v>
      </c>
      <c r="C47">
        <v>46</v>
      </c>
      <c r="D47" s="1" t="s">
        <v>80</v>
      </c>
      <c r="E47" t="s">
        <v>152</v>
      </c>
      <c r="F47" s="1" t="s">
        <v>314</v>
      </c>
      <c r="O47" s="1" t="s">
        <v>351</v>
      </c>
      <c r="P47" t="s">
        <v>108</v>
      </c>
      <c r="Q47" s="1" t="s">
        <v>244</v>
      </c>
      <c r="R47">
        <v>2</v>
      </c>
      <c r="S47">
        <v>50</v>
      </c>
      <c r="T47">
        <v>48</v>
      </c>
      <c r="U47">
        <v>30</v>
      </c>
      <c r="AA47">
        <v>1165.8252787199999</v>
      </c>
      <c r="AB47">
        <v>2275656.4244499998</v>
      </c>
      <c r="AC47" s="1" t="s">
        <v>245</v>
      </c>
      <c r="AD47" t="s">
        <v>246</v>
      </c>
    </row>
    <row r="48" spans="2:30" x14ac:dyDescent="0.25">
      <c r="B48" s="1" t="s">
        <v>255</v>
      </c>
      <c r="C48">
        <v>47</v>
      </c>
      <c r="D48" s="1" t="s">
        <v>80</v>
      </c>
      <c r="E48" t="s">
        <v>152</v>
      </c>
      <c r="F48" s="1" t="s">
        <v>318</v>
      </c>
      <c r="O48" s="1" t="s">
        <v>352</v>
      </c>
      <c r="P48" t="s">
        <v>108</v>
      </c>
      <c r="Q48" s="1" t="s">
        <v>244</v>
      </c>
      <c r="R48">
        <v>6</v>
      </c>
      <c r="S48">
        <v>50</v>
      </c>
      <c r="T48">
        <v>48</v>
      </c>
      <c r="U48">
        <v>31</v>
      </c>
      <c r="AA48">
        <v>1520.8051476099999</v>
      </c>
      <c r="AB48">
        <v>3013348.0459400001</v>
      </c>
      <c r="AC48" s="1" t="s">
        <v>245</v>
      </c>
      <c r="AD48" t="s">
        <v>246</v>
      </c>
    </row>
    <row r="49" spans="2:30" x14ac:dyDescent="0.25">
      <c r="B49" s="1" t="s">
        <v>255</v>
      </c>
      <c r="C49">
        <v>48</v>
      </c>
      <c r="D49" s="1" t="s">
        <v>80</v>
      </c>
      <c r="E49" t="s">
        <v>152</v>
      </c>
      <c r="F49" s="1" t="s">
        <v>318</v>
      </c>
      <c r="O49" s="1" t="s">
        <v>353</v>
      </c>
      <c r="P49" t="s">
        <v>108</v>
      </c>
      <c r="Q49" s="1" t="s">
        <v>244</v>
      </c>
      <c r="R49">
        <v>1</v>
      </c>
      <c r="S49">
        <v>50</v>
      </c>
      <c r="T49">
        <v>48</v>
      </c>
      <c r="U49">
        <v>32</v>
      </c>
      <c r="AA49">
        <v>1454.5711768399999</v>
      </c>
      <c r="AB49">
        <v>2923166.9033400002</v>
      </c>
      <c r="AC49" s="1" t="s">
        <v>245</v>
      </c>
      <c r="AD49" t="s">
        <v>246</v>
      </c>
    </row>
    <row r="50" spans="2:30" x14ac:dyDescent="0.25">
      <c r="B50" s="1" t="s">
        <v>255</v>
      </c>
      <c r="C50">
        <v>49</v>
      </c>
      <c r="D50" s="1" t="s">
        <v>80</v>
      </c>
      <c r="E50" t="s">
        <v>152</v>
      </c>
      <c r="F50" s="1" t="s">
        <v>318</v>
      </c>
      <c r="O50" s="1" t="s">
        <v>354</v>
      </c>
      <c r="P50" t="s">
        <v>108</v>
      </c>
      <c r="Q50" s="1" t="s">
        <v>244</v>
      </c>
      <c r="R50">
        <v>1</v>
      </c>
      <c r="S50">
        <v>50</v>
      </c>
      <c r="T50">
        <v>48</v>
      </c>
      <c r="U50">
        <v>30</v>
      </c>
      <c r="AA50">
        <v>1165.66605168</v>
      </c>
      <c r="AB50">
        <v>2279327.3798699998</v>
      </c>
      <c r="AC50" s="1" t="s">
        <v>245</v>
      </c>
      <c r="AD50" t="s">
        <v>246</v>
      </c>
    </row>
    <row r="51" spans="2:30" x14ac:dyDescent="0.25">
      <c r="B51" s="1" t="s">
        <v>254</v>
      </c>
      <c r="C51">
        <v>50</v>
      </c>
      <c r="D51" s="1" t="s">
        <v>80</v>
      </c>
      <c r="E51" t="s">
        <v>152</v>
      </c>
      <c r="F51" s="1" t="s">
        <v>318</v>
      </c>
      <c r="O51" s="1" t="s">
        <v>355</v>
      </c>
      <c r="P51" t="s">
        <v>108</v>
      </c>
      <c r="Q51" s="1" t="s">
        <v>244</v>
      </c>
      <c r="R51">
        <v>3</v>
      </c>
      <c r="S51">
        <v>50</v>
      </c>
      <c r="T51">
        <v>48</v>
      </c>
      <c r="U51">
        <v>31</v>
      </c>
      <c r="AA51">
        <v>1299.61513109</v>
      </c>
      <c r="AB51">
        <v>2588217.7131599998</v>
      </c>
      <c r="AC51" s="1" t="s">
        <v>245</v>
      </c>
      <c r="AD51" t="s">
        <v>246</v>
      </c>
    </row>
    <row r="52" spans="2:30" x14ac:dyDescent="0.25">
      <c r="B52" s="1" t="s">
        <v>254</v>
      </c>
      <c r="C52">
        <v>51</v>
      </c>
      <c r="D52" s="1" t="s">
        <v>80</v>
      </c>
      <c r="E52" t="s">
        <v>152</v>
      </c>
      <c r="F52" s="1" t="s">
        <v>318</v>
      </c>
      <c r="O52" s="1" t="s">
        <v>356</v>
      </c>
      <c r="P52" t="s">
        <v>108</v>
      </c>
      <c r="Q52" s="1" t="s">
        <v>244</v>
      </c>
      <c r="R52">
        <v>6</v>
      </c>
      <c r="S52">
        <v>50</v>
      </c>
      <c r="T52">
        <v>48</v>
      </c>
      <c r="U52">
        <v>30</v>
      </c>
      <c r="AA52">
        <v>1365.84906204</v>
      </c>
      <c r="AB52">
        <v>2678398.8028299999</v>
      </c>
      <c r="AC52" s="1" t="s">
        <v>245</v>
      </c>
      <c r="AD52" t="s">
        <v>246</v>
      </c>
    </row>
    <row r="53" spans="2:30" x14ac:dyDescent="0.25">
      <c r="B53" s="1" t="s">
        <v>255</v>
      </c>
      <c r="C53">
        <v>52</v>
      </c>
      <c r="D53" s="1" t="s">
        <v>80</v>
      </c>
      <c r="E53" t="s">
        <v>152</v>
      </c>
      <c r="F53" s="1" t="s">
        <v>318</v>
      </c>
      <c r="O53" s="1" t="s">
        <v>357</v>
      </c>
      <c r="P53" t="s">
        <v>108</v>
      </c>
      <c r="Q53" s="1" t="s">
        <v>244</v>
      </c>
      <c r="R53">
        <v>1</v>
      </c>
      <c r="S53">
        <v>50</v>
      </c>
      <c r="T53">
        <v>48</v>
      </c>
      <c r="U53">
        <v>32</v>
      </c>
      <c r="AA53">
        <v>1454.73040388</v>
      </c>
      <c r="AB53">
        <v>2923388.9601599998</v>
      </c>
      <c r="AC53" s="1" t="s">
        <v>245</v>
      </c>
      <c r="AD53" t="s">
        <v>246</v>
      </c>
    </row>
    <row r="54" spans="2:30" x14ac:dyDescent="0.25">
      <c r="B54" s="1" t="s">
        <v>254</v>
      </c>
      <c r="C54">
        <v>53</v>
      </c>
      <c r="D54" s="1" t="s">
        <v>80</v>
      </c>
      <c r="E54" t="s">
        <v>152</v>
      </c>
      <c r="F54" s="1" t="s">
        <v>318</v>
      </c>
      <c r="O54" s="1" t="s">
        <v>354</v>
      </c>
      <c r="P54" t="s">
        <v>108</v>
      </c>
      <c r="Q54" s="1" t="s">
        <v>244</v>
      </c>
      <c r="R54">
        <v>3</v>
      </c>
      <c r="S54">
        <v>50</v>
      </c>
      <c r="T54">
        <v>48</v>
      </c>
      <c r="U54">
        <v>30</v>
      </c>
      <c r="AA54">
        <v>1165.66605168</v>
      </c>
      <c r="AB54">
        <v>2279327.3789599999</v>
      </c>
      <c r="AC54" s="1" t="s">
        <v>245</v>
      </c>
      <c r="AD54" t="s">
        <v>246</v>
      </c>
    </row>
    <row r="55" spans="2:30" x14ac:dyDescent="0.25">
      <c r="B55" s="1" t="s">
        <v>255</v>
      </c>
      <c r="C55">
        <v>54</v>
      </c>
      <c r="D55" s="1" t="s">
        <v>80</v>
      </c>
      <c r="E55" t="s">
        <v>152</v>
      </c>
      <c r="F55" s="1" t="s">
        <v>318</v>
      </c>
      <c r="O55" s="1" t="s">
        <v>358</v>
      </c>
      <c r="P55" t="s">
        <v>108</v>
      </c>
      <c r="Q55" s="1" t="s">
        <v>244</v>
      </c>
      <c r="R55">
        <v>2</v>
      </c>
      <c r="S55">
        <v>50</v>
      </c>
      <c r="T55">
        <v>48</v>
      </c>
      <c r="U55">
        <v>30</v>
      </c>
      <c r="AA55">
        <v>1165.8252787199999</v>
      </c>
      <c r="AB55">
        <v>2279549.4369000001</v>
      </c>
      <c r="AC55" s="1" t="s">
        <v>245</v>
      </c>
      <c r="AD55" t="s">
        <v>246</v>
      </c>
    </row>
    <row r="56" spans="2:30" x14ac:dyDescent="0.25">
      <c r="B56" s="1" t="s">
        <v>253</v>
      </c>
      <c r="C56">
        <v>55</v>
      </c>
      <c r="D56" s="1" t="s">
        <v>80</v>
      </c>
      <c r="E56" t="s">
        <v>152</v>
      </c>
      <c r="F56" s="1" t="s">
        <v>318</v>
      </c>
      <c r="O56" s="1" t="s">
        <v>359</v>
      </c>
      <c r="P56" t="s">
        <v>108</v>
      </c>
      <c r="Q56" s="1" t="s">
        <v>244</v>
      </c>
      <c r="R56">
        <v>1</v>
      </c>
      <c r="S56">
        <v>50</v>
      </c>
      <c r="T56">
        <v>49</v>
      </c>
      <c r="U56">
        <v>29</v>
      </c>
      <c r="AA56">
        <v>1115.1517442100001</v>
      </c>
      <c r="AB56">
        <v>2156689.86289</v>
      </c>
      <c r="AC56" s="1" t="s">
        <v>245</v>
      </c>
      <c r="AD56" t="s">
        <v>246</v>
      </c>
    </row>
    <row r="57" spans="2:30" x14ac:dyDescent="0.25">
      <c r="B57" s="1" t="s">
        <v>253</v>
      </c>
      <c r="C57">
        <v>56</v>
      </c>
      <c r="D57" s="1" t="s">
        <v>80</v>
      </c>
      <c r="E57" t="s">
        <v>152</v>
      </c>
      <c r="F57" s="1" t="s">
        <v>318</v>
      </c>
      <c r="O57" s="1" t="s">
        <v>360</v>
      </c>
      <c r="P57" t="s">
        <v>108</v>
      </c>
      <c r="Q57" s="1" t="s">
        <v>244</v>
      </c>
      <c r="R57">
        <v>2</v>
      </c>
      <c r="S57">
        <v>50</v>
      </c>
      <c r="T57">
        <v>49</v>
      </c>
      <c r="U57">
        <v>29</v>
      </c>
      <c r="AA57">
        <v>1115.51915781</v>
      </c>
      <c r="AB57">
        <v>2157586.7251900001</v>
      </c>
      <c r="AC57" s="1" t="s">
        <v>245</v>
      </c>
      <c r="AD57" t="s">
        <v>246</v>
      </c>
    </row>
    <row r="58" spans="2:30" x14ac:dyDescent="0.25">
      <c r="B58" s="1" t="s">
        <v>252</v>
      </c>
      <c r="C58">
        <v>57</v>
      </c>
      <c r="D58" s="1" t="s">
        <v>80</v>
      </c>
      <c r="E58" t="s">
        <v>152</v>
      </c>
      <c r="F58" s="1" t="s">
        <v>318</v>
      </c>
      <c r="O58" s="1" t="s">
        <v>360</v>
      </c>
      <c r="P58" t="s">
        <v>108</v>
      </c>
      <c r="Q58" s="1" t="s">
        <v>244</v>
      </c>
      <c r="R58">
        <v>2</v>
      </c>
      <c r="S58">
        <v>50</v>
      </c>
      <c r="T58">
        <v>49</v>
      </c>
      <c r="U58">
        <v>29</v>
      </c>
      <c r="AA58">
        <v>1115.51915781</v>
      </c>
      <c r="AB58">
        <v>2157586.7241000002</v>
      </c>
      <c r="AC58" s="1" t="s">
        <v>245</v>
      </c>
      <c r="AD58" t="s">
        <v>246</v>
      </c>
    </row>
    <row r="59" spans="2:30" x14ac:dyDescent="0.25">
      <c r="B59" s="1" t="s">
        <v>253</v>
      </c>
      <c r="C59">
        <v>58</v>
      </c>
      <c r="D59" s="1" t="s">
        <v>80</v>
      </c>
      <c r="E59" t="s">
        <v>152</v>
      </c>
      <c r="F59" s="1" t="s">
        <v>318</v>
      </c>
      <c r="O59" s="1" t="s">
        <v>361</v>
      </c>
      <c r="P59" t="s">
        <v>108</v>
      </c>
      <c r="Q59" s="1" t="s">
        <v>244</v>
      </c>
      <c r="R59">
        <v>3</v>
      </c>
      <c r="S59">
        <v>50</v>
      </c>
      <c r="T59">
        <v>49</v>
      </c>
      <c r="U59">
        <v>31</v>
      </c>
      <c r="AA59">
        <v>1299.6600304599999</v>
      </c>
      <c r="AB59">
        <v>2592269.9313300001</v>
      </c>
      <c r="AC59" s="1" t="s">
        <v>245</v>
      </c>
      <c r="AD59" t="s">
        <v>246</v>
      </c>
    </row>
    <row r="60" spans="2:30" x14ac:dyDescent="0.25">
      <c r="B60" s="1" t="s">
        <v>252</v>
      </c>
      <c r="C60">
        <v>59</v>
      </c>
      <c r="D60" s="1" t="s">
        <v>80</v>
      </c>
      <c r="E60" t="s">
        <v>152</v>
      </c>
      <c r="F60" s="1" t="s">
        <v>318</v>
      </c>
      <c r="O60" s="1" t="s">
        <v>362</v>
      </c>
      <c r="P60" t="s">
        <v>108</v>
      </c>
      <c r="Q60" s="1" t="s">
        <v>244</v>
      </c>
      <c r="R60">
        <v>7</v>
      </c>
      <c r="S60">
        <v>50</v>
      </c>
      <c r="T60">
        <v>49</v>
      </c>
      <c r="U60">
        <v>30</v>
      </c>
      <c r="AA60">
        <v>1469.9438952600001</v>
      </c>
      <c r="AB60">
        <v>2914165.0813699998</v>
      </c>
      <c r="AC60" s="1" t="s">
        <v>245</v>
      </c>
      <c r="AD60" t="s">
        <v>246</v>
      </c>
    </row>
    <row r="61" spans="2:30" x14ac:dyDescent="0.25">
      <c r="B61" s="1" t="s">
        <v>253</v>
      </c>
      <c r="C61">
        <v>60</v>
      </c>
      <c r="D61" s="1" t="s">
        <v>80</v>
      </c>
      <c r="E61" t="s">
        <v>152</v>
      </c>
      <c r="F61" s="1" t="s">
        <v>318</v>
      </c>
      <c r="O61" s="1" t="s">
        <v>363</v>
      </c>
      <c r="P61" t="s">
        <v>108</v>
      </c>
      <c r="Q61" s="1" t="s">
        <v>244</v>
      </c>
      <c r="R61">
        <v>6</v>
      </c>
      <c r="S61">
        <v>50</v>
      </c>
      <c r="T61">
        <v>49</v>
      </c>
      <c r="U61">
        <v>30</v>
      </c>
      <c r="AA61">
        <v>1364.99100125</v>
      </c>
      <c r="AB61">
        <v>2681263.8089299998</v>
      </c>
      <c r="AC61" s="1" t="s">
        <v>245</v>
      </c>
      <c r="AD61" t="s">
        <v>246</v>
      </c>
    </row>
    <row r="62" spans="2:30" x14ac:dyDescent="0.25">
      <c r="B62" s="1" t="s">
        <v>252</v>
      </c>
      <c r="C62">
        <v>61</v>
      </c>
      <c r="D62" s="1" t="s">
        <v>80</v>
      </c>
      <c r="E62" t="s">
        <v>152</v>
      </c>
      <c r="F62" s="1" t="s">
        <v>318</v>
      </c>
      <c r="O62" s="1" t="s">
        <v>364</v>
      </c>
      <c r="P62" t="s">
        <v>108</v>
      </c>
      <c r="Q62" s="1" t="s">
        <v>244</v>
      </c>
      <c r="R62">
        <v>2</v>
      </c>
      <c r="S62">
        <v>50</v>
      </c>
      <c r="T62">
        <v>49</v>
      </c>
      <c r="U62">
        <v>32</v>
      </c>
      <c r="AA62">
        <v>1404.6125113099999</v>
      </c>
      <c r="AB62">
        <v>2825170.6566699999</v>
      </c>
      <c r="AC62" s="1" t="s">
        <v>245</v>
      </c>
      <c r="AD62" t="s">
        <v>246</v>
      </c>
    </row>
    <row r="63" spans="2:30" x14ac:dyDescent="0.25">
      <c r="B63" s="1" t="s">
        <v>247</v>
      </c>
      <c r="C63">
        <v>62</v>
      </c>
      <c r="D63" s="1" t="s">
        <v>80</v>
      </c>
      <c r="E63" t="s">
        <v>152</v>
      </c>
      <c r="F63" s="1" t="s">
        <v>314</v>
      </c>
      <c r="O63" s="1" t="s">
        <v>365</v>
      </c>
      <c r="P63" t="s">
        <v>108</v>
      </c>
      <c r="Q63" s="1" t="s">
        <v>244</v>
      </c>
      <c r="R63">
        <v>3</v>
      </c>
      <c r="S63">
        <v>50</v>
      </c>
      <c r="T63">
        <v>50</v>
      </c>
      <c r="U63">
        <v>31</v>
      </c>
      <c r="AA63">
        <v>1299.6600304599999</v>
      </c>
      <c r="AB63">
        <v>2607561.00985</v>
      </c>
      <c r="AC63" s="1" t="s">
        <v>245</v>
      </c>
      <c r="AD63" t="s">
        <v>246</v>
      </c>
    </row>
    <row r="64" spans="2:30" x14ac:dyDescent="0.25">
      <c r="B64" s="1" t="s">
        <v>248</v>
      </c>
      <c r="C64">
        <v>63</v>
      </c>
      <c r="D64" s="1" t="s">
        <v>80</v>
      </c>
      <c r="E64" t="s">
        <v>152</v>
      </c>
      <c r="F64" s="1" t="s">
        <v>314</v>
      </c>
      <c r="O64" s="1" t="s">
        <v>366</v>
      </c>
      <c r="P64" t="s">
        <v>108</v>
      </c>
      <c r="Q64" s="1" t="s">
        <v>244</v>
      </c>
      <c r="R64">
        <v>7</v>
      </c>
      <c r="S64">
        <v>50</v>
      </c>
      <c r="T64">
        <v>50</v>
      </c>
      <c r="U64">
        <v>30</v>
      </c>
      <c r="AA64">
        <v>1469.9438952600001</v>
      </c>
      <c r="AB64">
        <v>2929456.1621300001</v>
      </c>
      <c r="AC64" s="1" t="s">
        <v>245</v>
      </c>
      <c r="AD64" t="s">
        <v>246</v>
      </c>
    </row>
    <row r="65" spans="2:30" x14ac:dyDescent="0.25">
      <c r="B65" s="1" t="s">
        <v>247</v>
      </c>
      <c r="C65">
        <v>64</v>
      </c>
      <c r="D65" s="1" t="s">
        <v>80</v>
      </c>
      <c r="E65" t="s">
        <v>152</v>
      </c>
      <c r="F65" s="1" t="s">
        <v>314</v>
      </c>
      <c r="O65" s="1" t="s">
        <v>367</v>
      </c>
      <c r="P65" t="s">
        <v>108</v>
      </c>
      <c r="Q65" s="1" t="s">
        <v>244</v>
      </c>
      <c r="R65">
        <v>6</v>
      </c>
      <c r="S65">
        <v>50</v>
      </c>
      <c r="T65">
        <v>50</v>
      </c>
      <c r="U65">
        <v>29</v>
      </c>
      <c r="AA65">
        <v>1364.99100125</v>
      </c>
      <c r="AB65">
        <v>2696554.8877900001</v>
      </c>
      <c r="AC65" s="1" t="s">
        <v>245</v>
      </c>
      <c r="AD65" t="s">
        <v>246</v>
      </c>
    </row>
    <row r="66" spans="2:30" x14ac:dyDescent="0.25">
      <c r="B66" s="1" t="s">
        <v>248</v>
      </c>
      <c r="C66">
        <v>65</v>
      </c>
      <c r="D66" s="1" t="s">
        <v>80</v>
      </c>
      <c r="E66" t="s">
        <v>152</v>
      </c>
      <c r="F66" s="1" t="s">
        <v>314</v>
      </c>
      <c r="O66" s="1" t="s">
        <v>368</v>
      </c>
      <c r="P66" t="s">
        <v>108</v>
      </c>
      <c r="Q66" s="1" t="s">
        <v>244</v>
      </c>
      <c r="R66">
        <v>2</v>
      </c>
      <c r="S66">
        <v>50</v>
      </c>
      <c r="T66">
        <v>50</v>
      </c>
      <c r="U66">
        <v>31</v>
      </c>
      <c r="AA66">
        <v>1404.6125113099999</v>
      </c>
      <c r="AB66">
        <v>2840461.7354100002</v>
      </c>
      <c r="AC66" s="1" t="s">
        <v>245</v>
      </c>
      <c r="AD66" t="s">
        <v>246</v>
      </c>
    </row>
    <row r="67" spans="2:30" x14ac:dyDescent="0.25">
      <c r="B67" s="1" t="s">
        <v>247</v>
      </c>
      <c r="C67">
        <v>66</v>
      </c>
      <c r="D67" s="1" t="s">
        <v>80</v>
      </c>
      <c r="E67" t="s">
        <v>152</v>
      </c>
      <c r="F67" s="1" t="s">
        <v>314</v>
      </c>
      <c r="O67" s="1" t="s">
        <v>369</v>
      </c>
      <c r="P67" t="s">
        <v>108</v>
      </c>
      <c r="Q67" s="1" t="s">
        <v>244</v>
      </c>
      <c r="R67">
        <v>2</v>
      </c>
      <c r="S67">
        <v>50</v>
      </c>
      <c r="T67">
        <v>50</v>
      </c>
      <c r="U67">
        <v>28</v>
      </c>
      <c r="AA67">
        <v>1115.51915781</v>
      </c>
      <c r="AB67">
        <v>2172851.9951399998</v>
      </c>
      <c r="AC67" s="1" t="s">
        <v>245</v>
      </c>
      <c r="AD67" t="s">
        <v>246</v>
      </c>
    </row>
    <row r="68" spans="2:30" x14ac:dyDescent="0.25">
      <c r="B68" s="1" t="s">
        <v>248</v>
      </c>
      <c r="C68">
        <v>67</v>
      </c>
      <c r="D68" s="1" t="s">
        <v>80</v>
      </c>
      <c r="E68" t="s">
        <v>152</v>
      </c>
      <c r="F68" s="1" t="s">
        <v>314</v>
      </c>
      <c r="O68" s="1" t="s">
        <v>369</v>
      </c>
      <c r="P68" t="s">
        <v>108</v>
      </c>
      <c r="Q68" s="1" t="s">
        <v>244</v>
      </c>
      <c r="R68">
        <v>2</v>
      </c>
      <c r="S68">
        <v>50</v>
      </c>
      <c r="T68">
        <v>50</v>
      </c>
      <c r="U68">
        <v>28</v>
      </c>
      <c r="AA68">
        <v>1115.51915781</v>
      </c>
      <c r="AB68">
        <v>2172851.9945100001</v>
      </c>
      <c r="AC68" s="1" t="s">
        <v>245</v>
      </c>
      <c r="AD68" t="s">
        <v>246</v>
      </c>
    </row>
    <row r="69" spans="2:30" x14ac:dyDescent="0.25">
      <c r="B69" s="1" t="s">
        <v>247</v>
      </c>
      <c r="C69">
        <v>68</v>
      </c>
      <c r="D69" s="1" t="s">
        <v>80</v>
      </c>
      <c r="E69" t="s">
        <v>152</v>
      </c>
      <c r="F69" s="1" t="s">
        <v>314</v>
      </c>
      <c r="O69" s="1" t="s">
        <v>370</v>
      </c>
      <c r="P69" t="s">
        <v>108</v>
      </c>
      <c r="Q69" s="1" t="s">
        <v>244</v>
      </c>
      <c r="R69">
        <v>1</v>
      </c>
      <c r="S69">
        <v>50</v>
      </c>
      <c r="T69">
        <v>50</v>
      </c>
      <c r="U69">
        <v>28</v>
      </c>
      <c r="AA69">
        <v>1115.1517442100001</v>
      </c>
      <c r="AB69">
        <v>2171951.4139</v>
      </c>
      <c r="AC69" s="1" t="s">
        <v>245</v>
      </c>
      <c r="AD69" t="s">
        <v>246</v>
      </c>
    </row>
    <row r="70" spans="2:30" x14ac:dyDescent="0.25">
      <c r="B70" s="1" t="s">
        <v>265</v>
      </c>
      <c r="C70">
        <v>69</v>
      </c>
      <c r="D70" s="1" t="s">
        <v>80</v>
      </c>
      <c r="E70" t="s">
        <v>152</v>
      </c>
      <c r="F70" s="1" t="s">
        <v>322</v>
      </c>
      <c r="O70" s="1" t="s">
        <v>371</v>
      </c>
      <c r="P70" t="s">
        <v>108</v>
      </c>
      <c r="Q70" s="1" t="s">
        <v>244</v>
      </c>
      <c r="R70">
        <v>9</v>
      </c>
      <c r="S70">
        <v>50</v>
      </c>
      <c r="T70">
        <v>50</v>
      </c>
      <c r="U70">
        <v>26</v>
      </c>
      <c r="AA70">
        <v>1165.9012336599999</v>
      </c>
      <c r="AB70">
        <v>2209592.1592899999</v>
      </c>
      <c r="AC70" s="1" t="s">
        <v>245</v>
      </c>
      <c r="AD70" t="s">
        <v>246</v>
      </c>
    </row>
    <row r="71" spans="2:30" x14ac:dyDescent="0.25">
      <c r="B71" s="1" t="s">
        <v>257</v>
      </c>
      <c r="C71">
        <v>70</v>
      </c>
      <c r="D71" s="1" t="s">
        <v>80</v>
      </c>
      <c r="E71" t="s">
        <v>152</v>
      </c>
      <c r="F71" s="1" t="s">
        <v>322</v>
      </c>
      <c r="O71" s="1" t="s">
        <v>372</v>
      </c>
      <c r="P71" t="s">
        <v>108</v>
      </c>
      <c r="Q71" s="1" t="s">
        <v>244</v>
      </c>
      <c r="R71">
        <v>3</v>
      </c>
      <c r="S71">
        <v>50</v>
      </c>
      <c r="T71">
        <v>55</v>
      </c>
      <c r="U71">
        <v>28</v>
      </c>
      <c r="AA71">
        <v>1299.94667211</v>
      </c>
      <c r="AB71">
        <v>2679319.7442899998</v>
      </c>
      <c r="AC71" s="1" t="s">
        <v>245</v>
      </c>
      <c r="AD71" t="s">
        <v>246</v>
      </c>
    </row>
    <row r="72" spans="2:30" x14ac:dyDescent="0.25">
      <c r="B72" s="1" t="s">
        <v>257</v>
      </c>
      <c r="C72">
        <v>71</v>
      </c>
      <c r="D72" s="1" t="s">
        <v>80</v>
      </c>
      <c r="E72" t="s">
        <v>152</v>
      </c>
      <c r="F72" s="1" t="s">
        <v>322</v>
      </c>
      <c r="O72" s="1" t="s">
        <v>373</v>
      </c>
      <c r="P72" t="s">
        <v>108</v>
      </c>
      <c r="Q72" s="1" t="s">
        <v>244</v>
      </c>
      <c r="R72">
        <v>6</v>
      </c>
      <c r="S72">
        <v>50</v>
      </c>
      <c r="T72">
        <v>55</v>
      </c>
      <c r="U72">
        <v>26</v>
      </c>
      <c r="AA72">
        <v>1364.99405142</v>
      </c>
      <c r="AB72">
        <v>2767664.71948</v>
      </c>
      <c r="AC72" s="1" t="s">
        <v>245</v>
      </c>
      <c r="AD72" t="s">
        <v>246</v>
      </c>
    </row>
    <row r="73" spans="2:30" x14ac:dyDescent="0.25">
      <c r="B73" s="1" t="s">
        <v>256</v>
      </c>
      <c r="C73">
        <v>72</v>
      </c>
      <c r="D73" s="1" t="s">
        <v>80</v>
      </c>
      <c r="E73" t="s">
        <v>152</v>
      </c>
      <c r="F73" s="1" t="s">
        <v>322</v>
      </c>
      <c r="O73" s="1" t="s">
        <v>373</v>
      </c>
      <c r="P73" t="s">
        <v>108</v>
      </c>
      <c r="Q73" s="1" t="s">
        <v>244</v>
      </c>
      <c r="R73">
        <v>6</v>
      </c>
      <c r="S73">
        <v>50</v>
      </c>
      <c r="T73">
        <v>55</v>
      </c>
      <c r="U73">
        <v>26</v>
      </c>
      <c r="AA73">
        <v>1364.99407638</v>
      </c>
      <c r="AB73">
        <v>2767664.7525399998</v>
      </c>
      <c r="AC73" s="1" t="s">
        <v>245</v>
      </c>
      <c r="AD73" t="s">
        <v>246</v>
      </c>
    </row>
    <row r="74" spans="2:30" x14ac:dyDescent="0.25">
      <c r="B74" s="1" t="s">
        <v>256</v>
      </c>
      <c r="C74">
        <v>73</v>
      </c>
      <c r="D74" s="1" t="s">
        <v>80</v>
      </c>
      <c r="E74" t="s">
        <v>152</v>
      </c>
      <c r="F74" s="1" t="s">
        <v>322</v>
      </c>
      <c r="O74" s="1" t="s">
        <v>372</v>
      </c>
      <c r="P74" t="s">
        <v>108</v>
      </c>
      <c r="Q74" s="1" t="s">
        <v>244</v>
      </c>
      <c r="R74">
        <v>3</v>
      </c>
      <c r="S74">
        <v>50</v>
      </c>
      <c r="T74">
        <v>55</v>
      </c>
      <c r="U74">
        <v>28</v>
      </c>
      <c r="AA74">
        <v>1299.94667211</v>
      </c>
      <c r="AB74">
        <v>2679319.7442899998</v>
      </c>
      <c r="AC74" s="1" t="s">
        <v>245</v>
      </c>
      <c r="AD74" t="s">
        <v>246</v>
      </c>
    </row>
    <row r="75" spans="2:30" x14ac:dyDescent="0.25">
      <c r="B75" s="1" t="s">
        <v>251</v>
      </c>
      <c r="C75">
        <v>74</v>
      </c>
      <c r="D75" s="1" t="s">
        <v>80</v>
      </c>
      <c r="E75" t="s">
        <v>152</v>
      </c>
      <c r="F75" s="1" t="s">
        <v>318</v>
      </c>
      <c r="O75" s="1" t="s">
        <v>374</v>
      </c>
      <c r="P75" t="s">
        <v>108</v>
      </c>
      <c r="Q75" s="1" t="s">
        <v>244</v>
      </c>
      <c r="R75">
        <v>7</v>
      </c>
      <c r="S75">
        <v>50</v>
      </c>
      <c r="T75">
        <v>55</v>
      </c>
      <c r="U75">
        <v>26</v>
      </c>
      <c r="AA75">
        <v>1422.8662945399999</v>
      </c>
      <c r="AB75">
        <v>2900604.24651</v>
      </c>
      <c r="AC75" s="1" t="s">
        <v>245</v>
      </c>
      <c r="AD75" t="s">
        <v>246</v>
      </c>
    </row>
    <row r="76" spans="2:30" x14ac:dyDescent="0.25">
      <c r="B76" s="1" t="s">
        <v>243</v>
      </c>
      <c r="C76">
        <v>75</v>
      </c>
      <c r="D76" s="1" t="s">
        <v>80</v>
      </c>
      <c r="E76" t="s">
        <v>152</v>
      </c>
      <c r="F76" s="1" t="s">
        <v>314</v>
      </c>
      <c r="O76" s="1" t="s">
        <v>375</v>
      </c>
      <c r="P76" t="s">
        <v>108</v>
      </c>
      <c r="Q76" s="1" t="s">
        <v>244</v>
      </c>
      <c r="R76">
        <v>7</v>
      </c>
      <c r="S76">
        <v>50</v>
      </c>
      <c r="T76">
        <v>55</v>
      </c>
      <c r="U76">
        <v>26</v>
      </c>
      <c r="AA76">
        <v>1422.8662945399999</v>
      </c>
      <c r="AB76">
        <v>2900689.3244699999</v>
      </c>
      <c r="AC76" s="1" t="s">
        <v>245</v>
      </c>
      <c r="AD76" t="s">
        <v>246</v>
      </c>
    </row>
    <row r="77" spans="2:30" x14ac:dyDescent="0.25">
      <c r="B77" s="1" t="s">
        <v>251</v>
      </c>
      <c r="C77">
        <v>76</v>
      </c>
      <c r="D77" s="1" t="s">
        <v>80</v>
      </c>
      <c r="E77" t="s">
        <v>152</v>
      </c>
      <c r="F77" s="1" t="s">
        <v>318</v>
      </c>
      <c r="O77" s="1" t="s">
        <v>376</v>
      </c>
      <c r="P77" t="s">
        <v>108</v>
      </c>
      <c r="Q77" s="1" t="s">
        <v>244</v>
      </c>
      <c r="R77">
        <v>2</v>
      </c>
      <c r="S77">
        <v>50</v>
      </c>
      <c r="T77">
        <v>55</v>
      </c>
      <c r="U77">
        <v>23</v>
      </c>
      <c r="AA77">
        <v>1068.6446174600001</v>
      </c>
      <c r="AB77">
        <v>2075922.5837399999</v>
      </c>
      <c r="AC77" s="1" t="s">
        <v>245</v>
      </c>
      <c r="AD77" t="s">
        <v>246</v>
      </c>
    </row>
    <row r="78" spans="2:30" x14ac:dyDescent="0.25">
      <c r="B78" s="1" t="s">
        <v>251</v>
      </c>
      <c r="C78">
        <v>77</v>
      </c>
      <c r="D78" s="1" t="s">
        <v>80</v>
      </c>
      <c r="E78" t="s">
        <v>152</v>
      </c>
      <c r="F78" s="1" t="s">
        <v>318</v>
      </c>
      <c r="O78" s="1" t="s">
        <v>377</v>
      </c>
      <c r="P78" t="s">
        <v>108</v>
      </c>
      <c r="Q78" s="1" t="s">
        <v>244</v>
      </c>
      <c r="R78">
        <v>2</v>
      </c>
      <c r="S78">
        <v>50</v>
      </c>
      <c r="T78">
        <v>55</v>
      </c>
      <c r="U78">
        <v>28</v>
      </c>
      <c r="AA78">
        <v>1357.50855781</v>
      </c>
      <c r="AB78">
        <v>2809048.3856899999</v>
      </c>
      <c r="AC78" s="1" t="s">
        <v>245</v>
      </c>
      <c r="AD78" t="s">
        <v>246</v>
      </c>
    </row>
    <row r="79" spans="2:30" x14ac:dyDescent="0.25">
      <c r="B79" s="1" t="s">
        <v>243</v>
      </c>
      <c r="C79">
        <v>78</v>
      </c>
      <c r="D79" s="1" t="s">
        <v>80</v>
      </c>
      <c r="E79" t="s">
        <v>152</v>
      </c>
      <c r="F79" s="1" t="s">
        <v>314</v>
      </c>
      <c r="O79" s="1" t="s">
        <v>378</v>
      </c>
      <c r="P79" t="s">
        <v>108</v>
      </c>
      <c r="Q79" s="1" t="s">
        <v>244</v>
      </c>
      <c r="R79">
        <v>2</v>
      </c>
      <c r="S79">
        <v>50</v>
      </c>
      <c r="T79">
        <v>55</v>
      </c>
      <c r="U79">
        <v>23</v>
      </c>
      <c r="AA79">
        <v>1068.6446174600001</v>
      </c>
      <c r="AB79">
        <v>2076034.86044</v>
      </c>
      <c r="AC79" s="1" t="s">
        <v>245</v>
      </c>
      <c r="AD79" t="s">
        <v>246</v>
      </c>
    </row>
    <row r="80" spans="2:30" x14ac:dyDescent="0.25">
      <c r="B80" s="1" t="s">
        <v>243</v>
      </c>
      <c r="C80">
        <v>79</v>
      </c>
      <c r="D80" s="1" t="s">
        <v>80</v>
      </c>
      <c r="E80" t="s">
        <v>152</v>
      </c>
      <c r="F80" s="1" t="s">
        <v>314</v>
      </c>
      <c r="O80" s="1" t="s">
        <v>379</v>
      </c>
      <c r="P80" t="s">
        <v>108</v>
      </c>
      <c r="Q80" s="1" t="s">
        <v>244</v>
      </c>
      <c r="R80">
        <v>2</v>
      </c>
      <c r="S80">
        <v>50</v>
      </c>
      <c r="T80">
        <v>55</v>
      </c>
      <c r="U80">
        <v>28</v>
      </c>
      <c r="AA80">
        <v>1357.50855781</v>
      </c>
      <c r="AB80">
        <v>2809129.2096199999</v>
      </c>
      <c r="AC80" s="1" t="s">
        <v>245</v>
      </c>
      <c r="AD80" t="s">
        <v>246</v>
      </c>
    </row>
    <row r="81" spans="2:30" x14ac:dyDescent="0.25">
      <c r="B81" s="1" t="s">
        <v>266</v>
      </c>
      <c r="C81">
        <v>80</v>
      </c>
      <c r="D81" s="1" t="s">
        <v>80</v>
      </c>
      <c r="E81" t="s">
        <v>152</v>
      </c>
      <c r="F81" s="1" t="s">
        <v>322</v>
      </c>
      <c r="O81" s="1" t="s">
        <v>380</v>
      </c>
      <c r="P81" t="s">
        <v>108</v>
      </c>
      <c r="Q81" s="1" t="s">
        <v>244</v>
      </c>
      <c r="R81">
        <v>9</v>
      </c>
      <c r="S81">
        <v>50</v>
      </c>
      <c r="T81">
        <v>58</v>
      </c>
      <c r="U81">
        <v>48</v>
      </c>
      <c r="AA81">
        <v>1115.99979609</v>
      </c>
      <c r="AB81">
        <v>2961719.2048499999</v>
      </c>
      <c r="AC81" s="1" t="s">
        <v>245</v>
      </c>
      <c r="AD81" t="s">
        <v>246</v>
      </c>
    </row>
    <row r="82" spans="2:30" x14ac:dyDescent="0.25">
      <c r="B82" s="1" t="s">
        <v>266</v>
      </c>
      <c r="C82">
        <v>81</v>
      </c>
      <c r="D82" s="1" t="s">
        <v>80</v>
      </c>
      <c r="E82" t="s">
        <v>152</v>
      </c>
      <c r="F82" s="1" t="s">
        <v>322</v>
      </c>
      <c r="O82" s="1" t="s">
        <v>381</v>
      </c>
      <c r="P82" t="s">
        <v>108</v>
      </c>
      <c r="Q82" s="1" t="s">
        <v>244</v>
      </c>
      <c r="R82">
        <v>4</v>
      </c>
      <c r="S82">
        <v>50</v>
      </c>
      <c r="T82">
        <v>58</v>
      </c>
      <c r="U82">
        <v>33</v>
      </c>
      <c r="AA82">
        <v>2264.6754525400002</v>
      </c>
      <c r="AB82">
        <v>5130131.9076500004</v>
      </c>
      <c r="AC82" s="1" t="s">
        <v>245</v>
      </c>
      <c r="AD82" t="s">
        <v>246</v>
      </c>
    </row>
    <row r="83" spans="2:30" x14ac:dyDescent="0.25">
      <c r="B83" s="1" t="s">
        <v>267</v>
      </c>
      <c r="C83">
        <v>82</v>
      </c>
      <c r="D83" s="1" t="s">
        <v>80</v>
      </c>
      <c r="E83" t="s">
        <v>152</v>
      </c>
      <c r="F83" s="1" t="s">
        <v>322</v>
      </c>
      <c r="O83" s="1" t="s">
        <v>382</v>
      </c>
      <c r="P83" t="s">
        <v>108</v>
      </c>
      <c r="Q83" s="1" t="s">
        <v>244</v>
      </c>
      <c r="R83">
        <v>9</v>
      </c>
      <c r="S83">
        <v>50</v>
      </c>
      <c r="T83">
        <v>58</v>
      </c>
      <c r="U83">
        <v>42</v>
      </c>
      <c r="AA83">
        <v>1604.98694473</v>
      </c>
      <c r="AB83">
        <v>3999213.1797000002</v>
      </c>
      <c r="AC83" s="1" t="s">
        <v>245</v>
      </c>
      <c r="AD83" t="s">
        <v>246</v>
      </c>
    </row>
    <row r="84" spans="2:30" x14ac:dyDescent="0.25">
      <c r="B84" s="1" t="s">
        <v>268</v>
      </c>
      <c r="C84">
        <v>83</v>
      </c>
      <c r="D84" s="1" t="s">
        <v>80</v>
      </c>
      <c r="E84" t="s">
        <v>152</v>
      </c>
      <c r="F84" s="1" t="s">
        <v>322</v>
      </c>
      <c r="O84" s="1" t="s">
        <v>382</v>
      </c>
      <c r="P84" t="s">
        <v>108</v>
      </c>
      <c r="Q84" s="1" t="s">
        <v>244</v>
      </c>
      <c r="R84">
        <v>9</v>
      </c>
      <c r="S84">
        <v>50</v>
      </c>
      <c r="T84">
        <v>58</v>
      </c>
      <c r="U84">
        <v>42</v>
      </c>
      <c r="AA84">
        <v>1604.98694473</v>
      </c>
      <c r="AB84">
        <v>3999213.1777400002</v>
      </c>
      <c r="AC84" s="1" t="s">
        <v>245</v>
      </c>
      <c r="AD84" t="s">
        <v>246</v>
      </c>
    </row>
    <row r="85" spans="2:30" x14ac:dyDescent="0.25">
      <c r="B85" s="1" t="s">
        <v>257</v>
      </c>
      <c r="C85">
        <v>84</v>
      </c>
      <c r="D85" s="1" t="s">
        <v>80</v>
      </c>
      <c r="E85" t="s">
        <v>152</v>
      </c>
      <c r="F85" s="1" t="s">
        <v>322</v>
      </c>
      <c r="O85" s="1" t="s">
        <v>383</v>
      </c>
      <c r="P85" t="s">
        <v>108</v>
      </c>
      <c r="Q85" s="1" t="s">
        <v>244</v>
      </c>
      <c r="R85">
        <v>4</v>
      </c>
      <c r="S85">
        <v>50</v>
      </c>
      <c r="T85">
        <v>58</v>
      </c>
      <c r="U85">
        <v>34</v>
      </c>
      <c r="AA85">
        <v>2904.93361684</v>
      </c>
      <c r="AB85">
        <v>6678532.9234699998</v>
      </c>
      <c r="AC85" s="1" t="s">
        <v>245</v>
      </c>
      <c r="AD85" t="s">
        <v>246</v>
      </c>
    </row>
    <row r="86" spans="2:30" x14ac:dyDescent="0.25">
      <c r="B86" s="1" t="s">
        <v>256</v>
      </c>
      <c r="C86">
        <v>85</v>
      </c>
      <c r="D86" s="1" t="s">
        <v>80</v>
      </c>
      <c r="E86" t="s">
        <v>152</v>
      </c>
      <c r="F86" s="1" t="s">
        <v>322</v>
      </c>
      <c r="O86" s="1" t="s">
        <v>383</v>
      </c>
      <c r="P86" t="s">
        <v>108</v>
      </c>
      <c r="Q86" s="1" t="s">
        <v>244</v>
      </c>
      <c r="R86">
        <v>2</v>
      </c>
      <c r="S86">
        <v>50</v>
      </c>
      <c r="T86">
        <v>58</v>
      </c>
      <c r="U86">
        <v>34</v>
      </c>
      <c r="AA86">
        <v>2904.93361684</v>
      </c>
      <c r="AB86">
        <v>6678532.9222799996</v>
      </c>
      <c r="AC86" s="1" t="s">
        <v>245</v>
      </c>
      <c r="AD86" t="s">
        <v>246</v>
      </c>
    </row>
    <row r="87" spans="2:30" x14ac:dyDescent="0.25">
      <c r="B87" s="1" t="s">
        <v>258</v>
      </c>
      <c r="C87">
        <v>86</v>
      </c>
      <c r="D87" s="1" t="s">
        <v>80</v>
      </c>
      <c r="E87" t="s">
        <v>152</v>
      </c>
      <c r="F87" s="1" t="s">
        <v>322</v>
      </c>
      <c r="O87" s="1" t="s">
        <v>384</v>
      </c>
      <c r="P87" t="s">
        <v>108</v>
      </c>
      <c r="Q87" s="1" t="s">
        <v>244</v>
      </c>
      <c r="R87">
        <v>2</v>
      </c>
      <c r="S87">
        <v>50</v>
      </c>
      <c r="T87">
        <v>58</v>
      </c>
      <c r="U87">
        <v>58</v>
      </c>
      <c r="AA87">
        <v>1069.38916113</v>
      </c>
      <c r="AB87">
        <v>3116924.6827500002</v>
      </c>
      <c r="AC87" s="1" t="s">
        <v>245</v>
      </c>
      <c r="AD87" t="s">
        <v>246</v>
      </c>
    </row>
    <row r="88" spans="2:30" x14ac:dyDescent="0.25">
      <c r="B88" s="1" t="s">
        <v>250</v>
      </c>
      <c r="C88">
        <v>87</v>
      </c>
      <c r="D88" s="1" t="s">
        <v>80</v>
      </c>
      <c r="E88" t="s">
        <v>152</v>
      </c>
      <c r="F88" s="1" t="s">
        <v>314</v>
      </c>
      <c r="G88">
        <v>3813</v>
      </c>
      <c r="H88">
        <v>76</v>
      </c>
      <c r="I88">
        <v>3833</v>
      </c>
      <c r="L88">
        <v>1521</v>
      </c>
      <c r="M88">
        <v>1531</v>
      </c>
      <c r="N88">
        <v>5.868274722673271</v>
      </c>
      <c r="O88" s="1"/>
      <c r="Q88" s="1"/>
      <c r="AC88" s="1"/>
    </row>
    <row r="89" spans="2:30" x14ac:dyDescent="0.25">
      <c r="B89" s="1" t="s">
        <v>249</v>
      </c>
      <c r="C89">
        <v>88</v>
      </c>
      <c r="D89" s="1" t="s">
        <v>80</v>
      </c>
      <c r="E89" t="s">
        <v>152</v>
      </c>
      <c r="F89" s="1" t="s">
        <v>314</v>
      </c>
      <c r="G89">
        <v>4183</v>
      </c>
      <c r="H89">
        <v>76</v>
      </c>
      <c r="I89">
        <v>4203</v>
      </c>
      <c r="L89">
        <v>1366</v>
      </c>
      <c r="M89">
        <v>1366</v>
      </c>
      <c r="N89">
        <v>5.7409707681460773</v>
      </c>
      <c r="O89" s="1"/>
      <c r="Q89" s="1"/>
      <c r="AC89" s="1"/>
    </row>
    <row r="90" spans="2:30" x14ac:dyDescent="0.25">
      <c r="B90" s="1" t="s">
        <v>262</v>
      </c>
      <c r="C90">
        <v>89</v>
      </c>
      <c r="D90" s="1" t="s">
        <v>80</v>
      </c>
      <c r="E90" t="s">
        <v>152</v>
      </c>
      <c r="F90" s="1" t="s">
        <v>314</v>
      </c>
      <c r="G90">
        <v>4165</v>
      </c>
      <c r="H90">
        <v>73</v>
      </c>
      <c r="I90">
        <v>4205</v>
      </c>
      <c r="L90">
        <v>855</v>
      </c>
      <c r="M90">
        <v>925</v>
      </c>
      <c r="N90">
        <v>3.889994609831843</v>
      </c>
      <c r="O90" s="1"/>
      <c r="Q90" s="1"/>
      <c r="AC90" s="1"/>
    </row>
    <row r="91" spans="2:30" x14ac:dyDescent="0.25">
      <c r="B91" s="1" t="s">
        <v>248</v>
      </c>
      <c r="C91">
        <v>90</v>
      </c>
      <c r="D91" s="1" t="s">
        <v>80</v>
      </c>
      <c r="E91" t="s">
        <v>152</v>
      </c>
      <c r="F91" s="1" t="s">
        <v>314</v>
      </c>
      <c r="G91">
        <v>3502</v>
      </c>
      <c r="H91">
        <v>78</v>
      </c>
      <c r="I91">
        <v>3502</v>
      </c>
      <c r="L91">
        <v>1470</v>
      </c>
      <c r="M91">
        <v>1480</v>
      </c>
      <c r="N91">
        <v>5.1821483026081836</v>
      </c>
      <c r="O91" s="1"/>
      <c r="Q91" s="1"/>
      <c r="AC91" s="1"/>
    </row>
    <row r="92" spans="2:30" x14ac:dyDescent="0.25">
      <c r="B92" s="1" t="s">
        <v>247</v>
      </c>
      <c r="C92">
        <v>91</v>
      </c>
      <c r="D92" s="1" t="s">
        <v>80</v>
      </c>
      <c r="E92" t="s">
        <v>152</v>
      </c>
      <c r="F92" s="1" t="s">
        <v>314</v>
      </c>
      <c r="G92">
        <v>4183</v>
      </c>
      <c r="H92">
        <v>78</v>
      </c>
      <c r="I92">
        <v>4203</v>
      </c>
      <c r="L92">
        <v>1365</v>
      </c>
      <c r="M92">
        <v>1365</v>
      </c>
      <c r="N92">
        <v>5.7373639604012006</v>
      </c>
      <c r="O92" s="1"/>
      <c r="Q92" s="1"/>
      <c r="AC92" s="1"/>
    </row>
    <row r="93" spans="2:30" x14ac:dyDescent="0.25">
      <c r="B93" s="1" t="s">
        <v>263</v>
      </c>
      <c r="C93">
        <v>92</v>
      </c>
      <c r="D93" s="1" t="s">
        <v>80</v>
      </c>
      <c r="E93" t="s">
        <v>152</v>
      </c>
      <c r="F93" s="1" t="s">
        <v>314</v>
      </c>
      <c r="G93">
        <v>4165</v>
      </c>
      <c r="H93">
        <v>73</v>
      </c>
      <c r="I93">
        <v>4205</v>
      </c>
      <c r="L93">
        <v>905</v>
      </c>
      <c r="M93">
        <v>975</v>
      </c>
      <c r="N93">
        <v>4.1000866958935678</v>
      </c>
      <c r="O93" s="1"/>
      <c r="Q93" s="1"/>
      <c r="AC93" s="1"/>
    </row>
    <row r="94" spans="2:30" x14ac:dyDescent="0.25">
      <c r="B94" s="1" t="s">
        <v>243</v>
      </c>
      <c r="C94">
        <v>93</v>
      </c>
      <c r="D94" s="1" t="s">
        <v>80</v>
      </c>
      <c r="E94" t="s">
        <v>152</v>
      </c>
      <c r="F94" s="1" t="s">
        <v>314</v>
      </c>
      <c r="G94">
        <v>3502</v>
      </c>
      <c r="H94">
        <v>83</v>
      </c>
      <c r="I94">
        <v>3502</v>
      </c>
      <c r="L94">
        <v>1423</v>
      </c>
      <c r="M94">
        <v>1433</v>
      </c>
      <c r="N94">
        <v>5.017872141649474</v>
      </c>
      <c r="O94" s="1"/>
      <c r="Q94" s="1"/>
      <c r="AC94" s="1"/>
    </row>
    <row r="95" spans="2:30" x14ac:dyDescent="0.25">
      <c r="B95" s="1" t="s">
        <v>255</v>
      </c>
      <c r="C95">
        <v>94</v>
      </c>
      <c r="D95" s="1" t="s">
        <v>80</v>
      </c>
      <c r="E95" t="s">
        <v>152</v>
      </c>
      <c r="F95" s="1" t="s">
        <v>318</v>
      </c>
      <c r="G95">
        <v>3813</v>
      </c>
      <c r="H95">
        <v>76</v>
      </c>
      <c r="I95">
        <v>3833</v>
      </c>
      <c r="L95">
        <v>1521</v>
      </c>
      <c r="M95">
        <v>1531</v>
      </c>
      <c r="N95">
        <v>5.868274722673271</v>
      </c>
      <c r="O95" s="1"/>
      <c r="Q95" s="1"/>
      <c r="AC95" s="1"/>
    </row>
    <row r="96" spans="2:30" x14ac:dyDescent="0.25">
      <c r="B96" s="1" t="s">
        <v>254</v>
      </c>
      <c r="C96">
        <v>95</v>
      </c>
      <c r="D96" s="1" t="s">
        <v>80</v>
      </c>
      <c r="E96" t="s">
        <v>152</v>
      </c>
      <c r="F96" s="1" t="s">
        <v>318</v>
      </c>
      <c r="G96">
        <v>4183</v>
      </c>
      <c r="H96">
        <v>76</v>
      </c>
      <c r="I96">
        <v>4203</v>
      </c>
      <c r="L96">
        <v>1366</v>
      </c>
      <c r="M96">
        <v>1366</v>
      </c>
      <c r="N96">
        <v>5.7409707681457585</v>
      </c>
      <c r="O96" s="1"/>
      <c r="Q96" s="1"/>
      <c r="AC96" s="1"/>
    </row>
    <row r="97" spans="2:29" x14ac:dyDescent="0.25">
      <c r="B97" s="1" t="s">
        <v>261</v>
      </c>
      <c r="C97">
        <v>96</v>
      </c>
      <c r="D97" s="1" t="s">
        <v>80</v>
      </c>
      <c r="E97" t="s">
        <v>152</v>
      </c>
      <c r="F97" s="1" t="s">
        <v>318</v>
      </c>
      <c r="G97">
        <v>4165</v>
      </c>
      <c r="H97">
        <v>73</v>
      </c>
      <c r="I97">
        <v>4205</v>
      </c>
      <c r="L97">
        <v>855</v>
      </c>
      <c r="M97">
        <v>925</v>
      </c>
      <c r="N97">
        <v>3.889994609831843</v>
      </c>
      <c r="O97" s="1"/>
      <c r="Q97" s="1"/>
      <c r="AC97" s="1"/>
    </row>
    <row r="98" spans="2:29" x14ac:dyDescent="0.25">
      <c r="B98" s="1" t="s">
        <v>252</v>
      </c>
      <c r="C98">
        <v>97</v>
      </c>
      <c r="D98" s="1" t="s">
        <v>80</v>
      </c>
      <c r="E98" t="s">
        <v>152</v>
      </c>
      <c r="F98" s="1" t="s">
        <v>318</v>
      </c>
      <c r="G98">
        <v>3502</v>
      </c>
      <c r="H98">
        <v>77</v>
      </c>
      <c r="I98">
        <v>3502</v>
      </c>
      <c r="L98">
        <v>1470</v>
      </c>
      <c r="M98">
        <v>1480</v>
      </c>
      <c r="N98">
        <v>5.1821482715398037</v>
      </c>
      <c r="O98" s="1"/>
      <c r="Q98" s="1"/>
      <c r="AC98" s="1"/>
    </row>
    <row r="99" spans="2:29" x14ac:dyDescent="0.25">
      <c r="B99" s="1" t="s">
        <v>253</v>
      </c>
      <c r="C99">
        <v>98</v>
      </c>
      <c r="D99" s="1" t="s">
        <v>80</v>
      </c>
      <c r="E99" t="s">
        <v>152</v>
      </c>
      <c r="F99" s="1" t="s">
        <v>318</v>
      </c>
      <c r="G99">
        <v>4183</v>
      </c>
      <c r="H99">
        <v>77</v>
      </c>
      <c r="I99">
        <v>4203</v>
      </c>
      <c r="L99">
        <v>1365</v>
      </c>
      <c r="M99">
        <v>1365</v>
      </c>
      <c r="N99">
        <v>5.7373639607080351</v>
      </c>
      <c r="O99" s="1"/>
      <c r="Q99" s="1"/>
      <c r="AC99" s="1"/>
    </row>
    <row r="100" spans="2:29" x14ac:dyDescent="0.25">
      <c r="B100" s="1" t="s">
        <v>264</v>
      </c>
      <c r="C100">
        <v>99</v>
      </c>
      <c r="D100" s="1" t="s">
        <v>80</v>
      </c>
      <c r="E100" t="s">
        <v>152</v>
      </c>
      <c r="F100" s="1" t="s">
        <v>318</v>
      </c>
      <c r="G100">
        <v>4165</v>
      </c>
      <c r="H100">
        <v>73</v>
      </c>
      <c r="I100">
        <v>4205</v>
      </c>
      <c r="L100">
        <v>905</v>
      </c>
      <c r="M100">
        <v>975</v>
      </c>
      <c r="N100">
        <v>4.1000866958935678</v>
      </c>
      <c r="O100" s="1"/>
      <c r="Q100" s="1"/>
      <c r="AC100" s="1"/>
    </row>
    <row r="101" spans="2:29" x14ac:dyDescent="0.25">
      <c r="B101" s="1" t="s">
        <v>251</v>
      </c>
      <c r="C101">
        <v>100</v>
      </c>
      <c r="D101" s="1" t="s">
        <v>80</v>
      </c>
      <c r="E101" t="s">
        <v>152</v>
      </c>
      <c r="F101" s="1" t="s">
        <v>318</v>
      </c>
      <c r="G101">
        <v>3502</v>
      </c>
      <c r="H101">
        <v>83</v>
      </c>
      <c r="I101">
        <v>3502</v>
      </c>
      <c r="L101">
        <v>1423</v>
      </c>
      <c r="M101">
        <v>1433</v>
      </c>
      <c r="N101">
        <v>5.0178624906990601</v>
      </c>
      <c r="O101" s="1"/>
      <c r="Q101" s="1"/>
      <c r="AC101" s="1"/>
    </row>
    <row r="102" spans="2:29" x14ac:dyDescent="0.25">
      <c r="B102" s="1" t="s">
        <v>256</v>
      </c>
      <c r="C102">
        <v>101</v>
      </c>
      <c r="D102" s="1" t="s">
        <v>80</v>
      </c>
      <c r="E102" t="s">
        <v>152</v>
      </c>
      <c r="F102" s="1" t="s">
        <v>322</v>
      </c>
      <c r="G102">
        <v>3813</v>
      </c>
      <c r="H102">
        <v>86</v>
      </c>
      <c r="I102">
        <v>3857</v>
      </c>
      <c r="L102">
        <v>2970</v>
      </c>
      <c r="M102">
        <v>2980</v>
      </c>
      <c r="N102">
        <v>11.493980925309828</v>
      </c>
      <c r="O102" s="1"/>
      <c r="Q102" s="1"/>
      <c r="AC102" s="1"/>
    </row>
    <row r="103" spans="2:29" x14ac:dyDescent="0.25">
      <c r="B103" s="1" t="s">
        <v>268</v>
      </c>
      <c r="C103">
        <v>102</v>
      </c>
      <c r="D103" s="1" t="s">
        <v>80</v>
      </c>
      <c r="E103" t="s">
        <v>152</v>
      </c>
      <c r="F103" s="1" t="s">
        <v>322</v>
      </c>
      <c r="G103">
        <v>3690</v>
      </c>
      <c r="H103">
        <v>86</v>
      </c>
      <c r="I103">
        <v>3734</v>
      </c>
      <c r="L103">
        <v>1605</v>
      </c>
      <c r="M103">
        <v>1675</v>
      </c>
      <c r="N103">
        <v>6.2537001746663607</v>
      </c>
      <c r="O103" s="1"/>
      <c r="Q103" s="1"/>
      <c r="AC103" s="1"/>
    </row>
    <row r="104" spans="2:29" x14ac:dyDescent="0.25">
      <c r="B104" s="1" t="s">
        <v>257</v>
      </c>
      <c r="C104">
        <v>103</v>
      </c>
      <c r="D104" s="1" t="s">
        <v>80</v>
      </c>
      <c r="E104" t="s">
        <v>152</v>
      </c>
      <c r="F104" s="1" t="s">
        <v>322</v>
      </c>
      <c r="G104">
        <v>4201</v>
      </c>
      <c r="H104">
        <v>86</v>
      </c>
      <c r="I104">
        <v>4201</v>
      </c>
      <c r="L104">
        <v>2970</v>
      </c>
      <c r="M104">
        <v>2980</v>
      </c>
      <c r="N104">
        <v>12.519012397726836</v>
      </c>
      <c r="O104" s="1"/>
      <c r="Q104" s="1"/>
      <c r="AC104" s="1"/>
    </row>
    <row r="105" spans="2:29" x14ac:dyDescent="0.25">
      <c r="B105" s="1" t="s">
        <v>267</v>
      </c>
      <c r="C105">
        <v>104</v>
      </c>
      <c r="D105" s="1" t="s">
        <v>80</v>
      </c>
      <c r="E105" t="s">
        <v>152</v>
      </c>
      <c r="F105" s="1" t="s">
        <v>322</v>
      </c>
      <c r="G105">
        <v>3952</v>
      </c>
      <c r="H105">
        <v>86</v>
      </c>
      <c r="I105">
        <v>3952</v>
      </c>
      <c r="L105">
        <v>1605</v>
      </c>
      <c r="M105">
        <v>1675</v>
      </c>
      <c r="N105">
        <v>6.6204482257006259</v>
      </c>
      <c r="O105" s="1"/>
      <c r="Q105" s="1"/>
      <c r="AC105" s="1"/>
    </row>
    <row r="106" spans="2:29" x14ac:dyDescent="0.25">
      <c r="B106" s="1" t="s">
        <v>260</v>
      </c>
      <c r="C106">
        <v>105</v>
      </c>
      <c r="D106" s="1" t="s">
        <v>80</v>
      </c>
      <c r="E106" t="s">
        <v>152</v>
      </c>
      <c r="F106" s="1" t="s">
        <v>322</v>
      </c>
      <c r="G106">
        <v>3566</v>
      </c>
      <c r="H106">
        <v>75</v>
      </c>
      <c r="I106">
        <v>3574</v>
      </c>
      <c r="L106">
        <v>1470</v>
      </c>
      <c r="M106">
        <v>1480</v>
      </c>
      <c r="N106">
        <v>5.2891245957845898</v>
      </c>
      <c r="O106" s="1"/>
      <c r="Q106" s="1"/>
      <c r="AC106" s="1"/>
    </row>
    <row r="107" spans="2:29" x14ac:dyDescent="0.25">
      <c r="B107" s="1" t="s">
        <v>258</v>
      </c>
      <c r="C107">
        <v>106</v>
      </c>
      <c r="D107" s="1" t="s">
        <v>80</v>
      </c>
      <c r="E107" t="s">
        <v>152</v>
      </c>
      <c r="F107" s="1" t="s">
        <v>322</v>
      </c>
      <c r="G107">
        <v>4185</v>
      </c>
      <c r="H107">
        <v>86</v>
      </c>
      <c r="I107">
        <v>4193</v>
      </c>
      <c r="L107">
        <v>1407</v>
      </c>
      <c r="M107">
        <v>1407</v>
      </c>
      <c r="N107">
        <v>5.9000884614032776</v>
      </c>
      <c r="O107" s="1"/>
      <c r="Q107" s="1"/>
      <c r="AC107" s="1"/>
    </row>
    <row r="108" spans="2:29" x14ac:dyDescent="0.25">
      <c r="B108" s="1" t="s">
        <v>266</v>
      </c>
      <c r="C108">
        <v>107</v>
      </c>
      <c r="D108" s="1" t="s">
        <v>80</v>
      </c>
      <c r="E108" t="s">
        <v>152</v>
      </c>
      <c r="F108" s="1" t="s">
        <v>322</v>
      </c>
      <c r="G108">
        <v>4309</v>
      </c>
      <c r="H108">
        <v>86</v>
      </c>
      <c r="I108">
        <v>4317</v>
      </c>
      <c r="L108">
        <v>2282</v>
      </c>
      <c r="M108">
        <v>2352</v>
      </c>
      <c r="N108">
        <v>10.154489420185607</v>
      </c>
      <c r="O108" s="1"/>
      <c r="Q108" s="1"/>
      <c r="AC108" s="1"/>
    </row>
    <row r="109" spans="2:29" x14ac:dyDescent="0.25">
      <c r="B109" s="1" t="s">
        <v>265</v>
      </c>
      <c r="C109">
        <v>108</v>
      </c>
      <c r="D109" s="1" t="s">
        <v>80</v>
      </c>
      <c r="E109" t="s">
        <v>152</v>
      </c>
      <c r="F109" s="1" t="s">
        <v>322</v>
      </c>
      <c r="G109">
        <v>4061</v>
      </c>
      <c r="H109">
        <v>78</v>
      </c>
      <c r="I109">
        <v>4069</v>
      </c>
      <c r="L109">
        <v>1166</v>
      </c>
      <c r="M109">
        <v>1236</v>
      </c>
      <c r="N109">
        <v>5.0297605810850552</v>
      </c>
      <c r="O109" s="1"/>
      <c r="Q109" s="1"/>
      <c r="AC109" s="1"/>
    </row>
    <row r="110" spans="2:29" x14ac:dyDescent="0.25">
      <c r="B110" s="1" t="s">
        <v>259</v>
      </c>
      <c r="C110">
        <v>109</v>
      </c>
      <c r="D110" s="1" t="s">
        <v>80</v>
      </c>
      <c r="E110" t="s">
        <v>152</v>
      </c>
      <c r="F110" s="1" t="s">
        <v>322</v>
      </c>
      <c r="G110">
        <v>3702</v>
      </c>
      <c r="H110">
        <v>70</v>
      </c>
      <c r="I110">
        <v>3702</v>
      </c>
      <c r="L110">
        <v>1405</v>
      </c>
      <c r="M110">
        <v>1405</v>
      </c>
      <c r="N110">
        <v>5.1996767572218117</v>
      </c>
      <c r="O110" s="1"/>
      <c r="Q110" s="1"/>
      <c r="AC110" s="1"/>
    </row>
    <row r="111" spans="2:29" x14ac:dyDescent="0.25">
      <c r="B111" s="1" t="s">
        <v>274</v>
      </c>
      <c r="C111">
        <v>110</v>
      </c>
      <c r="D111" s="1" t="s">
        <v>80</v>
      </c>
      <c r="E111" t="s">
        <v>116</v>
      </c>
      <c r="F111" s="1" t="s">
        <v>314</v>
      </c>
      <c r="G111">
        <v>4261</v>
      </c>
      <c r="H111">
        <v>522</v>
      </c>
      <c r="I111">
        <v>4277</v>
      </c>
      <c r="L111">
        <v>2160</v>
      </c>
      <c r="M111">
        <v>2183</v>
      </c>
      <c r="N111">
        <v>9.3364861607356069</v>
      </c>
      <c r="O111" s="1"/>
      <c r="Q111" s="1"/>
      <c r="AC111" s="1"/>
    </row>
    <row r="112" spans="2:29" x14ac:dyDescent="0.25">
      <c r="B112" s="1" t="s">
        <v>275</v>
      </c>
      <c r="C112">
        <v>111</v>
      </c>
      <c r="D112" s="1" t="s">
        <v>80</v>
      </c>
      <c r="E112" t="s">
        <v>116</v>
      </c>
      <c r="F112" s="1" t="s">
        <v>318</v>
      </c>
      <c r="G112">
        <v>4261</v>
      </c>
      <c r="H112">
        <v>522</v>
      </c>
      <c r="I112">
        <v>4277</v>
      </c>
      <c r="L112">
        <v>2160</v>
      </c>
      <c r="M112">
        <v>2183</v>
      </c>
      <c r="N112">
        <v>9.3364340037333342</v>
      </c>
      <c r="O112" s="1"/>
      <c r="Q112" s="1"/>
      <c r="AC112" s="1"/>
    </row>
    <row r="113" spans="2:30" x14ac:dyDescent="0.25">
      <c r="B113" s="1" t="s">
        <v>276</v>
      </c>
      <c r="C113">
        <v>112</v>
      </c>
      <c r="D113" s="1" t="s">
        <v>80</v>
      </c>
      <c r="E113" t="s">
        <v>116</v>
      </c>
      <c r="F113" s="1" t="s">
        <v>322</v>
      </c>
      <c r="G113">
        <v>4261</v>
      </c>
      <c r="H113">
        <v>522</v>
      </c>
      <c r="I113">
        <v>4277</v>
      </c>
      <c r="L113">
        <v>2160</v>
      </c>
      <c r="M113">
        <v>2183</v>
      </c>
      <c r="N113">
        <v>9.3364340037333342</v>
      </c>
      <c r="O113" s="1"/>
      <c r="Q113" s="1"/>
      <c r="AC113" s="1"/>
    </row>
    <row r="114" spans="2:30" x14ac:dyDescent="0.25">
      <c r="B114" s="1" t="s">
        <v>250</v>
      </c>
      <c r="C114">
        <v>113</v>
      </c>
      <c r="D114" s="1" t="s">
        <v>80</v>
      </c>
      <c r="E114" t="s">
        <v>152</v>
      </c>
      <c r="F114" s="1" t="s">
        <v>314</v>
      </c>
      <c r="G114">
        <v>3964</v>
      </c>
      <c r="H114">
        <v>82</v>
      </c>
      <c r="I114">
        <v>3964</v>
      </c>
      <c r="L114">
        <v>1253</v>
      </c>
      <c r="M114">
        <v>1253</v>
      </c>
      <c r="N114">
        <v>4.9678571554090993</v>
      </c>
      <c r="O114" s="1"/>
      <c r="Q114" s="1"/>
      <c r="AC114" s="1"/>
    </row>
    <row r="115" spans="2:30" x14ac:dyDescent="0.25">
      <c r="B115" s="1" t="s">
        <v>249</v>
      </c>
      <c r="C115">
        <v>114</v>
      </c>
      <c r="D115" s="1" t="s">
        <v>80</v>
      </c>
      <c r="E115" t="s">
        <v>152</v>
      </c>
      <c r="F115" s="1" t="s">
        <v>314</v>
      </c>
      <c r="G115">
        <v>3946</v>
      </c>
      <c r="H115">
        <v>78</v>
      </c>
      <c r="I115">
        <v>3976</v>
      </c>
      <c r="L115">
        <v>981</v>
      </c>
      <c r="M115">
        <v>1068</v>
      </c>
      <c r="N115">
        <v>4.2467532013434672</v>
      </c>
      <c r="O115" s="1"/>
      <c r="Q115" s="1"/>
      <c r="AC115" s="1"/>
    </row>
    <row r="116" spans="2:30" x14ac:dyDescent="0.25">
      <c r="B116" s="1" t="s">
        <v>255</v>
      </c>
      <c r="C116">
        <v>115</v>
      </c>
      <c r="D116" s="1" t="s">
        <v>80</v>
      </c>
      <c r="E116" t="s">
        <v>152</v>
      </c>
      <c r="F116" s="1" t="s">
        <v>318</v>
      </c>
      <c r="G116">
        <v>3964</v>
      </c>
      <c r="H116">
        <v>82</v>
      </c>
      <c r="I116">
        <v>3964</v>
      </c>
      <c r="L116">
        <v>1253</v>
      </c>
      <c r="M116">
        <v>1253</v>
      </c>
      <c r="N116">
        <v>4.9678576733834259</v>
      </c>
      <c r="O116" s="1"/>
      <c r="Q116" s="1"/>
      <c r="AC116" s="1"/>
    </row>
    <row r="117" spans="2:30" x14ac:dyDescent="0.25">
      <c r="B117" s="1" t="s">
        <v>254</v>
      </c>
      <c r="C117">
        <v>116</v>
      </c>
      <c r="D117" s="1" t="s">
        <v>80</v>
      </c>
      <c r="E117" t="s">
        <v>152</v>
      </c>
      <c r="F117" s="1" t="s">
        <v>318</v>
      </c>
      <c r="G117">
        <v>3946</v>
      </c>
      <c r="H117">
        <v>78</v>
      </c>
      <c r="I117">
        <v>3976</v>
      </c>
      <c r="L117">
        <v>981</v>
      </c>
      <c r="M117">
        <v>1068</v>
      </c>
      <c r="N117">
        <v>4.2467532013434672</v>
      </c>
      <c r="O117" s="1"/>
      <c r="Q117" s="1"/>
      <c r="AC117" s="1"/>
    </row>
    <row r="118" spans="2:30" x14ac:dyDescent="0.25">
      <c r="B118" s="1" t="s">
        <v>256</v>
      </c>
      <c r="C118">
        <v>117</v>
      </c>
      <c r="D118" s="1" t="s">
        <v>80</v>
      </c>
      <c r="E118" t="s">
        <v>152</v>
      </c>
      <c r="F118" s="1" t="s">
        <v>322</v>
      </c>
      <c r="G118">
        <v>3964</v>
      </c>
      <c r="H118">
        <v>82</v>
      </c>
      <c r="I118">
        <v>3964</v>
      </c>
      <c r="L118">
        <v>1253</v>
      </c>
      <c r="M118">
        <v>1253</v>
      </c>
      <c r="N118">
        <v>4.9678576733834259</v>
      </c>
      <c r="O118" s="1"/>
      <c r="Q118" s="1"/>
      <c r="AC118" s="1"/>
    </row>
    <row r="119" spans="2:30" x14ac:dyDescent="0.25">
      <c r="B119" s="1" t="s">
        <v>268</v>
      </c>
      <c r="C119">
        <v>118</v>
      </c>
      <c r="D119" s="1" t="s">
        <v>80</v>
      </c>
      <c r="E119" t="s">
        <v>152</v>
      </c>
      <c r="F119" s="1" t="s">
        <v>322</v>
      </c>
      <c r="G119">
        <v>3946</v>
      </c>
      <c r="H119">
        <v>78</v>
      </c>
      <c r="I119">
        <v>3976</v>
      </c>
      <c r="L119">
        <v>981</v>
      </c>
      <c r="M119">
        <v>1068</v>
      </c>
      <c r="N119">
        <v>4.2467532013434672</v>
      </c>
      <c r="O119" s="1"/>
      <c r="Q119" s="1"/>
      <c r="AC119" s="1"/>
    </row>
    <row r="120" spans="2:30" x14ac:dyDescent="0.25">
      <c r="B120" s="1" t="s">
        <v>255</v>
      </c>
      <c r="C120">
        <v>119</v>
      </c>
      <c r="D120" s="1" t="s">
        <v>80</v>
      </c>
      <c r="E120" t="s">
        <v>152</v>
      </c>
      <c r="F120" s="1" t="s">
        <v>318</v>
      </c>
      <c r="O120" s="1" t="s">
        <v>403</v>
      </c>
      <c r="P120" t="s">
        <v>108</v>
      </c>
      <c r="Q120" s="1" t="s">
        <v>244</v>
      </c>
      <c r="R120">
        <v>2</v>
      </c>
      <c r="S120">
        <v>50</v>
      </c>
      <c r="T120">
        <v>29</v>
      </c>
      <c r="U120">
        <v>26</v>
      </c>
      <c r="AA120">
        <v>185.001362325</v>
      </c>
      <c r="AB120">
        <v>253721.33102000001</v>
      </c>
      <c r="AC120" s="1" t="s">
        <v>245</v>
      </c>
      <c r="AD120">
        <v>607059</v>
      </c>
    </row>
    <row r="121" spans="2:30" x14ac:dyDescent="0.25">
      <c r="B121" s="1" t="s">
        <v>256</v>
      </c>
      <c r="C121">
        <v>120</v>
      </c>
      <c r="D121" s="1" t="s">
        <v>80</v>
      </c>
      <c r="E121" t="s">
        <v>152</v>
      </c>
      <c r="F121" s="1" t="s">
        <v>322</v>
      </c>
      <c r="O121" s="1" t="s">
        <v>403</v>
      </c>
      <c r="P121" t="s">
        <v>108</v>
      </c>
      <c r="Q121" s="1" t="s">
        <v>244</v>
      </c>
      <c r="R121">
        <v>2</v>
      </c>
      <c r="S121">
        <v>50</v>
      </c>
      <c r="T121">
        <v>29</v>
      </c>
      <c r="U121">
        <v>26</v>
      </c>
      <c r="AA121">
        <v>185.00136232400001</v>
      </c>
      <c r="AB121">
        <v>253721.331022</v>
      </c>
      <c r="AC121" s="1" t="s">
        <v>245</v>
      </c>
      <c r="AD121">
        <v>607059</v>
      </c>
    </row>
    <row r="122" spans="2:30" x14ac:dyDescent="0.25">
      <c r="B122" s="1" t="s">
        <v>250</v>
      </c>
      <c r="C122">
        <v>121</v>
      </c>
      <c r="D122" s="1" t="s">
        <v>80</v>
      </c>
      <c r="E122" t="s">
        <v>152</v>
      </c>
      <c r="F122" s="1" t="s">
        <v>314</v>
      </c>
      <c r="O122" s="1" t="s">
        <v>403</v>
      </c>
      <c r="P122" t="s">
        <v>108</v>
      </c>
      <c r="Q122" s="1" t="s">
        <v>244</v>
      </c>
      <c r="R122">
        <v>2</v>
      </c>
      <c r="S122">
        <v>50</v>
      </c>
      <c r="T122">
        <v>29</v>
      </c>
      <c r="U122">
        <v>26</v>
      </c>
      <c r="AA122">
        <v>185.00136232400001</v>
      </c>
      <c r="AB122">
        <v>253721.33102899999</v>
      </c>
      <c r="AC122" s="1" t="s">
        <v>245</v>
      </c>
      <c r="AD122">
        <v>607059</v>
      </c>
    </row>
    <row r="123" spans="2:30" x14ac:dyDescent="0.25">
      <c r="B123" s="1" t="s">
        <v>249</v>
      </c>
      <c r="C123">
        <v>122</v>
      </c>
      <c r="D123" s="1" t="s">
        <v>80</v>
      </c>
      <c r="E123" t="s">
        <v>152</v>
      </c>
      <c r="F123" s="1" t="s">
        <v>314</v>
      </c>
      <c r="O123" s="1" t="s">
        <v>400</v>
      </c>
      <c r="P123" t="s">
        <v>108</v>
      </c>
      <c r="Q123" s="1" t="s">
        <v>244</v>
      </c>
      <c r="R123">
        <v>1</v>
      </c>
      <c r="S123">
        <v>50</v>
      </c>
      <c r="T123">
        <v>46</v>
      </c>
      <c r="U123">
        <v>25</v>
      </c>
      <c r="AA123">
        <v>814.45309467300001</v>
      </c>
      <c r="AB123">
        <v>1457421.1320499999</v>
      </c>
      <c r="AC123" s="1" t="s">
        <v>245</v>
      </c>
      <c r="AD123">
        <v>607059</v>
      </c>
    </row>
    <row r="124" spans="2:30" x14ac:dyDescent="0.25">
      <c r="B124" s="1" t="s">
        <v>268</v>
      </c>
      <c r="C124">
        <v>123</v>
      </c>
      <c r="D124" s="1" t="s">
        <v>80</v>
      </c>
      <c r="E124" t="s">
        <v>152</v>
      </c>
      <c r="F124" s="1" t="s">
        <v>322</v>
      </c>
      <c r="O124" s="1" t="s">
        <v>400</v>
      </c>
      <c r="P124" t="s">
        <v>108</v>
      </c>
      <c r="Q124" s="1" t="s">
        <v>244</v>
      </c>
      <c r="R124">
        <v>1</v>
      </c>
      <c r="S124">
        <v>50</v>
      </c>
      <c r="T124">
        <v>46</v>
      </c>
      <c r="U124">
        <v>25</v>
      </c>
      <c r="AA124">
        <v>814.45309467300001</v>
      </c>
      <c r="AB124">
        <v>1457421.1320499999</v>
      </c>
      <c r="AC124" s="1" t="s">
        <v>245</v>
      </c>
      <c r="AD124">
        <v>607059</v>
      </c>
    </row>
    <row r="125" spans="2:30" x14ac:dyDescent="0.25">
      <c r="B125" s="1" t="s">
        <v>254</v>
      </c>
      <c r="C125">
        <v>124</v>
      </c>
      <c r="D125" s="1" t="s">
        <v>80</v>
      </c>
      <c r="E125" t="s">
        <v>152</v>
      </c>
      <c r="F125" s="1" t="s">
        <v>318</v>
      </c>
      <c r="O125" s="1" t="s">
        <v>400</v>
      </c>
      <c r="P125" t="s">
        <v>108</v>
      </c>
      <c r="Q125" s="1" t="s">
        <v>244</v>
      </c>
      <c r="R125">
        <v>1</v>
      </c>
      <c r="S125">
        <v>50</v>
      </c>
      <c r="T125">
        <v>46</v>
      </c>
      <c r="U125">
        <v>25</v>
      </c>
      <c r="AA125">
        <v>814.45309467300001</v>
      </c>
      <c r="AB125">
        <v>1457421.13206</v>
      </c>
      <c r="AC125" s="1" t="s">
        <v>245</v>
      </c>
      <c r="AD125">
        <v>607059</v>
      </c>
    </row>
    <row r="126" spans="2:30" x14ac:dyDescent="0.25">
      <c r="B126" s="1" t="s">
        <v>249</v>
      </c>
      <c r="C126">
        <v>125</v>
      </c>
      <c r="D126" s="1" t="s">
        <v>80</v>
      </c>
      <c r="E126" t="s">
        <v>152</v>
      </c>
      <c r="F126" s="1" t="s">
        <v>314</v>
      </c>
      <c r="O126" s="1" t="s">
        <v>399</v>
      </c>
      <c r="P126" t="s">
        <v>108</v>
      </c>
      <c r="Q126" s="1" t="s">
        <v>244</v>
      </c>
      <c r="R126">
        <v>1</v>
      </c>
      <c r="S126">
        <v>50</v>
      </c>
      <c r="T126">
        <v>51</v>
      </c>
      <c r="U126">
        <v>44</v>
      </c>
      <c r="AA126">
        <v>256.80014520399999</v>
      </c>
      <c r="AB126">
        <v>609361.06891200005</v>
      </c>
      <c r="AC126" s="1" t="s">
        <v>245</v>
      </c>
      <c r="AD126">
        <v>607059</v>
      </c>
    </row>
    <row r="127" spans="2:30" x14ac:dyDescent="0.25">
      <c r="B127" s="1" t="s">
        <v>249</v>
      </c>
      <c r="C127">
        <v>126</v>
      </c>
      <c r="D127" s="1" t="s">
        <v>80</v>
      </c>
      <c r="E127" t="s">
        <v>152</v>
      </c>
      <c r="F127" s="1" t="s">
        <v>314</v>
      </c>
      <c r="O127" s="1" t="s">
        <v>402</v>
      </c>
      <c r="P127" t="s">
        <v>108</v>
      </c>
      <c r="Q127" s="1" t="s">
        <v>244</v>
      </c>
      <c r="R127">
        <v>9</v>
      </c>
      <c r="S127">
        <v>50</v>
      </c>
      <c r="T127">
        <v>51</v>
      </c>
      <c r="U127">
        <v>25</v>
      </c>
      <c r="AA127">
        <v>981.24960073299997</v>
      </c>
      <c r="AB127">
        <v>1863040.33207</v>
      </c>
      <c r="AC127" s="1" t="s">
        <v>245</v>
      </c>
      <c r="AD127">
        <v>607059</v>
      </c>
    </row>
    <row r="128" spans="2:30" x14ac:dyDescent="0.25">
      <c r="B128" s="1" t="s">
        <v>268</v>
      </c>
      <c r="C128">
        <v>127</v>
      </c>
      <c r="D128" s="1" t="s">
        <v>80</v>
      </c>
      <c r="E128" t="s">
        <v>152</v>
      </c>
      <c r="F128" s="1" t="s">
        <v>322</v>
      </c>
      <c r="O128" s="1" t="s">
        <v>399</v>
      </c>
      <c r="P128" t="s">
        <v>108</v>
      </c>
      <c r="Q128" s="1" t="s">
        <v>244</v>
      </c>
      <c r="R128">
        <v>1</v>
      </c>
      <c r="S128">
        <v>50</v>
      </c>
      <c r="T128">
        <v>51</v>
      </c>
      <c r="U128">
        <v>44</v>
      </c>
      <c r="AA128">
        <v>256.80014520399999</v>
      </c>
      <c r="AB128">
        <v>609361.06891200005</v>
      </c>
      <c r="AC128" s="1" t="s">
        <v>245</v>
      </c>
      <c r="AD128">
        <v>607059</v>
      </c>
    </row>
    <row r="129" spans="2:30" x14ac:dyDescent="0.25">
      <c r="B129" s="1" t="s">
        <v>268</v>
      </c>
      <c r="C129">
        <v>128</v>
      </c>
      <c r="D129" s="1" t="s">
        <v>80</v>
      </c>
      <c r="E129" t="s">
        <v>152</v>
      </c>
      <c r="F129" s="1" t="s">
        <v>322</v>
      </c>
      <c r="O129" s="1" t="s">
        <v>402</v>
      </c>
      <c r="P129" t="s">
        <v>108</v>
      </c>
      <c r="Q129" s="1" t="s">
        <v>244</v>
      </c>
      <c r="R129">
        <v>9</v>
      </c>
      <c r="S129">
        <v>50</v>
      </c>
      <c r="T129">
        <v>51</v>
      </c>
      <c r="U129">
        <v>25</v>
      </c>
      <c r="AA129">
        <v>981.24960073299997</v>
      </c>
      <c r="AB129">
        <v>1863040.33207</v>
      </c>
      <c r="AC129" s="1" t="s">
        <v>245</v>
      </c>
      <c r="AD129">
        <v>607059</v>
      </c>
    </row>
    <row r="130" spans="2:30" x14ac:dyDescent="0.25">
      <c r="B130" s="1" t="s">
        <v>254</v>
      </c>
      <c r="C130">
        <v>129</v>
      </c>
      <c r="D130" s="1" t="s">
        <v>80</v>
      </c>
      <c r="E130" t="s">
        <v>152</v>
      </c>
      <c r="F130" s="1" t="s">
        <v>318</v>
      </c>
      <c r="O130" s="1" t="s">
        <v>399</v>
      </c>
      <c r="P130" t="s">
        <v>108</v>
      </c>
      <c r="Q130" s="1" t="s">
        <v>244</v>
      </c>
      <c r="R130">
        <v>1</v>
      </c>
      <c r="S130">
        <v>50</v>
      </c>
      <c r="T130">
        <v>51</v>
      </c>
      <c r="U130">
        <v>44</v>
      </c>
      <c r="AA130">
        <v>256.80014520399999</v>
      </c>
      <c r="AB130">
        <v>609361.06891499995</v>
      </c>
      <c r="AC130" s="1" t="s">
        <v>245</v>
      </c>
      <c r="AD130">
        <v>607059</v>
      </c>
    </row>
    <row r="131" spans="2:30" x14ac:dyDescent="0.25">
      <c r="B131" s="1" t="s">
        <v>254</v>
      </c>
      <c r="C131">
        <v>130</v>
      </c>
      <c r="D131" s="1" t="s">
        <v>80</v>
      </c>
      <c r="E131" t="s">
        <v>152</v>
      </c>
      <c r="F131" s="1" t="s">
        <v>318</v>
      </c>
      <c r="O131" s="1" t="s">
        <v>402</v>
      </c>
      <c r="P131" t="s">
        <v>108</v>
      </c>
      <c r="Q131" s="1" t="s">
        <v>244</v>
      </c>
      <c r="R131">
        <v>9</v>
      </c>
      <c r="S131">
        <v>50</v>
      </c>
      <c r="T131">
        <v>51</v>
      </c>
      <c r="U131">
        <v>25</v>
      </c>
      <c r="AA131">
        <v>981.24960073299997</v>
      </c>
      <c r="AB131">
        <v>1863040.3320800001</v>
      </c>
      <c r="AC131" s="1" t="s">
        <v>245</v>
      </c>
      <c r="AD131">
        <v>607059</v>
      </c>
    </row>
    <row r="132" spans="2:30" x14ac:dyDescent="0.25">
      <c r="B132" s="1" t="s">
        <v>256</v>
      </c>
      <c r="C132">
        <v>131</v>
      </c>
      <c r="D132" s="1" t="s">
        <v>80</v>
      </c>
      <c r="E132" t="s">
        <v>152</v>
      </c>
      <c r="F132" s="1" t="s">
        <v>322</v>
      </c>
      <c r="O132" s="1" t="s">
        <v>411</v>
      </c>
      <c r="P132" t="s">
        <v>108</v>
      </c>
      <c r="Q132" s="1" t="s">
        <v>244</v>
      </c>
      <c r="R132">
        <v>2</v>
      </c>
      <c r="S132">
        <v>50</v>
      </c>
      <c r="T132">
        <v>55</v>
      </c>
      <c r="U132">
        <v>22</v>
      </c>
      <c r="AA132">
        <v>1118.9940113600001</v>
      </c>
      <c r="AB132">
        <v>2152920.6290099998</v>
      </c>
      <c r="AC132" s="1" t="s">
        <v>245</v>
      </c>
      <c r="AD132">
        <v>607059</v>
      </c>
    </row>
    <row r="133" spans="2:30" x14ac:dyDescent="0.25">
      <c r="B133" s="1" t="s">
        <v>256</v>
      </c>
      <c r="C133">
        <v>132</v>
      </c>
      <c r="D133" s="1" t="s">
        <v>80</v>
      </c>
      <c r="E133" t="s">
        <v>152</v>
      </c>
      <c r="F133" s="1" t="s">
        <v>322</v>
      </c>
      <c r="O133" s="1" t="s">
        <v>412</v>
      </c>
      <c r="P133" t="s">
        <v>108</v>
      </c>
      <c r="Q133" s="1" t="s">
        <v>244</v>
      </c>
      <c r="R133">
        <v>2</v>
      </c>
      <c r="S133">
        <v>50</v>
      </c>
      <c r="T133">
        <v>55</v>
      </c>
      <c r="U133">
        <v>24</v>
      </c>
      <c r="AA133">
        <v>1188.1974921399999</v>
      </c>
      <c r="AB133">
        <v>2332265.2434999999</v>
      </c>
      <c r="AC133" s="1" t="s">
        <v>245</v>
      </c>
      <c r="AD133">
        <v>607059</v>
      </c>
    </row>
    <row r="134" spans="2:30" x14ac:dyDescent="0.25">
      <c r="B134" s="1" t="s">
        <v>256</v>
      </c>
      <c r="C134">
        <v>133</v>
      </c>
      <c r="D134" s="1" t="s">
        <v>80</v>
      </c>
      <c r="E134" t="s">
        <v>152</v>
      </c>
      <c r="F134" s="1" t="s">
        <v>322</v>
      </c>
      <c r="O134" s="1" t="s">
        <v>413</v>
      </c>
      <c r="P134" t="s">
        <v>108</v>
      </c>
      <c r="Q134" s="1" t="s">
        <v>244</v>
      </c>
      <c r="R134">
        <v>2</v>
      </c>
      <c r="S134">
        <v>50</v>
      </c>
      <c r="T134">
        <v>55</v>
      </c>
      <c r="U134">
        <v>24</v>
      </c>
      <c r="AA134">
        <v>1188.1951004</v>
      </c>
      <c r="AB134">
        <v>2332262.0149900001</v>
      </c>
      <c r="AC134" s="1" t="s">
        <v>245</v>
      </c>
      <c r="AD134">
        <v>607059</v>
      </c>
    </row>
    <row r="135" spans="2:30" x14ac:dyDescent="0.25">
      <c r="B135" s="1" t="s">
        <v>256</v>
      </c>
      <c r="C135">
        <v>134</v>
      </c>
      <c r="D135" s="1" t="s">
        <v>80</v>
      </c>
      <c r="E135" t="s">
        <v>152</v>
      </c>
      <c r="F135" s="1" t="s">
        <v>322</v>
      </c>
      <c r="O135" s="1" t="s">
        <v>414</v>
      </c>
      <c r="P135" t="s">
        <v>108</v>
      </c>
      <c r="Q135" s="1" t="s">
        <v>244</v>
      </c>
      <c r="R135">
        <v>6</v>
      </c>
      <c r="S135">
        <v>50</v>
      </c>
      <c r="T135">
        <v>55</v>
      </c>
      <c r="U135">
        <v>22</v>
      </c>
      <c r="AA135">
        <v>1253.19691519</v>
      </c>
      <c r="AB135">
        <v>2418345.7994900001</v>
      </c>
      <c r="AC135" s="1" t="s">
        <v>245</v>
      </c>
      <c r="AD135">
        <v>607059</v>
      </c>
    </row>
    <row r="136" spans="2:30" x14ac:dyDescent="0.25">
      <c r="B136" s="1" t="s">
        <v>255</v>
      </c>
      <c r="C136">
        <v>135</v>
      </c>
      <c r="D136" s="1" t="s">
        <v>80</v>
      </c>
      <c r="E136" t="s">
        <v>152</v>
      </c>
      <c r="F136" s="1" t="s">
        <v>318</v>
      </c>
      <c r="O136" s="1" t="s">
        <v>408</v>
      </c>
      <c r="P136" t="s">
        <v>108</v>
      </c>
      <c r="Q136" s="1" t="s">
        <v>244</v>
      </c>
      <c r="R136">
        <v>2</v>
      </c>
      <c r="S136">
        <v>50</v>
      </c>
      <c r="T136">
        <v>55</v>
      </c>
      <c r="U136">
        <v>24</v>
      </c>
      <c r="AA136">
        <v>1188.1974921399999</v>
      </c>
      <c r="AB136">
        <v>2334938.8107099999</v>
      </c>
      <c r="AC136" s="1" t="s">
        <v>245</v>
      </c>
      <c r="AD136">
        <v>607059</v>
      </c>
    </row>
    <row r="137" spans="2:30" x14ac:dyDescent="0.25">
      <c r="B137" s="1" t="s">
        <v>255</v>
      </c>
      <c r="C137">
        <v>136</v>
      </c>
      <c r="D137" s="1" t="s">
        <v>80</v>
      </c>
      <c r="E137" t="s">
        <v>152</v>
      </c>
      <c r="F137" s="1" t="s">
        <v>318</v>
      </c>
      <c r="O137" s="1" t="s">
        <v>410</v>
      </c>
      <c r="P137" t="s">
        <v>108</v>
      </c>
      <c r="Q137" s="1" t="s">
        <v>244</v>
      </c>
      <c r="R137">
        <v>6</v>
      </c>
      <c r="S137">
        <v>50</v>
      </c>
      <c r="T137">
        <v>55</v>
      </c>
      <c r="U137">
        <v>22</v>
      </c>
      <c r="AA137">
        <v>1253.19691519</v>
      </c>
      <c r="AB137">
        <v>2421019.36674</v>
      </c>
      <c r="AC137" s="1" t="s">
        <v>245</v>
      </c>
      <c r="AD137">
        <v>607059</v>
      </c>
    </row>
    <row r="138" spans="2:30" x14ac:dyDescent="0.25">
      <c r="B138" s="1" t="s">
        <v>255</v>
      </c>
      <c r="C138">
        <v>137</v>
      </c>
      <c r="D138" s="1" t="s">
        <v>80</v>
      </c>
      <c r="E138" t="s">
        <v>152</v>
      </c>
      <c r="F138" s="1" t="s">
        <v>318</v>
      </c>
      <c r="O138" s="1" t="s">
        <v>409</v>
      </c>
      <c r="P138" t="s">
        <v>108</v>
      </c>
      <c r="Q138" s="1" t="s">
        <v>244</v>
      </c>
      <c r="R138">
        <v>2</v>
      </c>
      <c r="S138">
        <v>50</v>
      </c>
      <c r="T138">
        <v>55</v>
      </c>
      <c r="U138">
        <v>24</v>
      </c>
      <c r="AA138">
        <v>1188.1952044699999</v>
      </c>
      <c r="AB138">
        <v>2334935.7226800001</v>
      </c>
      <c r="AC138" s="1" t="s">
        <v>245</v>
      </c>
      <c r="AD138">
        <v>607059</v>
      </c>
    </row>
    <row r="139" spans="2:30" x14ac:dyDescent="0.25">
      <c r="B139" s="1" t="s">
        <v>255</v>
      </c>
      <c r="C139">
        <v>138</v>
      </c>
      <c r="D139" s="1" t="s">
        <v>80</v>
      </c>
      <c r="E139" t="s">
        <v>152</v>
      </c>
      <c r="F139" s="1" t="s">
        <v>318</v>
      </c>
      <c r="O139" s="1" t="s">
        <v>407</v>
      </c>
      <c r="P139" t="s">
        <v>108</v>
      </c>
      <c r="Q139" s="1" t="s">
        <v>244</v>
      </c>
      <c r="R139">
        <v>2</v>
      </c>
      <c r="S139">
        <v>50</v>
      </c>
      <c r="T139">
        <v>55</v>
      </c>
      <c r="U139">
        <v>22</v>
      </c>
      <c r="AA139">
        <v>1118.9940113600001</v>
      </c>
      <c r="AB139">
        <v>2155594.1957399999</v>
      </c>
      <c r="AC139" s="1" t="s">
        <v>245</v>
      </c>
      <c r="AD139">
        <v>607059</v>
      </c>
    </row>
    <row r="140" spans="2:30" x14ac:dyDescent="0.25">
      <c r="B140" s="1" t="s">
        <v>250</v>
      </c>
      <c r="C140">
        <v>139</v>
      </c>
      <c r="D140" s="1" t="s">
        <v>80</v>
      </c>
      <c r="E140" t="s">
        <v>152</v>
      </c>
      <c r="F140" s="1" t="s">
        <v>314</v>
      </c>
      <c r="O140" s="1" t="s">
        <v>404</v>
      </c>
      <c r="P140" t="s">
        <v>108</v>
      </c>
      <c r="Q140" s="1" t="s">
        <v>244</v>
      </c>
      <c r="R140">
        <v>2</v>
      </c>
      <c r="S140">
        <v>50</v>
      </c>
      <c r="T140">
        <v>55</v>
      </c>
      <c r="U140">
        <v>24</v>
      </c>
      <c r="AA140">
        <v>1188.1974921399999</v>
      </c>
      <c r="AB140">
        <v>2334275.61417</v>
      </c>
      <c r="AC140" s="1" t="s">
        <v>245</v>
      </c>
      <c r="AD140">
        <v>607059</v>
      </c>
    </row>
    <row r="141" spans="2:30" x14ac:dyDescent="0.25">
      <c r="B141" s="1" t="s">
        <v>250</v>
      </c>
      <c r="C141">
        <v>140</v>
      </c>
      <c r="D141" s="1" t="s">
        <v>80</v>
      </c>
      <c r="E141" t="s">
        <v>152</v>
      </c>
      <c r="F141" s="1" t="s">
        <v>314</v>
      </c>
      <c r="O141" s="1" t="s">
        <v>406</v>
      </c>
      <c r="P141" t="s">
        <v>108</v>
      </c>
      <c r="Q141" s="1" t="s">
        <v>244</v>
      </c>
      <c r="R141">
        <v>6</v>
      </c>
      <c r="S141">
        <v>50</v>
      </c>
      <c r="T141">
        <v>55</v>
      </c>
      <c r="U141">
        <v>22</v>
      </c>
      <c r="AA141">
        <v>1253.19691519</v>
      </c>
      <c r="AB141">
        <v>2420356.1691200002</v>
      </c>
      <c r="AC141" s="1" t="s">
        <v>245</v>
      </c>
      <c r="AD141">
        <v>607059</v>
      </c>
    </row>
    <row r="142" spans="2:30" x14ac:dyDescent="0.25">
      <c r="B142" s="1" t="s">
        <v>250</v>
      </c>
      <c r="C142">
        <v>141</v>
      </c>
      <c r="D142" s="1" t="s">
        <v>80</v>
      </c>
      <c r="E142" t="s">
        <v>152</v>
      </c>
      <c r="F142" s="1" t="s">
        <v>314</v>
      </c>
      <c r="O142" s="1" t="s">
        <v>405</v>
      </c>
      <c r="P142" t="s">
        <v>108</v>
      </c>
      <c r="Q142" s="1" t="s">
        <v>244</v>
      </c>
      <c r="R142">
        <v>2</v>
      </c>
      <c r="S142">
        <v>50</v>
      </c>
      <c r="T142">
        <v>55</v>
      </c>
      <c r="U142">
        <v>24</v>
      </c>
      <c r="AA142">
        <v>1188.1952044699999</v>
      </c>
      <c r="AB142">
        <v>2334272.5255300002</v>
      </c>
      <c r="AC142" s="1" t="s">
        <v>245</v>
      </c>
      <c r="AD142">
        <v>607059</v>
      </c>
    </row>
    <row r="143" spans="2:30" x14ac:dyDescent="0.25">
      <c r="B143" s="1" t="s">
        <v>250</v>
      </c>
      <c r="C143">
        <v>142</v>
      </c>
      <c r="D143" s="1" t="s">
        <v>80</v>
      </c>
      <c r="E143" t="s">
        <v>152</v>
      </c>
      <c r="F143" s="1" t="s">
        <v>314</v>
      </c>
      <c r="O143" s="1" t="s">
        <v>401</v>
      </c>
      <c r="P143" t="s">
        <v>108</v>
      </c>
      <c r="Q143" s="1" t="s">
        <v>244</v>
      </c>
      <c r="R143">
        <v>2</v>
      </c>
      <c r="S143">
        <v>50</v>
      </c>
      <c r="T143">
        <v>55</v>
      </c>
      <c r="U143">
        <v>22</v>
      </c>
      <c r="AA143">
        <v>1118.9940113600001</v>
      </c>
      <c r="AB143">
        <v>2154930.9983100002</v>
      </c>
      <c r="AC143" s="1" t="s">
        <v>245</v>
      </c>
      <c r="AD143">
        <v>607059</v>
      </c>
    </row>
    <row r="144" spans="2:30" x14ac:dyDescent="0.25">
      <c r="B144" s="1" t="s">
        <v>274</v>
      </c>
      <c r="C144">
        <v>143</v>
      </c>
      <c r="D144" s="1" t="s">
        <v>80</v>
      </c>
      <c r="E144" t="s">
        <v>116</v>
      </c>
      <c r="F144" s="1" t="s">
        <v>314</v>
      </c>
      <c r="G144">
        <v>4261</v>
      </c>
      <c r="H144">
        <v>522</v>
      </c>
      <c r="I144">
        <v>4277</v>
      </c>
      <c r="L144">
        <v>2160</v>
      </c>
      <c r="M144">
        <v>2183</v>
      </c>
      <c r="N144">
        <v>9.3364861607356069</v>
      </c>
      <c r="O144" s="1"/>
      <c r="Q144" s="1"/>
      <c r="AC144" s="1"/>
    </row>
    <row r="145" spans="2:30" x14ac:dyDescent="0.25">
      <c r="B145" s="1" t="s">
        <v>275</v>
      </c>
      <c r="C145">
        <v>144</v>
      </c>
      <c r="D145" s="1" t="s">
        <v>80</v>
      </c>
      <c r="E145" t="s">
        <v>116</v>
      </c>
      <c r="F145" s="1" t="s">
        <v>318</v>
      </c>
      <c r="G145">
        <v>4261</v>
      </c>
      <c r="H145">
        <v>522</v>
      </c>
      <c r="I145">
        <v>4277</v>
      </c>
      <c r="L145">
        <v>2160</v>
      </c>
      <c r="M145">
        <v>2183</v>
      </c>
      <c r="N145">
        <v>9.3364340037333342</v>
      </c>
      <c r="O145" s="1"/>
      <c r="Q145" s="1"/>
      <c r="AC145" s="1"/>
    </row>
    <row r="146" spans="2:30" x14ac:dyDescent="0.25">
      <c r="B146" s="1" t="s">
        <v>276</v>
      </c>
      <c r="C146">
        <v>145</v>
      </c>
      <c r="D146" s="1" t="s">
        <v>80</v>
      </c>
      <c r="E146" t="s">
        <v>116</v>
      </c>
      <c r="F146" s="1" t="s">
        <v>322</v>
      </c>
      <c r="G146">
        <v>4261</v>
      </c>
      <c r="H146">
        <v>522</v>
      </c>
      <c r="I146">
        <v>4277</v>
      </c>
      <c r="L146">
        <v>2160</v>
      </c>
      <c r="M146">
        <v>2183</v>
      </c>
      <c r="N146">
        <v>9.3364340037333342</v>
      </c>
      <c r="O146" s="1"/>
      <c r="Q146" s="1"/>
      <c r="AC146" s="1"/>
    </row>
    <row r="147" spans="2:30" x14ac:dyDescent="0.25">
      <c r="B147" s="1" t="s">
        <v>278</v>
      </c>
      <c r="C147">
        <v>146</v>
      </c>
      <c r="D147" s="1" t="s">
        <v>81</v>
      </c>
      <c r="E147" t="s">
        <v>116</v>
      </c>
      <c r="F147" s="1" t="s">
        <v>415</v>
      </c>
      <c r="G147">
        <v>3290</v>
      </c>
      <c r="H147">
        <v>420</v>
      </c>
      <c r="I147">
        <v>3290</v>
      </c>
      <c r="L147">
        <v>2723</v>
      </c>
      <c r="M147">
        <v>2723</v>
      </c>
      <c r="N147">
        <v>8.9580892297021464</v>
      </c>
      <c r="O147" s="1"/>
      <c r="Q147" s="1"/>
      <c r="AC147" s="1"/>
    </row>
    <row r="148" spans="2:30" x14ac:dyDescent="0.25">
      <c r="B148" s="1" t="s">
        <v>279</v>
      </c>
      <c r="C148">
        <v>147</v>
      </c>
      <c r="D148" s="1" t="s">
        <v>81</v>
      </c>
      <c r="E148" t="s">
        <v>116</v>
      </c>
      <c r="F148" s="1" t="s">
        <v>415</v>
      </c>
      <c r="G148">
        <v>3290</v>
      </c>
      <c r="H148">
        <v>420</v>
      </c>
      <c r="I148">
        <v>3290</v>
      </c>
      <c r="L148">
        <v>2723</v>
      </c>
      <c r="M148">
        <v>2723</v>
      </c>
      <c r="N148">
        <v>8.9579579702564214</v>
      </c>
      <c r="O148" s="1"/>
      <c r="Q148" s="1"/>
      <c r="AC148" s="1"/>
    </row>
    <row r="149" spans="2:30" x14ac:dyDescent="0.25">
      <c r="B149" s="1" t="s">
        <v>280</v>
      </c>
      <c r="C149">
        <v>148</v>
      </c>
      <c r="D149" s="1" t="s">
        <v>81</v>
      </c>
      <c r="E149" t="s">
        <v>116</v>
      </c>
      <c r="F149" s="1" t="s">
        <v>415</v>
      </c>
      <c r="G149">
        <v>3167</v>
      </c>
      <c r="H149">
        <v>420</v>
      </c>
      <c r="I149">
        <v>3167</v>
      </c>
      <c r="L149">
        <v>2223</v>
      </c>
      <c r="M149">
        <v>2223</v>
      </c>
      <c r="N149">
        <v>7.0400675943792512</v>
      </c>
      <c r="O149" s="1"/>
      <c r="Q149" s="1"/>
      <c r="AC149" s="1"/>
    </row>
    <row r="150" spans="2:30" x14ac:dyDescent="0.25">
      <c r="B150" s="1" t="s">
        <v>281</v>
      </c>
      <c r="C150">
        <v>149</v>
      </c>
      <c r="D150" s="1" t="s">
        <v>81</v>
      </c>
      <c r="E150" t="s">
        <v>116</v>
      </c>
      <c r="F150" s="1" t="s">
        <v>415</v>
      </c>
      <c r="G150">
        <v>3098</v>
      </c>
      <c r="H150">
        <v>420</v>
      </c>
      <c r="I150">
        <v>3098</v>
      </c>
      <c r="L150">
        <v>2223</v>
      </c>
      <c r="M150">
        <v>2223</v>
      </c>
      <c r="N150">
        <v>6.886591978658168</v>
      </c>
      <c r="O150" s="1"/>
      <c r="Q150" s="1"/>
      <c r="AC150" s="1"/>
    </row>
    <row r="151" spans="2:30" x14ac:dyDescent="0.25">
      <c r="B151" s="1" t="s">
        <v>282</v>
      </c>
      <c r="C151">
        <v>150</v>
      </c>
      <c r="D151" s="1" t="s">
        <v>81</v>
      </c>
      <c r="E151" t="s">
        <v>116</v>
      </c>
      <c r="F151" s="1" t="s">
        <v>416</v>
      </c>
      <c r="G151">
        <v>3290</v>
      </c>
      <c r="H151">
        <v>420</v>
      </c>
      <c r="I151">
        <v>3290</v>
      </c>
      <c r="L151">
        <v>2723</v>
      </c>
      <c r="M151">
        <v>2723</v>
      </c>
      <c r="N151">
        <v>8.9580892264121381</v>
      </c>
      <c r="O151" s="1"/>
      <c r="Q151" s="1"/>
      <c r="AC151" s="1"/>
    </row>
    <row r="152" spans="2:30" x14ac:dyDescent="0.25">
      <c r="B152" s="1" t="s">
        <v>283</v>
      </c>
      <c r="C152">
        <v>151</v>
      </c>
      <c r="D152" s="1" t="s">
        <v>81</v>
      </c>
      <c r="E152" t="s">
        <v>116</v>
      </c>
      <c r="F152" s="1" t="s">
        <v>416</v>
      </c>
      <c r="G152">
        <v>3290</v>
      </c>
      <c r="H152">
        <v>420</v>
      </c>
      <c r="I152">
        <v>3290</v>
      </c>
      <c r="L152">
        <v>2723</v>
      </c>
      <c r="M152">
        <v>2723</v>
      </c>
      <c r="N152">
        <v>8.957904749343566</v>
      </c>
      <c r="O152" s="1"/>
      <c r="Q152" s="1"/>
      <c r="AC152" s="1"/>
    </row>
    <row r="153" spans="2:30" x14ac:dyDescent="0.25">
      <c r="B153" s="1" t="s">
        <v>284</v>
      </c>
      <c r="C153">
        <v>152</v>
      </c>
      <c r="D153" s="1" t="s">
        <v>81</v>
      </c>
      <c r="E153" t="s">
        <v>116</v>
      </c>
      <c r="F153" s="1" t="s">
        <v>416</v>
      </c>
      <c r="G153">
        <v>3167</v>
      </c>
      <c r="H153">
        <v>420</v>
      </c>
      <c r="I153">
        <v>3167</v>
      </c>
      <c r="L153">
        <v>2223</v>
      </c>
      <c r="M153">
        <v>2223</v>
      </c>
      <c r="N153">
        <v>7.0400675943792512</v>
      </c>
      <c r="O153" s="1"/>
      <c r="Q153" s="1"/>
      <c r="AC153" s="1"/>
    </row>
    <row r="154" spans="2:30" x14ac:dyDescent="0.25">
      <c r="B154" s="1" t="s">
        <v>285</v>
      </c>
      <c r="C154">
        <v>153</v>
      </c>
      <c r="D154" s="1" t="s">
        <v>81</v>
      </c>
      <c r="E154" t="s">
        <v>116</v>
      </c>
      <c r="F154" s="1" t="s">
        <v>416</v>
      </c>
      <c r="G154">
        <v>3098</v>
      </c>
      <c r="H154">
        <v>420</v>
      </c>
      <c r="I154">
        <v>3098</v>
      </c>
      <c r="L154">
        <v>2223</v>
      </c>
      <c r="M154">
        <v>2223</v>
      </c>
      <c r="N154">
        <v>6.8865921458622532</v>
      </c>
      <c r="O154" s="1"/>
      <c r="Q154" s="1"/>
      <c r="AC154" s="1"/>
    </row>
    <row r="155" spans="2:30" x14ac:dyDescent="0.25">
      <c r="B155" s="1" t="s">
        <v>286</v>
      </c>
      <c r="C155">
        <v>154</v>
      </c>
      <c r="D155" s="1" t="s">
        <v>81</v>
      </c>
      <c r="E155" t="s">
        <v>116</v>
      </c>
      <c r="F155" s="1" t="s">
        <v>417</v>
      </c>
      <c r="G155">
        <v>3290</v>
      </c>
      <c r="H155">
        <v>420</v>
      </c>
      <c r="I155">
        <v>3290</v>
      </c>
      <c r="L155">
        <v>2723</v>
      </c>
      <c r="M155">
        <v>2723</v>
      </c>
      <c r="N155">
        <v>8.9580892264121381</v>
      </c>
      <c r="O155" s="1"/>
      <c r="Q155" s="1"/>
      <c r="AC155" s="1"/>
    </row>
    <row r="156" spans="2:30" x14ac:dyDescent="0.25">
      <c r="B156" s="1" t="s">
        <v>287</v>
      </c>
      <c r="C156">
        <v>155</v>
      </c>
      <c r="D156" s="1" t="s">
        <v>81</v>
      </c>
      <c r="E156" t="s">
        <v>116</v>
      </c>
      <c r="F156" s="1" t="s">
        <v>417</v>
      </c>
      <c r="G156">
        <v>3290</v>
      </c>
      <c r="H156">
        <v>420</v>
      </c>
      <c r="I156">
        <v>3290</v>
      </c>
      <c r="L156">
        <v>2723</v>
      </c>
      <c r="M156">
        <v>2723</v>
      </c>
      <c r="N156">
        <v>8.9579313499680211</v>
      </c>
      <c r="O156" s="1"/>
      <c r="Q156" s="1"/>
      <c r="AC156" s="1"/>
    </row>
    <row r="157" spans="2:30" x14ac:dyDescent="0.25">
      <c r="B157" s="1" t="s">
        <v>288</v>
      </c>
      <c r="C157">
        <v>156</v>
      </c>
      <c r="D157" s="1" t="s">
        <v>81</v>
      </c>
      <c r="E157" t="s">
        <v>116</v>
      </c>
      <c r="F157" s="1" t="s">
        <v>417</v>
      </c>
      <c r="G157">
        <v>3167</v>
      </c>
      <c r="H157">
        <v>420</v>
      </c>
      <c r="I157">
        <v>3167</v>
      </c>
      <c r="L157">
        <v>2223</v>
      </c>
      <c r="M157">
        <v>2223</v>
      </c>
      <c r="N157">
        <v>7.0400675943792512</v>
      </c>
      <c r="O157" s="1"/>
      <c r="Q157" s="1"/>
      <c r="AC157" s="1"/>
    </row>
    <row r="158" spans="2:30" x14ac:dyDescent="0.25">
      <c r="B158" s="1" t="s">
        <v>289</v>
      </c>
      <c r="C158">
        <v>157</v>
      </c>
      <c r="D158" s="1" t="s">
        <v>81</v>
      </c>
      <c r="E158" t="s">
        <v>116</v>
      </c>
      <c r="F158" s="1" t="s">
        <v>417</v>
      </c>
      <c r="G158">
        <v>3098</v>
      </c>
      <c r="H158">
        <v>420</v>
      </c>
      <c r="I158">
        <v>3098</v>
      </c>
      <c r="L158">
        <v>2248</v>
      </c>
      <c r="M158">
        <v>2248</v>
      </c>
      <c r="N158">
        <v>6.9642134002865408</v>
      </c>
      <c r="O158" s="1"/>
      <c r="Q158" s="1"/>
      <c r="AC158" s="1"/>
    </row>
    <row r="159" spans="2:30" x14ac:dyDescent="0.25">
      <c r="B159" s="1" t="s">
        <v>881</v>
      </c>
      <c r="C159">
        <v>158</v>
      </c>
      <c r="D159" s="1" t="s">
        <v>82</v>
      </c>
      <c r="E159" t="s">
        <v>152</v>
      </c>
      <c r="F159" s="1" t="s">
        <v>911</v>
      </c>
      <c r="O159" s="1" t="s">
        <v>912</v>
      </c>
      <c r="P159" t="s">
        <v>108</v>
      </c>
      <c r="Q159" s="1" t="s">
        <v>244</v>
      </c>
      <c r="R159">
        <v>2</v>
      </c>
      <c r="S159">
        <v>50</v>
      </c>
      <c r="T159">
        <v>31</v>
      </c>
      <c r="U159">
        <v>28</v>
      </c>
      <c r="AA159">
        <v>173.83017474900001</v>
      </c>
      <c r="AB159">
        <v>254466.50867899999</v>
      </c>
      <c r="AC159" s="1" t="s">
        <v>245</v>
      </c>
      <c r="AD159" t="s">
        <v>246</v>
      </c>
    </row>
    <row r="160" spans="2:30" x14ac:dyDescent="0.25">
      <c r="B160" s="1" t="s">
        <v>882</v>
      </c>
      <c r="C160">
        <v>159</v>
      </c>
      <c r="D160" s="1" t="s">
        <v>82</v>
      </c>
      <c r="E160" t="s">
        <v>152</v>
      </c>
      <c r="F160" s="1" t="s">
        <v>913</v>
      </c>
      <c r="O160" s="1" t="s">
        <v>341</v>
      </c>
      <c r="P160" t="s">
        <v>108</v>
      </c>
      <c r="Q160" s="1" t="s">
        <v>244</v>
      </c>
      <c r="R160">
        <v>2</v>
      </c>
      <c r="S160">
        <v>50</v>
      </c>
      <c r="T160">
        <v>31</v>
      </c>
      <c r="U160">
        <v>28</v>
      </c>
      <c r="AA160">
        <v>174.17010170399999</v>
      </c>
      <c r="AB160">
        <v>258927.58565399999</v>
      </c>
      <c r="AC160" s="1" t="s">
        <v>245</v>
      </c>
      <c r="AD160" t="s">
        <v>246</v>
      </c>
    </row>
    <row r="161" spans="2:30" x14ac:dyDescent="0.25">
      <c r="B161" s="1" t="s">
        <v>883</v>
      </c>
      <c r="C161">
        <v>160</v>
      </c>
      <c r="D161" s="1" t="s">
        <v>82</v>
      </c>
      <c r="E161" t="s">
        <v>152</v>
      </c>
      <c r="F161" s="1" t="s">
        <v>914</v>
      </c>
      <c r="O161" s="1" t="s">
        <v>341</v>
      </c>
      <c r="P161" t="s">
        <v>108</v>
      </c>
      <c r="Q161" s="1" t="s">
        <v>244</v>
      </c>
      <c r="R161">
        <v>2</v>
      </c>
      <c r="S161">
        <v>50</v>
      </c>
      <c r="T161">
        <v>31</v>
      </c>
      <c r="U161">
        <v>28</v>
      </c>
      <c r="AA161">
        <v>174.17012215099999</v>
      </c>
      <c r="AB161">
        <v>258927.65915299999</v>
      </c>
      <c r="AC161" s="1" t="s">
        <v>245</v>
      </c>
      <c r="AD161" t="s">
        <v>246</v>
      </c>
    </row>
    <row r="162" spans="2:30" x14ac:dyDescent="0.25">
      <c r="B162" s="1" t="s">
        <v>884</v>
      </c>
      <c r="C162">
        <v>161</v>
      </c>
      <c r="D162" s="1" t="s">
        <v>82</v>
      </c>
      <c r="E162" t="s">
        <v>152</v>
      </c>
      <c r="F162" s="1" t="s">
        <v>915</v>
      </c>
      <c r="O162" s="1" t="s">
        <v>495</v>
      </c>
      <c r="P162" t="s">
        <v>108</v>
      </c>
      <c r="Q162" s="1" t="s">
        <v>244</v>
      </c>
      <c r="R162">
        <v>2</v>
      </c>
      <c r="S162">
        <v>50</v>
      </c>
      <c r="T162">
        <v>31</v>
      </c>
      <c r="U162">
        <v>28</v>
      </c>
      <c r="AA162">
        <v>173.830171834</v>
      </c>
      <c r="AB162">
        <v>258487.142399</v>
      </c>
      <c r="AC162" s="1" t="s">
        <v>245</v>
      </c>
      <c r="AD162" t="s">
        <v>246</v>
      </c>
    </row>
    <row r="163" spans="2:30" x14ac:dyDescent="0.25">
      <c r="B163" s="1" t="s">
        <v>885</v>
      </c>
      <c r="C163">
        <v>162</v>
      </c>
      <c r="D163" s="1" t="s">
        <v>82</v>
      </c>
      <c r="E163" t="s">
        <v>152</v>
      </c>
      <c r="F163" s="1" t="s">
        <v>916</v>
      </c>
      <c r="O163" s="1" t="s">
        <v>917</v>
      </c>
      <c r="P163" t="s">
        <v>108</v>
      </c>
      <c r="Q163" s="1" t="s">
        <v>244</v>
      </c>
      <c r="R163">
        <v>2</v>
      </c>
      <c r="S163">
        <v>50</v>
      </c>
      <c r="T163">
        <v>31</v>
      </c>
      <c r="U163">
        <v>28</v>
      </c>
      <c r="AA163">
        <v>173.830439993</v>
      </c>
      <c r="AB163">
        <v>258537.25663799999</v>
      </c>
      <c r="AC163" s="1" t="s">
        <v>245</v>
      </c>
      <c r="AD163" t="s">
        <v>246</v>
      </c>
    </row>
    <row r="164" spans="2:30" x14ac:dyDescent="0.25">
      <c r="B164" s="1" t="s">
        <v>886</v>
      </c>
      <c r="C164">
        <v>163</v>
      </c>
      <c r="D164" s="1" t="s">
        <v>82</v>
      </c>
      <c r="E164" t="s">
        <v>152</v>
      </c>
      <c r="F164" s="1" t="s">
        <v>918</v>
      </c>
      <c r="O164" s="1" t="s">
        <v>347</v>
      </c>
      <c r="P164" t="s">
        <v>108</v>
      </c>
      <c r="Q164" s="1" t="s">
        <v>244</v>
      </c>
      <c r="R164">
        <v>1</v>
      </c>
      <c r="S164">
        <v>50</v>
      </c>
      <c r="T164">
        <v>32</v>
      </c>
      <c r="U164">
        <v>28</v>
      </c>
      <c r="AA164">
        <v>173.71581782999999</v>
      </c>
      <c r="AB164">
        <v>258693.61627900001</v>
      </c>
      <c r="AC164" s="1" t="s">
        <v>245</v>
      </c>
      <c r="AD164" t="s">
        <v>246</v>
      </c>
    </row>
    <row r="165" spans="2:30" x14ac:dyDescent="0.25">
      <c r="B165" s="1" t="s">
        <v>886</v>
      </c>
      <c r="C165">
        <v>164</v>
      </c>
      <c r="D165" s="1" t="s">
        <v>82</v>
      </c>
      <c r="E165" t="s">
        <v>152</v>
      </c>
      <c r="F165" s="1" t="s">
        <v>918</v>
      </c>
      <c r="O165" s="1" t="s">
        <v>368</v>
      </c>
      <c r="P165" t="s">
        <v>108</v>
      </c>
      <c r="Q165" s="1" t="s">
        <v>244</v>
      </c>
      <c r="R165">
        <v>1</v>
      </c>
      <c r="S165">
        <v>50</v>
      </c>
      <c r="T165">
        <v>32</v>
      </c>
      <c r="U165">
        <v>28</v>
      </c>
      <c r="AA165">
        <v>173.667657029</v>
      </c>
      <c r="AB165">
        <v>258626.04391099999</v>
      </c>
      <c r="AC165" s="1" t="s">
        <v>245</v>
      </c>
      <c r="AD165" t="s">
        <v>246</v>
      </c>
    </row>
    <row r="166" spans="2:30" x14ac:dyDescent="0.25">
      <c r="B166" s="1" t="s">
        <v>887</v>
      </c>
      <c r="C166">
        <v>165</v>
      </c>
      <c r="D166" s="1" t="s">
        <v>82</v>
      </c>
      <c r="E166" t="s">
        <v>152</v>
      </c>
      <c r="F166" s="1" t="s">
        <v>919</v>
      </c>
      <c r="O166" s="1" t="s">
        <v>382</v>
      </c>
      <c r="P166" t="s">
        <v>108</v>
      </c>
      <c r="Q166" s="1" t="s">
        <v>244</v>
      </c>
      <c r="R166">
        <v>2</v>
      </c>
      <c r="S166">
        <v>50</v>
      </c>
      <c r="T166">
        <v>32</v>
      </c>
      <c r="U166">
        <v>28</v>
      </c>
      <c r="AA166">
        <v>173.830329694</v>
      </c>
      <c r="AB166">
        <v>258873.997947</v>
      </c>
      <c r="AC166" s="1" t="s">
        <v>245</v>
      </c>
      <c r="AD166" t="s">
        <v>246</v>
      </c>
    </row>
    <row r="167" spans="2:30" x14ac:dyDescent="0.25">
      <c r="B167" s="1" t="s">
        <v>888</v>
      </c>
      <c r="C167">
        <v>166</v>
      </c>
      <c r="D167" s="1" t="s">
        <v>82</v>
      </c>
      <c r="E167" t="s">
        <v>152</v>
      </c>
      <c r="F167" s="1" t="s">
        <v>920</v>
      </c>
      <c r="O167" s="1" t="s">
        <v>437</v>
      </c>
      <c r="P167" t="s">
        <v>108</v>
      </c>
      <c r="Q167" s="1" t="s">
        <v>244</v>
      </c>
      <c r="R167">
        <v>2</v>
      </c>
      <c r="S167">
        <v>50</v>
      </c>
      <c r="T167">
        <v>32</v>
      </c>
      <c r="U167">
        <v>28</v>
      </c>
      <c r="AA167">
        <v>174.218103098</v>
      </c>
      <c r="AB167">
        <v>259417.44164800001</v>
      </c>
      <c r="AC167" s="1" t="s">
        <v>245</v>
      </c>
      <c r="AD167" t="s">
        <v>246</v>
      </c>
    </row>
    <row r="168" spans="2:30" x14ac:dyDescent="0.25">
      <c r="B168" s="1" t="s">
        <v>889</v>
      </c>
      <c r="C168">
        <v>167</v>
      </c>
      <c r="D168" s="1" t="s">
        <v>82</v>
      </c>
      <c r="E168" t="s">
        <v>152</v>
      </c>
      <c r="F168" s="1" t="s">
        <v>921</v>
      </c>
      <c r="O168" s="1" t="s">
        <v>922</v>
      </c>
      <c r="P168" t="s">
        <v>108</v>
      </c>
      <c r="Q168" s="1" t="s">
        <v>244</v>
      </c>
      <c r="R168">
        <v>2</v>
      </c>
      <c r="S168">
        <v>50</v>
      </c>
      <c r="T168">
        <v>32</v>
      </c>
      <c r="U168">
        <v>28</v>
      </c>
      <c r="AA168">
        <v>173.82914633799999</v>
      </c>
      <c r="AB168">
        <v>258971.92279700001</v>
      </c>
      <c r="AC168" s="1" t="s">
        <v>245</v>
      </c>
      <c r="AD168" t="s">
        <v>246</v>
      </c>
    </row>
    <row r="169" spans="2:30" x14ac:dyDescent="0.25">
      <c r="B169" s="1" t="s">
        <v>890</v>
      </c>
      <c r="C169">
        <v>168</v>
      </c>
      <c r="D169" s="1" t="s">
        <v>82</v>
      </c>
      <c r="E169" t="s">
        <v>152</v>
      </c>
      <c r="F169" s="1" t="s">
        <v>923</v>
      </c>
      <c r="O169" s="1" t="s">
        <v>351</v>
      </c>
      <c r="P169" t="s">
        <v>108</v>
      </c>
      <c r="Q169" s="1" t="s">
        <v>244</v>
      </c>
      <c r="R169">
        <v>2</v>
      </c>
      <c r="S169">
        <v>50</v>
      </c>
      <c r="T169">
        <v>32</v>
      </c>
      <c r="U169">
        <v>28</v>
      </c>
      <c r="AA169">
        <v>173.830439794</v>
      </c>
      <c r="AB169">
        <v>258921.761344</v>
      </c>
      <c r="AC169" s="1" t="s">
        <v>245</v>
      </c>
      <c r="AD169" t="s">
        <v>246</v>
      </c>
    </row>
    <row r="170" spans="2:30" x14ac:dyDescent="0.25">
      <c r="B170" s="1" t="s">
        <v>891</v>
      </c>
      <c r="C170">
        <v>169</v>
      </c>
      <c r="D170" s="1" t="s">
        <v>82</v>
      </c>
      <c r="E170" t="s">
        <v>152</v>
      </c>
      <c r="F170" s="1" t="s">
        <v>924</v>
      </c>
      <c r="O170" s="1" t="s">
        <v>925</v>
      </c>
      <c r="P170" t="s">
        <v>108</v>
      </c>
      <c r="Q170" s="1" t="s">
        <v>244</v>
      </c>
      <c r="R170">
        <v>2</v>
      </c>
      <c r="S170">
        <v>50</v>
      </c>
      <c r="T170">
        <v>32</v>
      </c>
      <c r="U170">
        <v>28</v>
      </c>
      <c r="AA170">
        <v>174.17001306399999</v>
      </c>
      <c r="AB170">
        <v>259448.749003</v>
      </c>
      <c r="AC170" s="1" t="s">
        <v>245</v>
      </c>
      <c r="AD170" t="s">
        <v>246</v>
      </c>
    </row>
    <row r="171" spans="2:30" x14ac:dyDescent="0.25">
      <c r="B171" s="1" t="s">
        <v>892</v>
      </c>
      <c r="C171">
        <v>170</v>
      </c>
      <c r="D171" s="1" t="s">
        <v>82</v>
      </c>
      <c r="E171" t="s">
        <v>152</v>
      </c>
      <c r="F171" s="1" t="s">
        <v>926</v>
      </c>
      <c r="O171" s="1" t="s">
        <v>927</v>
      </c>
      <c r="P171" t="s">
        <v>108</v>
      </c>
      <c r="Q171" s="1" t="s">
        <v>244</v>
      </c>
      <c r="R171">
        <v>1</v>
      </c>
      <c r="S171">
        <v>50</v>
      </c>
      <c r="T171">
        <v>32</v>
      </c>
      <c r="U171">
        <v>28</v>
      </c>
      <c r="AA171">
        <v>174.16992339800001</v>
      </c>
      <c r="AB171">
        <v>259581.650815</v>
      </c>
      <c r="AC171" s="1" t="s">
        <v>245</v>
      </c>
      <c r="AD171" t="s">
        <v>246</v>
      </c>
    </row>
    <row r="172" spans="2:30" x14ac:dyDescent="0.25">
      <c r="B172" s="1" t="s">
        <v>892</v>
      </c>
      <c r="C172">
        <v>171</v>
      </c>
      <c r="D172" s="1" t="s">
        <v>82</v>
      </c>
      <c r="E172" t="s">
        <v>152</v>
      </c>
      <c r="F172" s="1" t="s">
        <v>926</v>
      </c>
      <c r="O172" s="1" t="s">
        <v>449</v>
      </c>
      <c r="P172" t="s">
        <v>108</v>
      </c>
      <c r="Q172" s="1" t="s">
        <v>244</v>
      </c>
      <c r="R172">
        <v>1</v>
      </c>
      <c r="S172">
        <v>50</v>
      </c>
      <c r="T172">
        <v>32</v>
      </c>
      <c r="U172">
        <v>28</v>
      </c>
      <c r="AA172">
        <v>173.830329694</v>
      </c>
      <c r="AB172">
        <v>259105.06954200001</v>
      </c>
      <c r="AC172" s="1" t="s">
        <v>245</v>
      </c>
      <c r="AD172" t="s">
        <v>246</v>
      </c>
    </row>
    <row r="173" spans="2:30" x14ac:dyDescent="0.25">
      <c r="B173" s="1" t="s">
        <v>893</v>
      </c>
      <c r="C173">
        <v>172</v>
      </c>
      <c r="D173" s="1" t="s">
        <v>82</v>
      </c>
      <c r="E173" t="s">
        <v>152</v>
      </c>
      <c r="F173" s="1" t="s">
        <v>928</v>
      </c>
      <c r="O173" s="1" t="s">
        <v>356</v>
      </c>
      <c r="P173" t="s">
        <v>108</v>
      </c>
      <c r="Q173" s="1" t="s">
        <v>244</v>
      </c>
      <c r="R173">
        <v>2</v>
      </c>
      <c r="S173">
        <v>50</v>
      </c>
      <c r="T173">
        <v>32</v>
      </c>
      <c r="U173">
        <v>28</v>
      </c>
      <c r="AA173">
        <v>173.83017183499999</v>
      </c>
      <c r="AB173">
        <v>259113.189866</v>
      </c>
      <c r="AC173" s="1" t="s">
        <v>245</v>
      </c>
      <c r="AD173" t="s">
        <v>246</v>
      </c>
    </row>
    <row r="174" spans="2:30" x14ac:dyDescent="0.25">
      <c r="B174" s="1" t="s">
        <v>894</v>
      </c>
      <c r="C174">
        <v>173</v>
      </c>
      <c r="D174" s="1" t="s">
        <v>82</v>
      </c>
      <c r="E174" t="s">
        <v>152</v>
      </c>
      <c r="F174" s="1" t="s">
        <v>929</v>
      </c>
      <c r="O174" s="1" t="s">
        <v>356</v>
      </c>
      <c r="P174" t="s">
        <v>108</v>
      </c>
      <c r="Q174" s="1" t="s">
        <v>244</v>
      </c>
      <c r="R174">
        <v>2</v>
      </c>
      <c r="S174">
        <v>50</v>
      </c>
      <c r="T174">
        <v>32</v>
      </c>
      <c r="U174">
        <v>28</v>
      </c>
      <c r="AA174">
        <v>173.83025338600001</v>
      </c>
      <c r="AB174">
        <v>259113.31974800001</v>
      </c>
      <c r="AC174" s="1" t="s">
        <v>245</v>
      </c>
      <c r="AD174" t="s">
        <v>246</v>
      </c>
    </row>
    <row r="175" spans="2:30" x14ac:dyDescent="0.25">
      <c r="B175" s="1" t="s">
        <v>895</v>
      </c>
      <c r="C175">
        <v>174</v>
      </c>
      <c r="D175" s="1" t="s">
        <v>82</v>
      </c>
      <c r="E175" t="s">
        <v>152</v>
      </c>
      <c r="F175" s="1" t="s">
        <v>930</v>
      </c>
      <c r="O175" s="1" t="s">
        <v>931</v>
      </c>
      <c r="P175" t="s">
        <v>108</v>
      </c>
      <c r="Q175" s="1" t="s">
        <v>244</v>
      </c>
      <c r="R175">
        <v>2</v>
      </c>
      <c r="S175">
        <v>50</v>
      </c>
      <c r="T175">
        <v>32</v>
      </c>
      <c r="U175">
        <v>28</v>
      </c>
      <c r="AA175">
        <v>174.16994384500001</v>
      </c>
      <c r="AB175">
        <v>259640.82387699999</v>
      </c>
      <c r="AC175" s="1" t="s">
        <v>245</v>
      </c>
      <c r="AD175" t="s">
        <v>246</v>
      </c>
    </row>
    <row r="176" spans="2:30" x14ac:dyDescent="0.25">
      <c r="B176" s="1" t="s">
        <v>896</v>
      </c>
      <c r="C176">
        <v>175</v>
      </c>
      <c r="D176" s="1" t="s">
        <v>82</v>
      </c>
      <c r="E176" t="s">
        <v>152</v>
      </c>
      <c r="F176" s="1" t="s">
        <v>911</v>
      </c>
      <c r="O176" s="1" t="s">
        <v>434</v>
      </c>
      <c r="P176" t="s">
        <v>108</v>
      </c>
      <c r="Q176" s="1" t="s">
        <v>244</v>
      </c>
      <c r="R176">
        <v>1</v>
      </c>
      <c r="S176">
        <v>50</v>
      </c>
      <c r="T176">
        <v>34</v>
      </c>
      <c r="U176">
        <v>27</v>
      </c>
      <c r="AA176">
        <v>324.11125177100001</v>
      </c>
      <c r="AB176">
        <v>491843.59423300001</v>
      </c>
      <c r="AC176" s="1" t="s">
        <v>245</v>
      </c>
      <c r="AD176" t="s">
        <v>246</v>
      </c>
    </row>
    <row r="177" spans="2:30" x14ac:dyDescent="0.25">
      <c r="B177" s="1" t="s">
        <v>897</v>
      </c>
      <c r="C177">
        <v>176</v>
      </c>
      <c r="D177" s="1" t="s">
        <v>82</v>
      </c>
      <c r="E177" t="s">
        <v>152</v>
      </c>
      <c r="F177" s="1" t="s">
        <v>920</v>
      </c>
      <c r="O177" s="1" t="s">
        <v>364</v>
      </c>
      <c r="P177" t="s">
        <v>108</v>
      </c>
      <c r="Q177" s="1" t="s">
        <v>244</v>
      </c>
      <c r="R177">
        <v>1</v>
      </c>
      <c r="S177">
        <v>50</v>
      </c>
      <c r="T177">
        <v>34</v>
      </c>
      <c r="U177">
        <v>28</v>
      </c>
      <c r="AA177">
        <v>323.77244052200001</v>
      </c>
      <c r="AB177">
        <v>505622.127637</v>
      </c>
      <c r="AC177" s="1" t="s">
        <v>245</v>
      </c>
      <c r="AD177" t="s">
        <v>246</v>
      </c>
    </row>
    <row r="178" spans="2:30" x14ac:dyDescent="0.25">
      <c r="B178" s="1" t="s">
        <v>898</v>
      </c>
      <c r="C178">
        <v>177</v>
      </c>
      <c r="D178" s="1" t="s">
        <v>82</v>
      </c>
      <c r="E178" t="s">
        <v>152</v>
      </c>
      <c r="F178" s="1" t="s">
        <v>919</v>
      </c>
      <c r="O178" s="1" t="s">
        <v>369</v>
      </c>
      <c r="P178" t="s">
        <v>108</v>
      </c>
      <c r="Q178" s="1" t="s">
        <v>244</v>
      </c>
      <c r="R178">
        <v>1</v>
      </c>
      <c r="S178">
        <v>50</v>
      </c>
      <c r="T178">
        <v>34</v>
      </c>
      <c r="U178">
        <v>28</v>
      </c>
      <c r="AA178">
        <v>324.11238397599999</v>
      </c>
      <c r="AB178">
        <v>506206.98368599999</v>
      </c>
      <c r="AC178" s="1" t="s">
        <v>245</v>
      </c>
      <c r="AD178" t="s">
        <v>246</v>
      </c>
    </row>
    <row r="179" spans="2:30" x14ac:dyDescent="0.25">
      <c r="B179" s="1" t="s">
        <v>899</v>
      </c>
      <c r="C179">
        <v>178</v>
      </c>
      <c r="D179" s="1" t="s">
        <v>82</v>
      </c>
      <c r="E179" t="s">
        <v>152</v>
      </c>
      <c r="F179" s="1" t="s">
        <v>921</v>
      </c>
      <c r="O179" s="1" t="s">
        <v>932</v>
      </c>
      <c r="P179" t="s">
        <v>108</v>
      </c>
      <c r="Q179" s="1" t="s">
        <v>244</v>
      </c>
      <c r="R179">
        <v>1</v>
      </c>
      <c r="S179">
        <v>50</v>
      </c>
      <c r="T179">
        <v>34</v>
      </c>
      <c r="U179">
        <v>28</v>
      </c>
      <c r="AA179">
        <v>324.11151899999999</v>
      </c>
      <c r="AB179">
        <v>506391.51886200003</v>
      </c>
      <c r="AC179" s="1" t="s">
        <v>245</v>
      </c>
      <c r="AD179" t="s">
        <v>246</v>
      </c>
    </row>
    <row r="180" spans="2:30" x14ac:dyDescent="0.25">
      <c r="B180" s="1" t="s">
        <v>900</v>
      </c>
      <c r="C180">
        <v>179</v>
      </c>
      <c r="D180" s="1" t="s">
        <v>82</v>
      </c>
      <c r="E180" t="s">
        <v>152</v>
      </c>
      <c r="F180" s="1" t="s">
        <v>913</v>
      </c>
      <c r="O180" s="1" t="s">
        <v>452</v>
      </c>
      <c r="P180" t="s">
        <v>108</v>
      </c>
      <c r="Q180" s="1" t="s">
        <v>244</v>
      </c>
      <c r="R180">
        <v>1</v>
      </c>
      <c r="S180">
        <v>50</v>
      </c>
      <c r="T180">
        <v>34</v>
      </c>
      <c r="U180">
        <v>28</v>
      </c>
      <c r="AA180">
        <v>323.759842349</v>
      </c>
      <c r="AB180">
        <v>505528.76791400003</v>
      </c>
      <c r="AC180" s="1" t="s">
        <v>245</v>
      </c>
      <c r="AD180" t="s">
        <v>246</v>
      </c>
    </row>
    <row r="181" spans="2:30" x14ac:dyDescent="0.25">
      <c r="B181" s="1" t="s">
        <v>901</v>
      </c>
      <c r="C181">
        <v>180</v>
      </c>
      <c r="D181" s="1" t="s">
        <v>82</v>
      </c>
      <c r="E181" t="s">
        <v>152</v>
      </c>
      <c r="F181" s="1" t="s">
        <v>914</v>
      </c>
      <c r="O181" s="1" t="s">
        <v>459</v>
      </c>
      <c r="P181" t="s">
        <v>108</v>
      </c>
      <c r="Q181" s="1" t="s">
        <v>244</v>
      </c>
      <c r="R181">
        <v>2</v>
      </c>
      <c r="S181">
        <v>50</v>
      </c>
      <c r="T181">
        <v>34</v>
      </c>
      <c r="U181">
        <v>28</v>
      </c>
      <c r="AA181">
        <v>323.77244046499999</v>
      </c>
      <c r="AB181">
        <v>505550.47846100002</v>
      </c>
      <c r="AC181" s="1" t="s">
        <v>245</v>
      </c>
      <c r="AD181" t="s">
        <v>246</v>
      </c>
    </row>
    <row r="182" spans="2:30" x14ac:dyDescent="0.25">
      <c r="B182" s="1" t="s">
        <v>902</v>
      </c>
      <c r="C182">
        <v>181</v>
      </c>
      <c r="D182" s="1" t="s">
        <v>82</v>
      </c>
      <c r="E182" t="s">
        <v>152</v>
      </c>
      <c r="F182" s="1" t="s">
        <v>916</v>
      </c>
      <c r="O182" s="1" t="s">
        <v>418</v>
      </c>
      <c r="P182" t="s">
        <v>108</v>
      </c>
      <c r="Q182" s="1" t="s">
        <v>244</v>
      </c>
      <c r="R182">
        <v>2</v>
      </c>
      <c r="S182">
        <v>50</v>
      </c>
      <c r="T182">
        <v>34</v>
      </c>
      <c r="U182">
        <v>28</v>
      </c>
      <c r="AA182">
        <v>324.11097132499998</v>
      </c>
      <c r="AB182">
        <v>506292.51095600001</v>
      </c>
      <c r="AC182" s="1" t="s">
        <v>245</v>
      </c>
      <c r="AD182" t="s">
        <v>246</v>
      </c>
    </row>
    <row r="183" spans="2:30" x14ac:dyDescent="0.25">
      <c r="B183" s="1" t="s">
        <v>903</v>
      </c>
      <c r="C183">
        <v>182</v>
      </c>
      <c r="D183" s="1" t="s">
        <v>82</v>
      </c>
      <c r="E183" t="s">
        <v>152</v>
      </c>
      <c r="F183" s="1" t="s">
        <v>915</v>
      </c>
      <c r="O183" s="1" t="s">
        <v>327</v>
      </c>
      <c r="P183" t="s">
        <v>108</v>
      </c>
      <c r="Q183" s="1" t="s">
        <v>244</v>
      </c>
      <c r="R183">
        <v>2</v>
      </c>
      <c r="S183">
        <v>50</v>
      </c>
      <c r="T183">
        <v>34</v>
      </c>
      <c r="U183">
        <v>34</v>
      </c>
      <c r="AA183">
        <v>324.11221247600002</v>
      </c>
      <c r="AB183">
        <v>558819.013958</v>
      </c>
      <c r="AC183" s="1" t="s">
        <v>245</v>
      </c>
      <c r="AD183" t="s">
        <v>246</v>
      </c>
    </row>
    <row r="184" spans="2:30" x14ac:dyDescent="0.25">
      <c r="B184" s="1" t="s">
        <v>904</v>
      </c>
      <c r="C184">
        <v>183</v>
      </c>
      <c r="D184" s="1" t="s">
        <v>82</v>
      </c>
      <c r="E184" t="s">
        <v>152</v>
      </c>
      <c r="F184" s="1" t="s">
        <v>929</v>
      </c>
      <c r="O184" s="1" t="s">
        <v>933</v>
      </c>
      <c r="P184" t="s">
        <v>108</v>
      </c>
      <c r="Q184" s="1" t="s">
        <v>244</v>
      </c>
      <c r="R184">
        <v>2</v>
      </c>
      <c r="S184">
        <v>50</v>
      </c>
      <c r="T184">
        <v>35</v>
      </c>
      <c r="U184">
        <v>28</v>
      </c>
      <c r="AA184">
        <v>324.11097132600003</v>
      </c>
      <c r="AB184">
        <v>507461.64819500002</v>
      </c>
      <c r="AC184" s="1" t="s">
        <v>245</v>
      </c>
      <c r="AD184" t="s">
        <v>246</v>
      </c>
    </row>
    <row r="185" spans="2:30" x14ac:dyDescent="0.25">
      <c r="B185" s="1" t="s">
        <v>905</v>
      </c>
      <c r="C185">
        <v>184</v>
      </c>
      <c r="D185" s="1" t="s">
        <v>82</v>
      </c>
      <c r="E185" t="s">
        <v>152</v>
      </c>
      <c r="F185" s="1" t="s">
        <v>926</v>
      </c>
      <c r="O185" s="1" t="s">
        <v>934</v>
      </c>
      <c r="P185" t="s">
        <v>108</v>
      </c>
      <c r="Q185" s="1" t="s">
        <v>244</v>
      </c>
      <c r="R185">
        <v>2</v>
      </c>
      <c r="S185">
        <v>50</v>
      </c>
      <c r="T185">
        <v>35</v>
      </c>
      <c r="U185">
        <v>28</v>
      </c>
      <c r="AA185">
        <v>324.11221247499998</v>
      </c>
      <c r="AB185">
        <v>507463.792594</v>
      </c>
      <c r="AC185" s="1" t="s">
        <v>245</v>
      </c>
      <c r="AD185" t="s">
        <v>246</v>
      </c>
    </row>
    <row r="186" spans="2:30" x14ac:dyDescent="0.25">
      <c r="B186" s="1" t="s">
        <v>906</v>
      </c>
      <c r="C186">
        <v>185</v>
      </c>
      <c r="D186" s="1" t="s">
        <v>82</v>
      </c>
      <c r="E186" t="s">
        <v>152</v>
      </c>
      <c r="F186" s="1" t="s">
        <v>928</v>
      </c>
      <c r="O186" s="1" t="s">
        <v>934</v>
      </c>
      <c r="P186" t="s">
        <v>108</v>
      </c>
      <c r="Q186" s="1" t="s">
        <v>244</v>
      </c>
      <c r="R186">
        <v>1</v>
      </c>
      <c r="S186">
        <v>50</v>
      </c>
      <c r="T186">
        <v>35</v>
      </c>
      <c r="U186">
        <v>28</v>
      </c>
      <c r="AA186">
        <v>324.11221253399998</v>
      </c>
      <c r="AB186">
        <v>507463.79936399998</v>
      </c>
      <c r="AC186" s="1" t="s">
        <v>245</v>
      </c>
      <c r="AD186" t="s">
        <v>246</v>
      </c>
    </row>
    <row r="187" spans="2:30" x14ac:dyDescent="0.25">
      <c r="B187" s="1" t="s">
        <v>898</v>
      </c>
      <c r="C187">
        <v>186</v>
      </c>
      <c r="D187" s="1" t="s">
        <v>82</v>
      </c>
      <c r="E187" t="s">
        <v>152</v>
      </c>
      <c r="F187" s="1" t="s">
        <v>919</v>
      </c>
      <c r="O187" s="1" t="s">
        <v>371</v>
      </c>
      <c r="P187" t="s">
        <v>108</v>
      </c>
      <c r="Q187" s="1" t="s">
        <v>244</v>
      </c>
      <c r="R187">
        <v>8</v>
      </c>
      <c r="S187">
        <v>50</v>
      </c>
      <c r="T187">
        <v>44</v>
      </c>
      <c r="U187">
        <v>30</v>
      </c>
      <c r="AA187">
        <v>882.111219925</v>
      </c>
      <c r="AB187">
        <v>1613620.8020500001</v>
      </c>
      <c r="AC187" s="1" t="s">
        <v>245</v>
      </c>
      <c r="AD187" t="s">
        <v>246</v>
      </c>
    </row>
    <row r="188" spans="2:30" x14ac:dyDescent="0.25">
      <c r="B188" s="1" t="s">
        <v>898</v>
      </c>
      <c r="C188">
        <v>187</v>
      </c>
      <c r="D188" s="1" t="s">
        <v>82</v>
      </c>
      <c r="E188" t="s">
        <v>152</v>
      </c>
      <c r="F188" s="1" t="s">
        <v>919</v>
      </c>
      <c r="O188" s="1" t="s">
        <v>334</v>
      </c>
      <c r="P188" t="s">
        <v>108</v>
      </c>
      <c r="Q188" s="1" t="s">
        <v>244</v>
      </c>
      <c r="R188">
        <v>1</v>
      </c>
      <c r="S188">
        <v>50</v>
      </c>
      <c r="T188">
        <v>44</v>
      </c>
      <c r="U188">
        <v>35</v>
      </c>
      <c r="AA188">
        <v>617.99880909399997</v>
      </c>
      <c r="AB188">
        <v>1208887.0841099999</v>
      </c>
      <c r="AC188" s="1" t="s">
        <v>245</v>
      </c>
      <c r="AD188" t="s">
        <v>246</v>
      </c>
    </row>
    <row r="189" spans="2:30" x14ac:dyDescent="0.25">
      <c r="B189" s="1" t="s">
        <v>898</v>
      </c>
      <c r="C189">
        <v>188</v>
      </c>
      <c r="D189" s="1" t="s">
        <v>82</v>
      </c>
      <c r="E189" t="s">
        <v>152</v>
      </c>
      <c r="F189" s="1" t="s">
        <v>919</v>
      </c>
      <c r="O189" s="1" t="s">
        <v>345</v>
      </c>
      <c r="P189" t="s">
        <v>108</v>
      </c>
      <c r="Q189" s="1" t="s">
        <v>244</v>
      </c>
      <c r="R189">
        <v>2</v>
      </c>
      <c r="S189">
        <v>50</v>
      </c>
      <c r="T189">
        <v>44</v>
      </c>
      <c r="U189">
        <v>34</v>
      </c>
      <c r="AA189">
        <v>642.62146158400003</v>
      </c>
      <c r="AB189">
        <v>1249508.62833</v>
      </c>
      <c r="AC189" s="1" t="s">
        <v>245</v>
      </c>
      <c r="AD189" t="s">
        <v>246</v>
      </c>
    </row>
    <row r="190" spans="2:30" x14ac:dyDescent="0.25">
      <c r="B190" s="1" t="s">
        <v>896</v>
      </c>
      <c r="C190">
        <v>189</v>
      </c>
      <c r="D190" s="1" t="s">
        <v>82</v>
      </c>
      <c r="E190" t="s">
        <v>152</v>
      </c>
      <c r="F190" s="1" t="s">
        <v>911</v>
      </c>
      <c r="O190" s="1" t="s">
        <v>935</v>
      </c>
      <c r="P190" t="s">
        <v>108</v>
      </c>
      <c r="Q190" s="1" t="s">
        <v>244</v>
      </c>
      <c r="R190">
        <v>7</v>
      </c>
      <c r="S190">
        <v>50</v>
      </c>
      <c r="T190">
        <v>44</v>
      </c>
      <c r="U190">
        <v>28</v>
      </c>
      <c r="AA190">
        <v>882.11121886499996</v>
      </c>
      <c r="AB190">
        <v>1582718.3807300001</v>
      </c>
      <c r="AC190" s="1" t="s">
        <v>245</v>
      </c>
      <c r="AD190" t="s">
        <v>246</v>
      </c>
    </row>
    <row r="191" spans="2:30" x14ac:dyDescent="0.25">
      <c r="B191" s="1" t="s">
        <v>896</v>
      </c>
      <c r="C191">
        <v>190</v>
      </c>
      <c r="D191" s="1" t="s">
        <v>82</v>
      </c>
      <c r="E191" t="s">
        <v>152</v>
      </c>
      <c r="F191" s="1" t="s">
        <v>911</v>
      </c>
      <c r="O191" s="1" t="s">
        <v>936</v>
      </c>
      <c r="P191" t="s">
        <v>108</v>
      </c>
      <c r="Q191" s="1" t="s">
        <v>244</v>
      </c>
      <c r="R191">
        <v>1</v>
      </c>
      <c r="S191">
        <v>50</v>
      </c>
      <c r="T191">
        <v>44</v>
      </c>
      <c r="U191">
        <v>28</v>
      </c>
      <c r="AA191">
        <v>881.77144797599999</v>
      </c>
      <c r="AB191">
        <v>1582257.77832</v>
      </c>
      <c r="AC191" s="1" t="s">
        <v>245</v>
      </c>
      <c r="AD191" t="s">
        <v>246</v>
      </c>
    </row>
    <row r="192" spans="2:30" x14ac:dyDescent="0.25">
      <c r="B192" s="1" t="s">
        <v>896</v>
      </c>
      <c r="C192">
        <v>191</v>
      </c>
      <c r="D192" s="1" t="s">
        <v>82</v>
      </c>
      <c r="E192" t="s">
        <v>152</v>
      </c>
      <c r="F192" s="1" t="s">
        <v>911</v>
      </c>
      <c r="O192" s="1" t="s">
        <v>937</v>
      </c>
      <c r="P192" t="s">
        <v>108</v>
      </c>
      <c r="Q192" s="1" t="s">
        <v>244</v>
      </c>
      <c r="R192">
        <v>1</v>
      </c>
      <c r="S192">
        <v>50</v>
      </c>
      <c r="T192">
        <v>44</v>
      </c>
      <c r="U192">
        <v>33</v>
      </c>
      <c r="AA192">
        <v>617.99996167100005</v>
      </c>
      <c r="AB192">
        <v>1189848.99887</v>
      </c>
      <c r="AC192" s="1" t="s">
        <v>245</v>
      </c>
      <c r="AD192" t="s">
        <v>246</v>
      </c>
    </row>
    <row r="193" spans="2:30" x14ac:dyDescent="0.25">
      <c r="B193" s="1" t="s">
        <v>896</v>
      </c>
      <c r="C193">
        <v>192</v>
      </c>
      <c r="D193" s="1" t="s">
        <v>82</v>
      </c>
      <c r="E193" t="s">
        <v>152</v>
      </c>
      <c r="F193" s="1" t="s">
        <v>911</v>
      </c>
      <c r="O193" s="1" t="s">
        <v>938</v>
      </c>
      <c r="P193" t="s">
        <v>108</v>
      </c>
      <c r="Q193" s="1" t="s">
        <v>244</v>
      </c>
      <c r="R193">
        <v>1</v>
      </c>
      <c r="S193">
        <v>50</v>
      </c>
      <c r="T193">
        <v>44</v>
      </c>
      <c r="U193">
        <v>38</v>
      </c>
      <c r="AA193">
        <v>359.76138114899999</v>
      </c>
      <c r="AB193">
        <v>738269.868732</v>
      </c>
      <c r="AC193" s="1" t="s">
        <v>245</v>
      </c>
      <c r="AD193" t="s">
        <v>246</v>
      </c>
    </row>
    <row r="194" spans="2:30" x14ac:dyDescent="0.25">
      <c r="B194" s="1" t="s">
        <v>899</v>
      </c>
      <c r="C194">
        <v>193</v>
      </c>
      <c r="D194" s="1" t="s">
        <v>82</v>
      </c>
      <c r="E194" t="s">
        <v>152</v>
      </c>
      <c r="F194" s="1" t="s">
        <v>921</v>
      </c>
      <c r="O194" s="1" t="s">
        <v>317</v>
      </c>
      <c r="P194" t="s">
        <v>108</v>
      </c>
      <c r="Q194" s="1" t="s">
        <v>244</v>
      </c>
      <c r="R194">
        <v>7</v>
      </c>
      <c r="S194">
        <v>50</v>
      </c>
      <c r="T194">
        <v>44</v>
      </c>
      <c r="U194">
        <v>30</v>
      </c>
      <c r="AA194">
        <v>882.11242378899999</v>
      </c>
      <c r="AB194">
        <v>1614904.63616</v>
      </c>
      <c r="AC194" s="1" t="s">
        <v>245</v>
      </c>
      <c r="AD194" t="s">
        <v>246</v>
      </c>
    </row>
    <row r="195" spans="2:30" x14ac:dyDescent="0.25">
      <c r="B195" s="1" t="s">
        <v>899</v>
      </c>
      <c r="C195">
        <v>194</v>
      </c>
      <c r="D195" s="1" t="s">
        <v>82</v>
      </c>
      <c r="E195" t="s">
        <v>152</v>
      </c>
      <c r="F195" s="1" t="s">
        <v>921</v>
      </c>
      <c r="O195" s="1" t="s">
        <v>331</v>
      </c>
      <c r="P195" t="s">
        <v>108</v>
      </c>
      <c r="Q195" s="1" t="s">
        <v>244</v>
      </c>
      <c r="R195">
        <v>1</v>
      </c>
      <c r="S195">
        <v>50</v>
      </c>
      <c r="T195">
        <v>44</v>
      </c>
      <c r="U195">
        <v>35</v>
      </c>
      <c r="AA195">
        <v>618.00089824600002</v>
      </c>
      <c r="AB195">
        <v>1210020.79752</v>
      </c>
      <c r="AC195" s="1" t="s">
        <v>245</v>
      </c>
      <c r="AD195" t="s">
        <v>246</v>
      </c>
    </row>
    <row r="196" spans="2:30" x14ac:dyDescent="0.25">
      <c r="B196" s="1" t="s">
        <v>899</v>
      </c>
      <c r="C196">
        <v>195</v>
      </c>
      <c r="D196" s="1" t="s">
        <v>82</v>
      </c>
      <c r="E196" t="s">
        <v>152</v>
      </c>
      <c r="F196" s="1" t="s">
        <v>921</v>
      </c>
      <c r="O196" s="1" t="s">
        <v>323</v>
      </c>
      <c r="P196" t="s">
        <v>108</v>
      </c>
      <c r="Q196" s="1" t="s">
        <v>244</v>
      </c>
      <c r="R196">
        <v>1</v>
      </c>
      <c r="S196">
        <v>50</v>
      </c>
      <c r="T196">
        <v>44</v>
      </c>
      <c r="U196">
        <v>39</v>
      </c>
      <c r="AA196">
        <v>359.76138114899999</v>
      </c>
      <c r="AB196">
        <v>748051.45049099997</v>
      </c>
      <c r="AC196" s="1" t="s">
        <v>245</v>
      </c>
      <c r="AD196" t="s">
        <v>246</v>
      </c>
    </row>
    <row r="197" spans="2:30" x14ac:dyDescent="0.25">
      <c r="B197" s="1" t="s">
        <v>899</v>
      </c>
      <c r="C197">
        <v>196</v>
      </c>
      <c r="D197" s="1" t="s">
        <v>82</v>
      </c>
      <c r="E197" t="s">
        <v>152</v>
      </c>
      <c r="F197" s="1" t="s">
        <v>921</v>
      </c>
      <c r="O197" s="1" t="s">
        <v>316</v>
      </c>
      <c r="P197" t="s">
        <v>108</v>
      </c>
      <c r="Q197" s="1" t="s">
        <v>244</v>
      </c>
      <c r="R197">
        <v>1</v>
      </c>
      <c r="S197">
        <v>50</v>
      </c>
      <c r="T197">
        <v>44</v>
      </c>
      <c r="U197">
        <v>30</v>
      </c>
      <c r="AA197">
        <v>881.77265569999997</v>
      </c>
      <c r="AB197">
        <v>1614427.6816700001</v>
      </c>
      <c r="AC197" s="1" t="s">
        <v>245</v>
      </c>
      <c r="AD197" t="s">
        <v>246</v>
      </c>
    </row>
    <row r="198" spans="2:30" x14ac:dyDescent="0.25">
      <c r="B198" s="1" t="s">
        <v>907</v>
      </c>
      <c r="C198">
        <v>197</v>
      </c>
      <c r="D198" s="1" t="s">
        <v>82</v>
      </c>
      <c r="E198" t="s">
        <v>152</v>
      </c>
      <c r="F198" s="1" t="s">
        <v>918</v>
      </c>
      <c r="O198" s="1" t="s">
        <v>361</v>
      </c>
      <c r="P198" t="s">
        <v>108</v>
      </c>
      <c r="Q198" s="1" t="s">
        <v>244</v>
      </c>
      <c r="R198">
        <v>2</v>
      </c>
      <c r="S198">
        <v>50</v>
      </c>
      <c r="T198">
        <v>44</v>
      </c>
      <c r="U198">
        <v>34</v>
      </c>
      <c r="AA198">
        <v>642.62143673000003</v>
      </c>
      <c r="AB198">
        <v>1250512.4055600001</v>
      </c>
      <c r="AC198" s="1" t="s">
        <v>245</v>
      </c>
      <c r="AD198" t="s">
        <v>246</v>
      </c>
    </row>
    <row r="199" spans="2:30" x14ac:dyDescent="0.25">
      <c r="B199" s="1" t="s">
        <v>907</v>
      </c>
      <c r="C199">
        <v>198</v>
      </c>
      <c r="D199" s="1" t="s">
        <v>82</v>
      </c>
      <c r="E199" t="s">
        <v>152</v>
      </c>
      <c r="F199" s="1" t="s">
        <v>918</v>
      </c>
      <c r="O199" s="1" t="s">
        <v>352</v>
      </c>
      <c r="P199" t="s">
        <v>108</v>
      </c>
      <c r="Q199" s="1" t="s">
        <v>244</v>
      </c>
      <c r="R199">
        <v>7</v>
      </c>
      <c r="S199">
        <v>50</v>
      </c>
      <c r="T199">
        <v>44</v>
      </c>
      <c r="U199">
        <v>30</v>
      </c>
      <c r="AA199">
        <v>882.27371434500003</v>
      </c>
      <c r="AB199">
        <v>1614900.9646300001</v>
      </c>
      <c r="AC199" s="1" t="s">
        <v>245</v>
      </c>
      <c r="AD199" t="s">
        <v>246</v>
      </c>
    </row>
    <row r="200" spans="2:30" x14ac:dyDescent="0.25">
      <c r="B200" s="1" t="s">
        <v>907</v>
      </c>
      <c r="C200">
        <v>199</v>
      </c>
      <c r="D200" s="1" t="s">
        <v>82</v>
      </c>
      <c r="E200" t="s">
        <v>152</v>
      </c>
      <c r="F200" s="1" t="s">
        <v>918</v>
      </c>
      <c r="O200" s="1" t="s">
        <v>365</v>
      </c>
      <c r="P200" t="s">
        <v>108</v>
      </c>
      <c r="Q200" s="1" t="s">
        <v>244</v>
      </c>
      <c r="R200">
        <v>1</v>
      </c>
      <c r="S200">
        <v>50</v>
      </c>
      <c r="T200">
        <v>44</v>
      </c>
      <c r="U200">
        <v>30</v>
      </c>
      <c r="AA200">
        <v>882.27369389900002</v>
      </c>
      <c r="AB200">
        <v>1614890.72991</v>
      </c>
      <c r="AC200" s="1" t="s">
        <v>245</v>
      </c>
      <c r="AD200" t="s">
        <v>246</v>
      </c>
    </row>
    <row r="201" spans="2:30" x14ac:dyDescent="0.25">
      <c r="B201" s="1" t="s">
        <v>907</v>
      </c>
      <c r="C201">
        <v>200</v>
      </c>
      <c r="D201" s="1" t="s">
        <v>82</v>
      </c>
      <c r="E201" t="s">
        <v>152</v>
      </c>
      <c r="F201" s="1" t="s">
        <v>918</v>
      </c>
      <c r="O201" s="1" t="s">
        <v>338</v>
      </c>
      <c r="P201" t="s">
        <v>108</v>
      </c>
      <c r="Q201" s="1" t="s">
        <v>244</v>
      </c>
      <c r="R201">
        <v>1</v>
      </c>
      <c r="S201">
        <v>50</v>
      </c>
      <c r="T201">
        <v>44</v>
      </c>
      <c r="U201">
        <v>30</v>
      </c>
      <c r="AA201">
        <v>881.93394638400002</v>
      </c>
      <c r="AB201">
        <v>1614413.9995899999</v>
      </c>
      <c r="AC201" s="1" t="s">
        <v>245</v>
      </c>
      <c r="AD201" t="s">
        <v>246</v>
      </c>
    </row>
    <row r="202" spans="2:30" x14ac:dyDescent="0.25">
      <c r="B202" s="1" t="s">
        <v>907</v>
      </c>
      <c r="C202">
        <v>201</v>
      </c>
      <c r="D202" s="1" t="s">
        <v>82</v>
      </c>
      <c r="E202" t="s">
        <v>152</v>
      </c>
      <c r="F202" s="1" t="s">
        <v>918</v>
      </c>
      <c r="O202" s="1" t="s">
        <v>355</v>
      </c>
      <c r="P202" t="s">
        <v>108</v>
      </c>
      <c r="Q202" s="1" t="s">
        <v>244</v>
      </c>
      <c r="R202">
        <v>1</v>
      </c>
      <c r="S202">
        <v>50</v>
      </c>
      <c r="T202">
        <v>44</v>
      </c>
      <c r="U202">
        <v>39</v>
      </c>
      <c r="AA202">
        <v>379.92387966400003</v>
      </c>
      <c r="AB202">
        <v>786440.97752700001</v>
      </c>
      <c r="AC202" s="1" t="s">
        <v>245</v>
      </c>
      <c r="AD202" t="s">
        <v>246</v>
      </c>
    </row>
    <row r="203" spans="2:30" x14ac:dyDescent="0.25">
      <c r="B203" s="1" t="s">
        <v>908</v>
      </c>
      <c r="C203">
        <v>202</v>
      </c>
      <c r="D203" s="1" t="s">
        <v>82</v>
      </c>
      <c r="E203" t="s">
        <v>152</v>
      </c>
      <c r="F203" s="1" t="s">
        <v>930</v>
      </c>
      <c r="O203" s="1" t="s">
        <v>939</v>
      </c>
      <c r="P203" t="s">
        <v>108</v>
      </c>
      <c r="Q203" s="1" t="s">
        <v>244</v>
      </c>
      <c r="R203">
        <v>9</v>
      </c>
      <c r="S203">
        <v>50</v>
      </c>
      <c r="T203">
        <v>44</v>
      </c>
      <c r="U203">
        <v>30</v>
      </c>
      <c r="AA203">
        <v>881.77142752899999</v>
      </c>
      <c r="AB203">
        <v>1620575.1348600001</v>
      </c>
      <c r="AC203" s="1" t="s">
        <v>245</v>
      </c>
      <c r="AD203" t="s">
        <v>246</v>
      </c>
    </row>
    <row r="204" spans="2:30" x14ac:dyDescent="0.25">
      <c r="B204" s="1" t="s">
        <v>908</v>
      </c>
      <c r="C204">
        <v>203</v>
      </c>
      <c r="D204" s="1" t="s">
        <v>82</v>
      </c>
      <c r="E204" t="s">
        <v>152</v>
      </c>
      <c r="F204" s="1" t="s">
        <v>930</v>
      </c>
      <c r="O204" s="1" t="s">
        <v>358</v>
      </c>
      <c r="P204" t="s">
        <v>108</v>
      </c>
      <c r="Q204" s="1" t="s">
        <v>244</v>
      </c>
      <c r="R204">
        <v>2</v>
      </c>
      <c r="S204">
        <v>50</v>
      </c>
      <c r="T204">
        <v>44</v>
      </c>
      <c r="U204">
        <v>34</v>
      </c>
      <c r="AA204">
        <v>642.62144119899995</v>
      </c>
      <c r="AB204">
        <v>1256296.39864</v>
      </c>
      <c r="AC204" s="1" t="s">
        <v>245</v>
      </c>
      <c r="AD204" t="s">
        <v>246</v>
      </c>
    </row>
    <row r="205" spans="2:30" x14ac:dyDescent="0.25">
      <c r="B205" s="1" t="s">
        <v>900</v>
      </c>
      <c r="C205">
        <v>204</v>
      </c>
      <c r="D205" s="1" t="s">
        <v>82</v>
      </c>
      <c r="E205" t="s">
        <v>152</v>
      </c>
      <c r="F205" s="1" t="s">
        <v>913</v>
      </c>
      <c r="O205" s="1" t="s">
        <v>500</v>
      </c>
      <c r="P205" t="s">
        <v>108</v>
      </c>
      <c r="Q205" s="1" t="s">
        <v>244</v>
      </c>
      <c r="R205">
        <v>8</v>
      </c>
      <c r="S205">
        <v>50</v>
      </c>
      <c r="T205">
        <v>44</v>
      </c>
      <c r="U205">
        <v>30</v>
      </c>
      <c r="AA205">
        <v>881.77144797599999</v>
      </c>
      <c r="AB205">
        <v>1617110.0388100001</v>
      </c>
      <c r="AC205" s="1" t="s">
        <v>245</v>
      </c>
      <c r="AD205" t="s">
        <v>246</v>
      </c>
    </row>
    <row r="206" spans="2:30" x14ac:dyDescent="0.25">
      <c r="B206" s="1" t="s">
        <v>900</v>
      </c>
      <c r="C206">
        <v>205</v>
      </c>
      <c r="D206" s="1" t="s">
        <v>82</v>
      </c>
      <c r="E206" t="s">
        <v>152</v>
      </c>
      <c r="F206" s="1" t="s">
        <v>913</v>
      </c>
      <c r="O206" s="1" t="s">
        <v>940</v>
      </c>
      <c r="P206" t="s">
        <v>108</v>
      </c>
      <c r="Q206" s="1" t="s">
        <v>244</v>
      </c>
      <c r="R206">
        <v>1</v>
      </c>
      <c r="S206">
        <v>50</v>
      </c>
      <c r="T206">
        <v>44</v>
      </c>
      <c r="U206">
        <v>35</v>
      </c>
      <c r="AA206">
        <v>618.01160622299994</v>
      </c>
      <c r="AB206">
        <v>1213179.94814</v>
      </c>
      <c r="AC206" s="1" t="s">
        <v>245</v>
      </c>
      <c r="AD206" t="s">
        <v>246</v>
      </c>
    </row>
    <row r="207" spans="2:30" x14ac:dyDescent="0.25">
      <c r="B207" s="1" t="s">
        <v>909</v>
      </c>
      <c r="C207">
        <v>206</v>
      </c>
      <c r="D207" s="1" t="s">
        <v>82</v>
      </c>
      <c r="E207" t="s">
        <v>152</v>
      </c>
      <c r="F207" s="1" t="s">
        <v>924</v>
      </c>
      <c r="O207" s="1" t="s">
        <v>504</v>
      </c>
      <c r="P207" t="s">
        <v>108</v>
      </c>
      <c r="Q207" s="1" t="s">
        <v>244</v>
      </c>
      <c r="R207">
        <v>9</v>
      </c>
      <c r="S207">
        <v>50</v>
      </c>
      <c r="T207">
        <v>44</v>
      </c>
      <c r="U207">
        <v>30</v>
      </c>
      <c r="AA207">
        <v>881.77142752899999</v>
      </c>
      <c r="AB207">
        <v>1619632.5393600001</v>
      </c>
      <c r="AC207" s="1" t="s">
        <v>245</v>
      </c>
      <c r="AD207" t="s">
        <v>246</v>
      </c>
    </row>
    <row r="208" spans="2:30" x14ac:dyDescent="0.25">
      <c r="B208" s="1" t="s">
        <v>909</v>
      </c>
      <c r="C208">
        <v>207</v>
      </c>
      <c r="D208" s="1" t="s">
        <v>82</v>
      </c>
      <c r="E208" t="s">
        <v>152</v>
      </c>
      <c r="F208" s="1" t="s">
        <v>924</v>
      </c>
      <c r="O208" s="1" t="s">
        <v>505</v>
      </c>
      <c r="P208" t="s">
        <v>108</v>
      </c>
      <c r="Q208" s="1" t="s">
        <v>244</v>
      </c>
      <c r="R208">
        <v>2</v>
      </c>
      <c r="S208">
        <v>50</v>
      </c>
      <c r="T208">
        <v>44</v>
      </c>
      <c r="U208">
        <v>34</v>
      </c>
      <c r="AA208">
        <v>642.62144119899995</v>
      </c>
      <c r="AB208">
        <v>1255617.7441199999</v>
      </c>
      <c r="AC208" s="1" t="s">
        <v>245</v>
      </c>
      <c r="AD208" t="s">
        <v>246</v>
      </c>
    </row>
    <row r="209" spans="2:30" x14ac:dyDescent="0.25">
      <c r="B209" s="1" t="s">
        <v>902</v>
      </c>
      <c r="C209">
        <v>208</v>
      </c>
      <c r="D209" s="1" t="s">
        <v>82</v>
      </c>
      <c r="E209" t="s">
        <v>152</v>
      </c>
      <c r="F209" s="1" t="s">
        <v>916</v>
      </c>
      <c r="O209" s="1" t="s">
        <v>941</v>
      </c>
      <c r="P209" t="s">
        <v>108</v>
      </c>
      <c r="Q209" s="1" t="s">
        <v>244</v>
      </c>
      <c r="R209">
        <v>2</v>
      </c>
      <c r="S209">
        <v>50</v>
      </c>
      <c r="T209">
        <v>44</v>
      </c>
      <c r="U209">
        <v>35</v>
      </c>
      <c r="AA209">
        <v>618.00004599900001</v>
      </c>
      <c r="AB209">
        <v>1214069.05587</v>
      </c>
      <c r="AC209" s="1" t="s">
        <v>245</v>
      </c>
      <c r="AD209" t="s">
        <v>246</v>
      </c>
    </row>
    <row r="210" spans="2:30" x14ac:dyDescent="0.25">
      <c r="B210" s="1" t="s">
        <v>902</v>
      </c>
      <c r="C210">
        <v>209</v>
      </c>
      <c r="D210" s="1" t="s">
        <v>82</v>
      </c>
      <c r="E210" t="s">
        <v>152</v>
      </c>
      <c r="F210" s="1" t="s">
        <v>916</v>
      </c>
      <c r="O210" s="1" t="s">
        <v>942</v>
      </c>
      <c r="P210" t="s">
        <v>108</v>
      </c>
      <c r="Q210" s="1" t="s">
        <v>244</v>
      </c>
      <c r="R210">
        <v>7</v>
      </c>
      <c r="S210">
        <v>50</v>
      </c>
      <c r="T210">
        <v>44</v>
      </c>
      <c r="U210">
        <v>30</v>
      </c>
      <c r="AA210">
        <v>882.11121786700005</v>
      </c>
      <c r="AB210">
        <v>1618712.7961200001</v>
      </c>
      <c r="AC210" s="1" t="s">
        <v>245</v>
      </c>
      <c r="AD210" t="s">
        <v>246</v>
      </c>
    </row>
    <row r="211" spans="2:30" x14ac:dyDescent="0.25">
      <c r="B211" s="1" t="s">
        <v>897</v>
      </c>
      <c r="C211">
        <v>210</v>
      </c>
      <c r="D211" s="1" t="s">
        <v>82</v>
      </c>
      <c r="E211" t="s">
        <v>152</v>
      </c>
      <c r="F211" s="1" t="s">
        <v>920</v>
      </c>
      <c r="O211" s="1" t="s">
        <v>383</v>
      </c>
      <c r="P211" t="s">
        <v>108</v>
      </c>
      <c r="Q211" s="1" t="s">
        <v>244</v>
      </c>
      <c r="R211">
        <v>2</v>
      </c>
      <c r="S211">
        <v>50</v>
      </c>
      <c r="T211">
        <v>44</v>
      </c>
      <c r="U211">
        <v>34</v>
      </c>
      <c r="AA211">
        <v>642.62143700800004</v>
      </c>
      <c r="AB211">
        <v>1250675.60088</v>
      </c>
      <c r="AC211" s="1" t="s">
        <v>245</v>
      </c>
      <c r="AD211" t="s">
        <v>246</v>
      </c>
    </row>
    <row r="212" spans="2:30" x14ac:dyDescent="0.25">
      <c r="B212" s="1" t="s">
        <v>897</v>
      </c>
      <c r="C212">
        <v>211</v>
      </c>
      <c r="D212" s="1" t="s">
        <v>82</v>
      </c>
      <c r="E212" t="s">
        <v>152</v>
      </c>
      <c r="F212" s="1" t="s">
        <v>920</v>
      </c>
      <c r="O212" s="1" t="s">
        <v>943</v>
      </c>
      <c r="P212" t="s">
        <v>108</v>
      </c>
      <c r="Q212" s="1" t="s">
        <v>244</v>
      </c>
      <c r="R212">
        <v>8</v>
      </c>
      <c r="S212">
        <v>50</v>
      </c>
      <c r="T212">
        <v>44</v>
      </c>
      <c r="U212">
        <v>29</v>
      </c>
      <c r="AA212">
        <v>881.77144797599999</v>
      </c>
      <c r="AB212">
        <v>1614231.4406399999</v>
      </c>
      <c r="AC212" s="1" t="s">
        <v>245</v>
      </c>
      <c r="AD212" t="s">
        <v>246</v>
      </c>
    </row>
    <row r="213" spans="2:30" x14ac:dyDescent="0.25">
      <c r="B213" s="1" t="s">
        <v>897</v>
      </c>
      <c r="C213">
        <v>212</v>
      </c>
      <c r="D213" s="1" t="s">
        <v>82</v>
      </c>
      <c r="E213" t="s">
        <v>152</v>
      </c>
      <c r="F213" s="1" t="s">
        <v>920</v>
      </c>
      <c r="O213" s="1" t="s">
        <v>384</v>
      </c>
      <c r="P213" t="s">
        <v>108</v>
      </c>
      <c r="Q213" s="1" t="s">
        <v>244</v>
      </c>
      <c r="R213">
        <v>1</v>
      </c>
      <c r="S213">
        <v>50</v>
      </c>
      <c r="T213">
        <v>44</v>
      </c>
      <c r="U213">
        <v>35</v>
      </c>
      <c r="AA213">
        <v>617.99900908500001</v>
      </c>
      <c r="AB213">
        <v>1210062.65157</v>
      </c>
      <c r="AC213" s="1" t="s">
        <v>245</v>
      </c>
      <c r="AD213" t="s">
        <v>246</v>
      </c>
    </row>
    <row r="214" spans="2:30" x14ac:dyDescent="0.25">
      <c r="B214" s="1" t="s">
        <v>910</v>
      </c>
      <c r="C214">
        <v>213</v>
      </c>
      <c r="D214" s="1" t="s">
        <v>82</v>
      </c>
      <c r="E214" t="s">
        <v>152</v>
      </c>
      <c r="F214" s="1" t="s">
        <v>923</v>
      </c>
      <c r="O214" s="1" t="s">
        <v>944</v>
      </c>
      <c r="P214" t="s">
        <v>108</v>
      </c>
      <c r="Q214" s="1" t="s">
        <v>244</v>
      </c>
      <c r="R214">
        <v>4</v>
      </c>
      <c r="S214">
        <v>50</v>
      </c>
      <c r="T214">
        <v>44</v>
      </c>
      <c r="U214">
        <v>34</v>
      </c>
      <c r="AA214">
        <v>642.62143679300004</v>
      </c>
      <c r="AB214">
        <v>1256450.11784</v>
      </c>
      <c r="AC214" s="1" t="s">
        <v>245</v>
      </c>
      <c r="AD214" t="s">
        <v>246</v>
      </c>
    </row>
    <row r="215" spans="2:30" x14ac:dyDescent="0.25">
      <c r="B215" s="1" t="s">
        <v>910</v>
      </c>
      <c r="C215">
        <v>214</v>
      </c>
      <c r="D215" s="1" t="s">
        <v>82</v>
      </c>
      <c r="E215" t="s">
        <v>152</v>
      </c>
      <c r="F215" s="1" t="s">
        <v>923</v>
      </c>
      <c r="O215" s="1" t="s">
        <v>945</v>
      </c>
      <c r="P215" t="s">
        <v>108</v>
      </c>
      <c r="Q215" s="1" t="s">
        <v>244</v>
      </c>
      <c r="R215">
        <v>9</v>
      </c>
      <c r="S215">
        <v>50</v>
      </c>
      <c r="T215">
        <v>44</v>
      </c>
      <c r="U215">
        <v>30</v>
      </c>
      <c r="AA215">
        <v>882.11121998600004</v>
      </c>
      <c r="AB215">
        <v>1621022.8146899999</v>
      </c>
      <c r="AC215" s="1" t="s">
        <v>245</v>
      </c>
      <c r="AD215" t="s">
        <v>246</v>
      </c>
    </row>
    <row r="216" spans="2:30" x14ac:dyDescent="0.25">
      <c r="B216" s="1" t="s">
        <v>906</v>
      </c>
      <c r="C216">
        <v>215</v>
      </c>
      <c r="D216" s="1" t="s">
        <v>82</v>
      </c>
      <c r="E216" t="s">
        <v>152</v>
      </c>
      <c r="F216" s="1" t="s">
        <v>928</v>
      </c>
      <c r="O216" s="1" t="s">
        <v>501</v>
      </c>
      <c r="P216" t="s">
        <v>108</v>
      </c>
      <c r="Q216" s="1" t="s">
        <v>244</v>
      </c>
      <c r="R216">
        <v>2</v>
      </c>
      <c r="S216">
        <v>50</v>
      </c>
      <c r="T216">
        <v>44</v>
      </c>
      <c r="U216">
        <v>34</v>
      </c>
      <c r="AA216">
        <v>642.62143686000002</v>
      </c>
      <c r="AB216">
        <v>1257128.29101</v>
      </c>
      <c r="AC216" s="1" t="s">
        <v>245</v>
      </c>
      <c r="AD216" t="s">
        <v>246</v>
      </c>
    </row>
    <row r="217" spans="2:30" x14ac:dyDescent="0.25">
      <c r="B217" s="1" t="s">
        <v>906</v>
      </c>
      <c r="C217">
        <v>216</v>
      </c>
      <c r="D217" s="1" t="s">
        <v>82</v>
      </c>
      <c r="E217" t="s">
        <v>152</v>
      </c>
      <c r="F217" s="1" t="s">
        <v>928</v>
      </c>
      <c r="O217" s="1" t="s">
        <v>487</v>
      </c>
      <c r="P217" t="s">
        <v>108</v>
      </c>
      <c r="Q217" s="1" t="s">
        <v>244</v>
      </c>
      <c r="R217">
        <v>8</v>
      </c>
      <c r="S217">
        <v>50</v>
      </c>
      <c r="T217">
        <v>44</v>
      </c>
      <c r="U217">
        <v>30</v>
      </c>
      <c r="AA217">
        <v>882.11121803599997</v>
      </c>
      <c r="AB217">
        <v>1621965.2987899999</v>
      </c>
      <c r="AC217" s="1" t="s">
        <v>245</v>
      </c>
      <c r="AD217" t="s">
        <v>246</v>
      </c>
    </row>
    <row r="218" spans="2:30" x14ac:dyDescent="0.25">
      <c r="B218" s="1" t="s">
        <v>906</v>
      </c>
      <c r="C218">
        <v>217</v>
      </c>
      <c r="D218" s="1" t="s">
        <v>82</v>
      </c>
      <c r="E218" t="s">
        <v>152</v>
      </c>
      <c r="F218" s="1" t="s">
        <v>928</v>
      </c>
      <c r="O218" s="1" t="s">
        <v>326</v>
      </c>
      <c r="P218" t="s">
        <v>108</v>
      </c>
      <c r="Q218" s="1" t="s">
        <v>244</v>
      </c>
      <c r="R218">
        <v>1</v>
      </c>
      <c r="S218">
        <v>50</v>
      </c>
      <c r="T218">
        <v>44</v>
      </c>
      <c r="U218">
        <v>35</v>
      </c>
      <c r="AA218">
        <v>617.99900589699996</v>
      </c>
      <c r="AB218">
        <v>1216367.1254799999</v>
      </c>
      <c r="AC218" s="1" t="s">
        <v>245</v>
      </c>
      <c r="AD218" t="s">
        <v>246</v>
      </c>
    </row>
    <row r="219" spans="2:30" x14ac:dyDescent="0.25">
      <c r="B219" s="1" t="s">
        <v>904</v>
      </c>
      <c r="C219">
        <v>218</v>
      </c>
      <c r="D219" s="1" t="s">
        <v>82</v>
      </c>
      <c r="E219" t="s">
        <v>152</v>
      </c>
      <c r="F219" s="1" t="s">
        <v>929</v>
      </c>
      <c r="O219" s="1" t="s">
        <v>946</v>
      </c>
      <c r="P219" t="s">
        <v>108</v>
      </c>
      <c r="Q219" s="1" t="s">
        <v>244</v>
      </c>
      <c r="R219">
        <v>7</v>
      </c>
      <c r="S219">
        <v>50</v>
      </c>
      <c r="T219">
        <v>44</v>
      </c>
      <c r="U219">
        <v>30</v>
      </c>
      <c r="AA219">
        <v>882.11121999199997</v>
      </c>
      <c r="AB219">
        <v>1621529.44723</v>
      </c>
      <c r="AC219" s="1" t="s">
        <v>245</v>
      </c>
      <c r="AD219" t="s">
        <v>246</v>
      </c>
    </row>
    <row r="220" spans="2:30" x14ac:dyDescent="0.25">
      <c r="B220" s="1" t="s">
        <v>904</v>
      </c>
      <c r="C220">
        <v>219</v>
      </c>
      <c r="D220" s="1" t="s">
        <v>82</v>
      </c>
      <c r="E220" t="s">
        <v>152</v>
      </c>
      <c r="F220" s="1" t="s">
        <v>929</v>
      </c>
      <c r="O220" s="1" t="s">
        <v>436</v>
      </c>
      <c r="P220" t="s">
        <v>108</v>
      </c>
      <c r="Q220" s="1" t="s">
        <v>244</v>
      </c>
      <c r="R220">
        <v>2</v>
      </c>
      <c r="S220">
        <v>50</v>
      </c>
      <c r="T220">
        <v>44</v>
      </c>
      <c r="U220">
        <v>35</v>
      </c>
      <c r="AA220">
        <v>618.00005024300003</v>
      </c>
      <c r="AB220">
        <v>1215933.0064000001</v>
      </c>
      <c r="AC220" s="1" t="s">
        <v>245</v>
      </c>
      <c r="AD220" t="s">
        <v>246</v>
      </c>
    </row>
    <row r="221" spans="2:30" x14ac:dyDescent="0.25">
      <c r="B221" s="1" t="s">
        <v>903</v>
      </c>
      <c r="C221">
        <v>220</v>
      </c>
      <c r="D221" s="1" t="s">
        <v>82</v>
      </c>
      <c r="E221" t="s">
        <v>152</v>
      </c>
      <c r="F221" s="1" t="s">
        <v>915</v>
      </c>
      <c r="O221" s="1" t="s">
        <v>947</v>
      </c>
      <c r="P221" t="s">
        <v>108</v>
      </c>
      <c r="Q221" s="1" t="s">
        <v>244</v>
      </c>
      <c r="R221">
        <v>2</v>
      </c>
      <c r="S221">
        <v>50</v>
      </c>
      <c r="T221">
        <v>44</v>
      </c>
      <c r="U221">
        <v>35</v>
      </c>
      <c r="AA221">
        <v>617.99880484899995</v>
      </c>
      <c r="AB221">
        <v>1214205.31911</v>
      </c>
      <c r="AC221" s="1" t="s">
        <v>245</v>
      </c>
      <c r="AD221" t="s">
        <v>246</v>
      </c>
    </row>
    <row r="222" spans="2:30" x14ac:dyDescent="0.25">
      <c r="B222" s="1" t="s">
        <v>903</v>
      </c>
      <c r="C222">
        <v>221</v>
      </c>
      <c r="D222" s="1" t="s">
        <v>82</v>
      </c>
      <c r="E222" t="s">
        <v>152</v>
      </c>
      <c r="F222" s="1" t="s">
        <v>915</v>
      </c>
      <c r="O222" s="1" t="s">
        <v>948</v>
      </c>
      <c r="P222" t="s">
        <v>108</v>
      </c>
      <c r="Q222" s="1" t="s">
        <v>244</v>
      </c>
      <c r="R222">
        <v>7</v>
      </c>
      <c r="S222">
        <v>50</v>
      </c>
      <c r="T222">
        <v>44</v>
      </c>
      <c r="U222">
        <v>30</v>
      </c>
      <c r="AA222">
        <v>882.11121680500003</v>
      </c>
      <c r="AB222">
        <v>1618851.1225300001</v>
      </c>
      <c r="AC222" s="1" t="s">
        <v>245</v>
      </c>
      <c r="AD222" t="s">
        <v>246</v>
      </c>
    </row>
    <row r="223" spans="2:30" x14ac:dyDescent="0.25">
      <c r="B223" s="1" t="s">
        <v>901</v>
      </c>
      <c r="C223">
        <v>222</v>
      </c>
      <c r="D223" s="1" t="s">
        <v>82</v>
      </c>
      <c r="E223" t="s">
        <v>152</v>
      </c>
      <c r="F223" s="1" t="s">
        <v>914</v>
      </c>
      <c r="O223" s="1" t="s">
        <v>419</v>
      </c>
      <c r="P223" t="s">
        <v>108</v>
      </c>
      <c r="Q223" s="1" t="s">
        <v>244</v>
      </c>
      <c r="R223">
        <v>7</v>
      </c>
      <c r="S223">
        <v>50</v>
      </c>
      <c r="T223">
        <v>44</v>
      </c>
      <c r="U223">
        <v>30</v>
      </c>
      <c r="AA223">
        <v>881.77144797599999</v>
      </c>
      <c r="AB223">
        <v>1617829.5305300001</v>
      </c>
      <c r="AC223" s="1" t="s">
        <v>245</v>
      </c>
      <c r="AD223" t="s">
        <v>246</v>
      </c>
    </row>
    <row r="224" spans="2:30" x14ac:dyDescent="0.25">
      <c r="B224" s="1" t="s">
        <v>901</v>
      </c>
      <c r="C224">
        <v>223</v>
      </c>
      <c r="D224" s="1" t="s">
        <v>82</v>
      </c>
      <c r="E224" t="s">
        <v>152</v>
      </c>
      <c r="F224" s="1" t="s">
        <v>914</v>
      </c>
      <c r="O224" s="1" t="s">
        <v>949</v>
      </c>
      <c r="P224" t="s">
        <v>108</v>
      </c>
      <c r="Q224" s="1" t="s">
        <v>244</v>
      </c>
      <c r="R224">
        <v>1</v>
      </c>
      <c r="S224">
        <v>50</v>
      </c>
      <c r="T224">
        <v>44</v>
      </c>
      <c r="U224">
        <v>35</v>
      </c>
      <c r="AA224">
        <v>617.99880909399997</v>
      </c>
      <c r="AB224">
        <v>1213878.15964</v>
      </c>
      <c r="AC224" s="1" t="s">
        <v>245</v>
      </c>
      <c r="AD224" t="s">
        <v>246</v>
      </c>
    </row>
    <row r="225" spans="2:30" x14ac:dyDescent="0.25">
      <c r="B225" s="1" t="s">
        <v>901</v>
      </c>
      <c r="C225">
        <v>224</v>
      </c>
      <c r="D225" s="1" t="s">
        <v>82</v>
      </c>
      <c r="E225" t="s">
        <v>152</v>
      </c>
      <c r="F225" s="1" t="s">
        <v>914</v>
      </c>
      <c r="O225" s="1" t="s">
        <v>950</v>
      </c>
      <c r="P225" t="s">
        <v>108</v>
      </c>
      <c r="Q225" s="1" t="s">
        <v>244</v>
      </c>
      <c r="R225">
        <v>1</v>
      </c>
      <c r="S225">
        <v>50</v>
      </c>
      <c r="T225">
        <v>44</v>
      </c>
      <c r="U225">
        <v>35</v>
      </c>
      <c r="AA225">
        <v>618.00007069000003</v>
      </c>
      <c r="AB225">
        <v>1213880.26883</v>
      </c>
      <c r="AC225" s="1" t="s">
        <v>245</v>
      </c>
      <c r="AD225" t="s">
        <v>246</v>
      </c>
    </row>
    <row r="226" spans="2:30" x14ac:dyDescent="0.25">
      <c r="B226" s="1" t="s">
        <v>905</v>
      </c>
      <c r="C226">
        <v>225</v>
      </c>
      <c r="D226" s="1" t="s">
        <v>82</v>
      </c>
      <c r="E226" t="s">
        <v>152</v>
      </c>
      <c r="F226" s="1" t="s">
        <v>926</v>
      </c>
      <c r="O226" s="1" t="s">
        <v>951</v>
      </c>
      <c r="P226" t="s">
        <v>108</v>
      </c>
      <c r="Q226" s="1" t="s">
        <v>244</v>
      </c>
      <c r="R226">
        <v>7</v>
      </c>
      <c r="S226">
        <v>50</v>
      </c>
      <c r="T226">
        <v>44</v>
      </c>
      <c r="U226">
        <v>30</v>
      </c>
      <c r="AA226">
        <v>882.11121998600004</v>
      </c>
      <c r="AB226">
        <v>1622083.4422200001</v>
      </c>
      <c r="AC226" s="1" t="s">
        <v>245</v>
      </c>
      <c r="AD226" t="s">
        <v>246</v>
      </c>
    </row>
    <row r="227" spans="2:30" x14ac:dyDescent="0.25">
      <c r="B227" s="1" t="s">
        <v>905</v>
      </c>
      <c r="C227">
        <v>226</v>
      </c>
      <c r="D227" s="1" t="s">
        <v>82</v>
      </c>
      <c r="E227" t="s">
        <v>152</v>
      </c>
      <c r="F227" s="1" t="s">
        <v>926</v>
      </c>
      <c r="O227" s="1" t="s">
        <v>952</v>
      </c>
      <c r="P227" t="s">
        <v>108</v>
      </c>
      <c r="Q227" s="1" t="s">
        <v>244</v>
      </c>
      <c r="R227">
        <v>2</v>
      </c>
      <c r="S227">
        <v>50</v>
      </c>
      <c r="T227">
        <v>44</v>
      </c>
      <c r="U227">
        <v>35</v>
      </c>
      <c r="AA227">
        <v>617.99880909399997</v>
      </c>
      <c r="AB227">
        <v>1216484.9313999999</v>
      </c>
      <c r="AC227" s="1" t="s">
        <v>245</v>
      </c>
      <c r="AD227" t="s">
        <v>246</v>
      </c>
    </row>
    <row r="228" spans="2:30" x14ac:dyDescent="0.25">
      <c r="B228" s="1" t="s">
        <v>881</v>
      </c>
      <c r="C228">
        <v>227</v>
      </c>
      <c r="D228" s="1" t="s">
        <v>82</v>
      </c>
      <c r="E228" t="s">
        <v>152</v>
      </c>
      <c r="F228" s="1" t="s">
        <v>911</v>
      </c>
      <c r="O228" s="1" t="s">
        <v>484</v>
      </c>
      <c r="P228" t="s">
        <v>108</v>
      </c>
      <c r="Q228" s="1" t="s">
        <v>244</v>
      </c>
      <c r="R228">
        <v>1</v>
      </c>
      <c r="S228">
        <v>50</v>
      </c>
      <c r="T228">
        <v>45</v>
      </c>
      <c r="U228">
        <v>33</v>
      </c>
      <c r="AA228">
        <v>1099.0496829000001</v>
      </c>
      <c r="AB228">
        <v>2133156.9836300001</v>
      </c>
      <c r="AC228" s="1" t="s">
        <v>245</v>
      </c>
      <c r="AD228" t="s">
        <v>246</v>
      </c>
    </row>
    <row r="229" spans="2:30" x14ac:dyDescent="0.25">
      <c r="B229" s="1" t="s">
        <v>881</v>
      </c>
      <c r="C229">
        <v>228</v>
      </c>
      <c r="D229" s="1" t="s">
        <v>82</v>
      </c>
      <c r="E229" t="s">
        <v>152</v>
      </c>
      <c r="F229" s="1" t="s">
        <v>911</v>
      </c>
      <c r="O229" s="1" t="s">
        <v>486</v>
      </c>
      <c r="P229" t="s">
        <v>108</v>
      </c>
      <c r="Q229" s="1" t="s">
        <v>244</v>
      </c>
      <c r="R229">
        <v>5</v>
      </c>
      <c r="S229">
        <v>50</v>
      </c>
      <c r="T229">
        <v>45</v>
      </c>
      <c r="U229">
        <v>32</v>
      </c>
      <c r="AA229">
        <v>1163.8300957599999</v>
      </c>
      <c r="AB229">
        <v>2224455.5881699999</v>
      </c>
      <c r="AC229" s="1" t="s">
        <v>245</v>
      </c>
      <c r="AD229" t="s">
        <v>246</v>
      </c>
    </row>
    <row r="230" spans="2:30" x14ac:dyDescent="0.25">
      <c r="B230" s="1" t="s">
        <v>881</v>
      </c>
      <c r="C230">
        <v>229</v>
      </c>
      <c r="D230" s="1" t="s">
        <v>82</v>
      </c>
      <c r="E230" t="s">
        <v>152</v>
      </c>
      <c r="F230" s="1" t="s">
        <v>911</v>
      </c>
      <c r="O230" s="1" t="s">
        <v>953</v>
      </c>
      <c r="P230" t="s">
        <v>108</v>
      </c>
      <c r="Q230" s="1" t="s">
        <v>244</v>
      </c>
      <c r="R230">
        <v>1</v>
      </c>
      <c r="S230">
        <v>50</v>
      </c>
      <c r="T230">
        <v>45</v>
      </c>
      <c r="U230">
        <v>32</v>
      </c>
      <c r="AA230">
        <v>1163.8301179800001</v>
      </c>
      <c r="AB230">
        <v>2224455.6186099998</v>
      </c>
      <c r="AC230" s="1" t="s">
        <v>245</v>
      </c>
      <c r="AD230" t="s">
        <v>246</v>
      </c>
    </row>
    <row r="231" spans="2:30" x14ac:dyDescent="0.25">
      <c r="B231" s="1" t="s">
        <v>881</v>
      </c>
      <c r="C231">
        <v>230</v>
      </c>
      <c r="D231" s="1" t="s">
        <v>82</v>
      </c>
      <c r="E231" t="s">
        <v>152</v>
      </c>
      <c r="F231" s="1" t="s">
        <v>911</v>
      </c>
      <c r="O231" s="1" t="s">
        <v>954</v>
      </c>
      <c r="P231" t="s">
        <v>108</v>
      </c>
      <c r="Q231" s="1" t="s">
        <v>244</v>
      </c>
      <c r="R231">
        <v>1</v>
      </c>
      <c r="S231">
        <v>50</v>
      </c>
      <c r="T231">
        <v>45</v>
      </c>
      <c r="U231">
        <v>42</v>
      </c>
      <c r="AA231">
        <v>546.23861754500001</v>
      </c>
      <c r="AB231">
        <v>1183344.1987300001</v>
      </c>
      <c r="AC231" s="1" t="s">
        <v>245</v>
      </c>
      <c r="AD231" t="s">
        <v>246</v>
      </c>
    </row>
    <row r="232" spans="2:30" x14ac:dyDescent="0.25">
      <c r="B232" s="1" t="s">
        <v>881</v>
      </c>
      <c r="C232">
        <v>231</v>
      </c>
      <c r="D232" s="1" t="s">
        <v>82</v>
      </c>
      <c r="E232" t="s">
        <v>152</v>
      </c>
      <c r="F232" s="1" t="s">
        <v>911</v>
      </c>
      <c r="O232" s="1" t="s">
        <v>483</v>
      </c>
      <c r="P232" t="s">
        <v>108</v>
      </c>
      <c r="Q232" s="1" t="s">
        <v>244</v>
      </c>
      <c r="R232">
        <v>1</v>
      </c>
      <c r="S232">
        <v>50</v>
      </c>
      <c r="T232">
        <v>45</v>
      </c>
      <c r="U232">
        <v>33</v>
      </c>
      <c r="AA232">
        <v>1098.8871898100001</v>
      </c>
      <c r="AB232">
        <v>2132922.69765</v>
      </c>
      <c r="AC232" s="1" t="s">
        <v>245</v>
      </c>
      <c r="AD232" t="s">
        <v>246</v>
      </c>
    </row>
    <row r="233" spans="2:30" x14ac:dyDescent="0.25">
      <c r="B233" s="1" t="s">
        <v>881</v>
      </c>
      <c r="C233">
        <v>232</v>
      </c>
      <c r="D233" s="1" t="s">
        <v>82</v>
      </c>
      <c r="E233" t="s">
        <v>152</v>
      </c>
      <c r="F233" s="1" t="s">
        <v>911</v>
      </c>
      <c r="O233" s="1" t="s">
        <v>485</v>
      </c>
      <c r="P233" t="s">
        <v>108</v>
      </c>
      <c r="Q233" s="1" t="s">
        <v>244</v>
      </c>
      <c r="R233">
        <v>1</v>
      </c>
      <c r="S233">
        <v>50</v>
      </c>
      <c r="T233">
        <v>45</v>
      </c>
      <c r="U233">
        <v>33</v>
      </c>
      <c r="AA233">
        <v>1098.7728430499999</v>
      </c>
      <c r="AB233">
        <v>2132688.3814099999</v>
      </c>
      <c r="AC233" s="1" t="s">
        <v>245</v>
      </c>
      <c r="AD233" t="s">
        <v>246</v>
      </c>
    </row>
    <row r="234" spans="2:30" x14ac:dyDescent="0.25">
      <c r="B234" s="1" t="s">
        <v>887</v>
      </c>
      <c r="C234">
        <v>233</v>
      </c>
      <c r="D234" s="1" t="s">
        <v>82</v>
      </c>
      <c r="E234" t="s">
        <v>152</v>
      </c>
      <c r="F234" s="1" t="s">
        <v>919</v>
      </c>
      <c r="O234" s="1" t="s">
        <v>438</v>
      </c>
      <c r="P234" t="s">
        <v>108</v>
      </c>
      <c r="Q234" s="1" t="s">
        <v>244</v>
      </c>
      <c r="R234">
        <v>2</v>
      </c>
      <c r="S234">
        <v>50</v>
      </c>
      <c r="T234">
        <v>45</v>
      </c>
      <c r="U234">
        <v>33</v>
      </c>
      <c r="AA234">
        <v>1098.8871898100001</v>
      </c>
      <c r="AB234">
        <v>2151326.3248999999</v>
      </c>
      <c r="AC234" s="1" t="s">
        <v>245</v>
      </c>
      <c r="AD234" t="s">
        <v>246</v>
      </c>
    </row>
    <row r="235" spans="2:30" x14ac:dyDescent="0.25">
      <c r="B235" s="1" t="s">
        <v>887</v>
      </c>
      <c r="C235">
        <v>234</v>
      </c>
      <c r="D235" s="1" t="s">
        <v>82</v>
      </c>
      <c r="E235" t="s">
        <v>152</v>
      </c>
      <c r="F235" s="1" t="s">
        <v>919</v>
      </c>
      <c r="O235" s="1" t="s">
        <v>343</v>
      </c>
      <c r="P235" t="s">
        <v>108</v>
      </c>
      <c r="Q235" s="1" t="s">
        <v>244</v>
      </c>
      <c r="R235">
        <v>1</v>
      </c>
      <c r="S235">
        <v>50</v>
      </c>
      <c r="T235">
        <v>45</v>
      </c>
      <c r="U235">
        <v>33</v>
      </c>
      <c r="AA235">
        <v>1098.93533671</v>
      </c>
      <c r="AB235">
        <v>2151326.3221700001</v>
      </c>
      <c r="AC235" s="1" t="s">
        <v>245</v>
      </c>
      <c r="AD235" t="s">
        <v>246</v>
      </c>
    </row>
    <row r="236" spans="2:30" x14ac:dyDescent="0.25">
      <c r="B236" s="1" t="s">
        <v>887</v>
      </c>
      <c r="C236">
        <v>235</v>
      </c>
      <c r="D236" s="1" t="s">
        <v>82</v>
      </c>
      <c r="E236" t="s">
        <v>152</v>
      </c>
      <c r="F236" s="1" t="s">
        <v>919</v>
      </c>
      <c r="O236" s="1" t="s">
        <v>380</v>
      </c>
      <c r="P236" t="s">
        <v>108</v>
      </c>
      <c r="Q236" s="1" t="s">
        <v>244</v>
      </c>
      <c r="R236">
        <v>6</v>
      </c>
      <c r="S236">
        <v>50</v>
      </c>
      <c r="T236">
        <v>45</v>
      </c>
      <c r="U236">
        <v>32</v>
      </c>
      <c r="AA236">
        <v>1163.8300905200001</v>
      </c>
      <c r="AB236">
        <v>2244534.83</v>
      </c>
      <c r="AC236" s="1" t="s">
        <v>245</v>
      </c>
      <c r="AD236" t="s">
        <v>246</v>
      </c>
    </row>
    <row r="237" spans="2:30" x14ac:dyDescent="0.25">
      <c r="B237" s="1" t="s">
        <v>887</v>
      </c>
      <c r="C237">
        <v>236</v>
      </c>
      <c r="D237" s="1" t="s">
        <v>82</v>
      </c>
      <c r="E237" t="s">
        <v>152</v>
      </c>
      <c r="F237" s="1" t="s">
        <v>919</v>
      </c>
      <c r="O237" s="1" t="s">
        <v>348</v>
      </c>
      <c r="P237" t="s">
        <v>108</v>
      </c>
      <c r="Q237" s="1" t="s">
        <v>244</v>
      </c>
      <c r="R237">
        <v>2</v>
      </c>
      <c r="S237">
        <v>50</v>
      </c>
      <c r="T237">
        <v>45</v>
      </c>
      <c r="U237">
        <v>33</v>
      </c>
      <c r="AA237">
        <v>1098.54739632</v>
      </c>
      <c r="AB237">
        <v>2150827.6249799998</v>
      </c>
      <c r="AC237" s="1" t="s">
        <v>245</v>
      </c>
      <c r="AD237" t="s">
        <v>246</v>
      </c>
    </row>
    <row r="238" spans="2:30" x14ac:dyDescent="0.25">
      <c r="B238" s="1" t="s">
        <v>889</v>
      </c>
      <c r="C238">
        <v>237</v>
      </c>
      <c r="D238" s="1" t="s">
        <v>82</v>
      </c>
      <c r="E238" t="s">
        <v>152</v>
      </c>
      <c r="F238" s="1" t="s">
        <v>921</v>
      </c>
      <c r="O238" s="1" t="s">
        <v>379</v>
      </c>
      <c r="P238" t="s">
        <v>108</v>
      </c>
      <c r="Q238" s="1" t="s">
        <v>244</v>
      </c>
      <c r="R238">
        <v>1</v>
      </c>
      <c r="S238">
        <v>50</v>
      </c>
      <c r="T238">
        <v>45</v>
      </c>
      <c r="U238">
        <v>33</v>
      </c>
      <c r="AA238">
        <v>1098.8859860099999</v>
      </c>
      <c r="AB238">
        <v>2154136.88124</v>
      </c>
      <c r="AC238" s="1" t="s">
        <v>245</v>
      </c>
      <c r="AD238" t="s">
        <v>246</v>
      </c>
    </row>
    <row r="239" spans="2:30" x14ac:dyDescent="0.25">
      <c r="B239" s="1" t="s">
        <v>889</v>
      </c>
      <c r="C239">
        <v>238</v>
      </c>
      <c r="D239" s="1" t="s">
        <v>82</v>
      </c>
      <c r="E239" t="s">
        <v>152</v>
      </c>
      <c r="F239" s="1" t="s">
        <v>921</v>
      </c>
      <c r="O239" s="1" t="s">
        <v>378</v>
      </c>
      <c r="P239" t="s">
        <v>108</v>
      </c>
      <c r="Q239" s="1" t="s">
        <v>244</v>
      </c>
      <c r="R239">
        <v>1</v>
      </c>
      <c r="S239">
        <v>50</v>
      </c>
      <c r="T239">
        <v>45</v>
      </c>
      <c r="U239">
        <v>33</v>
      </c>
      <c r="AA239">
        <v>1099.04847909</v>
      </c>
      <c r="AB239">
        <v>2154375.40962</v>
      </c>
      <c r="AC239" s="1" t="s">
        <v>245</v>
      </c>
      <c r="AD239" t="s">
        <v>246</v>
      </c>
    </row>
    <row r="240" spans="2:30" x14ac:dyDescent="0.25">
      <c r="B240" s="1" t="s">
        <v>889</v>
      </c>
      <c r="C240">
        <v>239</v>
      </c>
      <c r="D240" s="1" t="s">
        <v>82</v>
      </c>
      <c r="E240" t="s">
        <v>152</v>
      </c>
      <c r="F240" s="1" t="s">
        <v>921</v>
      </c>
      <c r="O240" s="1" t="s">
        <v>346</v>
      </c>
      <c r="P240" t="s">
        <v>108</v>
      </c>
      <c r="Q240" s="1" t="s">
        <v>244</v>
      </c>
      <c r="R240">
        <v>1</v>
      </c>
      <c r="S240">
        <v>50</v>
      </c>
      <c r="T240">
        <v>45</v>
      </c>
      <c r="U240">
        <v>33</v>
      </c>
      <c r="AA240">
        <v>1098.7716385599999</v>
      </c>
      <c r="AB240">
        <v>2153898.3215800002</v>
      </c>
      <c r="AC240" s="1" t="s">
        <v>245</v>
      </c>
      <c r="AD240" t="s">
        <v>246</v>
      </c>
    </row>
    <row r="241" spans="2:30" x14ac:dyDescent="0.25">
      <c r="B241" s="1" t="s">
        <v>889</v>
      </c>
      <c r="C241">
        <v>240</v>
      </c>
      <c r="D241" s="1" t="s">
        <v>82</v>
      </c>
      <c r="E241" t="s">
        <v>152</v>
      </c>
      <c r="F241" s="1" t="s">
        <v>921</v>
      </c>
      <c r="O241" s="1" t="s">
        <v>350</v>
      </c>
      <c r="P241" t="s">
        <v>108</v>
      </c>
      <c r="Q241" s="1" t="s">
        <v>244</v>
      </c>
      <c r="R241">
        <v>6</v>
      </c>
      <c r="S241">
        <v>50</v>
      </c>
      <c r="T241">
        <v>45</v>
      </c>
      <c r="U241">
        <v>32</v>
      </c>
      <c r="AA241">
        <v>1163.82888673</v>
      </c>
      <c r="AB241">
        <v>2247382.6694299998</v>
      </c>
      <c r="AC241" s="1" t="s">
        <v>245</v>
      </c>
      <c r="AD241" t="s">
        <v>246</v>
      </c>
    </row>
    <row r="242" spans="2:30" x14ac:dyDescent="0.25">
      <c r="B242" s="1" t="s">
        <v>889</v>
      </c>
      <c r="C242">
        <v>241</v>
      </c>
      <c r="D242" s="1" t="s">
        <v>82</v>
      </c>
      <c r="E242" t="s">
        <v>152</v>
      </c>
      <c r="F242" s="1" t="s">
        <v>921</v>
      </c>
      <c r="O242" s="1" t="s">
        <v>955</v>
      </c>
      <c r="P242" t="s">
        <v>108</v>
      </c>
      <c r="Q242" s="1" t="s">
        <v>244</v>
      </c>
      <c r="R242">
        <v>1</v>
      </c>
      <c r="S242">
        <v>50</v>
      </c>
      <c r="T242">
        <v>45</v>
      </c>
      <c r="U242">
        <v>42</v>
      </c>
      <c r="AA242">
        <v>546.23861754500001</v>
      </c>
      <c r="AB242">
        <v>1191387.8384</v>
      </c>
      <c r="AC242" s="1" t="s">
        <v>245</v>
      </c>
      <c r="AD242" t="s">
        <v>246</v>
      </c>
    </row>
    <row r="243" spans="2:30" x14ac:dyDescent="0.25">
      <c r="B243" s="1" t="s">
        <v>886</v>
      </c>
      <c r="C243">
        <v>242</v>
      </c>
      <c r="D243" s="1" t="s">
        <v>82</v>
      </c>
      <c r="E243" t="s">
        <v>152</v>
      </c>
      <c r="F243" s="1" t="s">
        <v>918</v>
      </c>
      <c r="O243" s="1" t="s">
        <v>336</v>
      </c>
      <c r="P243" t="s">
        <v>108</v>
      </c>
      <c r="Q243" s="1" t="s">
        <v>244</v>
      </c>
      <c r="R243">
        <v>3</v>
      </c>
      <c r="S243">
        <v>50</v>
      </c>
      <c r="T243">
        <v>45</v>
      </c>
      <c r="U243">
        <v>33</v>
      </c>
      <c r="AA243">
        <v>1098.7246954499999</v>
      </c>
      <c r="AB243">
        <v>2153599.0418400001</v>
      </c>
      <c r="AC243" s="1" t="s">
        <v>245</v>
      </c>
      <c r="AD243" t="s">
        <v>246</v>
      </c>
    </row>
    <row r="244" spans="2:30" x14ac:dyDescent="0.25">
      <c r="B244" s="1" t="s">
        <v>886</v>
      </c>
      <c r="C244">
        <v>243</v>
      </c>
      <c r="D244" s="1" t="s">
        <v>82</v>
      </c>
      <c r="E244" t="s">
        <v>152</v>
      </c>
      <c r="F244" s="1" t="s">
        <v>918</v>
      </c>
      <c r="O244" s="1" t="s">
        <v>375</v>
      </c>
      <c r="P244" t="s">
        <v>108</v>
      </c>
      <c r="Q244" s="1" t="s">
        <v>244</v>
      </c>
      <c r="R244">
        <v>2</v>
      </c>
      <c r="S244">
        <v>50</v>
      </c>
      <c r="T244">
        <v>45</v>
      </c>
      <c r="U244">
        <v>33</v>
      </c>
      <c r="AA244">
        <v>1098.8871885000001</v>
      </c>
      <c r="AB244">
        <v>2153837.4848699998</v>
      </c>
      <c r="AC244" s="1" t="s">
        <v>245</v>
      </c>
      <c r="AD244" t="s">
        <v>246</v>
      </c>
    </row>
    <row r="245" spans="2:30" x14ac:dyDescent="0.25">
      <c r="B245" s="1" t="s">
        <v>886</v>
      </c>
      <c r="C245">
        <v>244</v>
      </c>
      <c r="D245" s="1" t="s">
        <v>82</v>
      </c>
      <c r="E245" t="s">
        <v>152</v>
      </c>
      <c r="F245" s="1" t="s">
        <v>918</v>
      </c>
      <c r="O245" s="1" t="s">
        <v>328</v>
      </c>
      <c r="P245" t="s">
        <v>108</v>
      </c>
      <c r="Q245" s="1" t="s">
        <v>244</v>
      </c>
      <c r="R245">
        <v>1</v>
      </c>
      <c r="S245">
        <v>50</v>
      </c>
      <c r="T245">
        <v>45</v>
      </c>
      <c r="U245">
        <v>32</v>
      </c>
      <c r="AA245">
        <v>1163.7157642899999</v>
      </c>
      <c r="AB245">
        <v>2246810.6848200001</v>
      </c>
      <c r="AC245" s="1" t="s">
        <v>245</v>
      </c>
      <c r="AD245" t="s">
        <v>246</v>
      </c>
    </row>
    <row r="246" spans="2:30" x14ac:dyDescent="0.25">
      <c r="B246" s="1" t="s">
        <v>886</v>
      </c>
      <c r="C246">
        <v>245</v>
      </c>
      <c r="D246" s="1" t="s">
        <v>82</v>
      </c>
      <c r="E246" t="s">
        <v>152</v>
      </c>
      <c r="F246" s="1" t="s">
        <v>918</v>
      </c>
      <c r="O246" s="1" t="s">
        <v>353</v>
      </c>
      <c r="P246" t="s">
        <v>108</v>
      </c>
      <c r="Q246" s="1" t="s">
        <v>244</v>
      </c>
      <c r="R246">
        <v>5</v>
      </c>
      <c r="S246">
        <v>50</v>
      </c>
      <c r="T246">
        <v>45</v>
      </c>
      <c r="U246">
        <v>32</v>
      </c>
      <c r="AA246">
        <v>1163.6675971</v>
      </c>
      <c r="AB246">
        <v>2246810.65803</v>
      </c>
      <c r="AC246" s="1" t="s">
        <v>245</v>
      </c>
      <c r="AD246" t="s">
        <v>246</v>
      </c>
    </row>
    <row r="247" spans="2:30" x14ac:dyDescent="0.25">
      <c r="B247" s="1" t="s">
        <v>886</v>
      </c>
      <c r="C247">
        <v>246</v>
      </c>
      <c r="D247" s="1" t="s">
        <v>82</v>
      </c>
      <c r="E247" t="s">
        <v>152</v>
      </c>
      <c r="F247" s="1" t="s">
        <v>918</v>
      </c>
      <c r="O247" s="1" t="s">
        <v>342</v>
      </c>
      <c r="P247" t="s">
        <v>108</v>
      </c>
      <c r="Q247" s="1" t="s">
        <v>244</v>
      </c>
      <c r="R247">
        <v>1</v>
      </c>
      <c r="S247">
        <v>50</v>
      </c>
      <c r="T247">
        <v>45</v>
      </c>
      <c r="U247">
        <v>42</v>
      </c>
      <c r="AA247">
        <v>566.07612449099997</v>
      </c>
      <c r="AB247">
        <v>1231251.9084900001</v>
      </c>
      <c r="AC247" s="1" t="s">
        <v>245</v>
      </c>
      <c r="AD247" t="s">
        <v>246</v>
      </c>
    </row>
    <row r="248" spans="2:30" x14ac:dyDescent="0.25">
      <c r="B248" s="1" t="s">
        <v>890</v>
      </c>
      <c r="C248">
        <v>247</v>
      </c>
      <c r="D248" s="1" t="s">
        <v>82</v>
      </c>
      <c r="E248" t="s">
        <v>152</v>
      </c>
      <c r="F248" s="1" t="s">
        <v>923</v>
      </c>
      <c r="O248" s="1" t="s">
        <v>956</v>
      </c>
      <c r="P248" t="s">
        <v>108</v>
      </c>
      <c r="Q248" s="1" t="s">
        <v>244</v>
      </c>
      <c r="R248">
        <v>3</v>
      </c>
      <c r="S248">
        <v>50</v>
      </c>
      <c r="T248">
        <v>45</v>
      </c>
      <c r="U248">
        <v>34</v>
      </c>
      <c r="AA248">
        <v>1098.88719115</v>
      </c>
      <c r="AB248">
        <v>2157575.7208500002</v>
      </c>
      <c r="AC248" s="1" t="s">
        <v>245</v>
      </c>
      <c r="AD248" t="s">
        <v>246</v>
      </c>
    </row>
    <row r="249" spans="2:30" x14ac:dyDescent="0.25">
      <c r="B249" s="1" t="s">
        <v>890</v>
      </c>
      <c r="C249">
        <v>248</v>
      </c>
      <c r="D249" s="1" t="s">
        <v>82</v>
      </c>
      <c r="E249" t="s">
        <v>152</v>
      </c>
      <c r="F249" s="1" t="s">
        <v>923</v>
      </c>
      <c r="O249" s="1" t="s">
        <v>386</v>
      </c>
      <c r="P249" t="s">
        <v>108</v>
      </c>
      <c r="Q249" s="1" t="s">
        <v>244</v>
      </c>
      <c r="R249">
        <v>4</v>
      </c>
      <c r="S249">
        <v>50</v>
      </c>
      <c r="T249">
        <v>45</v>
      </c>
      <c r="U249">
        <v>34</v>
      </c>
      <c r="AA249">
        <v>1098.5473966300001</v>
      </c>
      <c r="AB249">
        <v>2157076.98649</v>
      </c>
      <c r="AC249" s="1" t="s">
        <v>245</v>
      </c>
      <c r="AD249" t="s">
        <v>246</v>
      </c>
    </row>
    <row r="250" spans="2:30" x14ac:dyDescent="0.25">
      <c r="B250" s="1" t="s">
        <v>890</v>
      </c>
      <c r="C250">
        <v>249</v>
      </c>
      <c r="D250" s="1" t="s">
        <v>82</v>
      </c>
      <c r="E250" t="s">
        <v>152</v>
      </c>
      <c r="F250" s="1" t="s">
        <v>923</v>
      </c>
      <c r="O250" s="1" t="s">
        <v>497</v>
      </c>
      <c r="P250" t="s">
        <v>108</v>
      </c>
      <c r="Q250" s="1" t="s">
        <v>244</v>
      </c>
      <c r="R250">
        <v>1</v>
      </c>
      <c r="S250">
        <v>50</v>
      </c>
      <c r="T250">
        <v>45</v>
      </c>
      <c r="U250">
        <v>32</v>
      </c>
      <c r="AA250">
        <v>1163.87825802</v>
      </c>
      <c r="AB250">
        <v>2250772.9545499999</v>
      </c>
      <c r="AC250" s="1" t="s">
        <v>245</v>
      </c>
      <c r="AD250" t="s">
        <v>246</v>
      </c>
    </row>
    <row r="251" spans="2:30" x14ac:dyDescent="0.25">
      <c r="B251" s="1" t="s">
        <v>890</v>
      </c>
      <c r="C251">
        <v>250</v>
      </c>
      <c r="D251" s="1" t="s">
        <v>82</v>
      </c>
      <c r="E251" t="s">
        <v>152</v>
      </c>
      <c r="F251" s="1" t="s">
        <v>923</v>
      </c>
      <c r="O251" s="1" t="s">
        <v>496</v>
      </c>
      <c r="P251" t="s">
        <v>108</v>
      </c>
      <c r="Q251" s="1" t="s">
        <v>244</v>
      </c>
      <c r="R251">
        <v>5</v>
      </c>
      <c r="S251">
        <v>50</v>
      </c>
      <c r="T251">
        <v>45</v>
      </c>
      <c r="U251">
        <v>32</v>
      </c>
      <c r="AA251">
        <v>1163.83009083</v>
      </c>
      <c r="AB251">
        <v>2250772.9279</v>
      </c>
      <c r="AC251" s="1" t="s">
        <v>245</v>
      </c>
      <c r="AD251" t="s">
        <v>246</v>
      </c>
    </row>
    <row r="252" spans="2:30" x14ac:dyDescent="0.25">
      <c r="B252" s="1" t="s">
        <v>884</v>
      </c>
      <c r="C252">
        <v>251</v>
      </c>
      <c r="D252" s="1" t="s">
        <v>82</v>
      </c>
      <c r="E252" t="s">
        <v>152</v>
      </c>
      <c r="F252" s="1" t="s">
        <v>915</v>
      </c>
      <c r="O252" s="1" t="s">
        <v>424</v>
      </c>
      <c r="P252" t="s">
        <v>108</v>
      </c>
      <c r="Q252" s="1" t="s">
        <v>244</v>
      </c>
      <c r="R252">
        <v>1</v>
      </c>
      <c r="S252">
        <v>50</v>
      </c>
      <c r="T252">
        <v>45</v>
      </c>
      <c r="U252">
        <v>33</v>
      </c>
      <c r="AA252">
        <v>1098.8871898100001</v>
      </c>
      <c r="AB252">
        <v>2155355.5793400002</v>
      </c>
      <c r="AC252" s="1" t="s">
        <v>245</v>
      </c>
      <c r="AD252" t="s">
        <v>246</v>
      </c>
    </row>
    <row r="253" spans="2:30" x14ac:dyDescent="0.25">
      <c r="B253" s="1" t="s">
        <v>884</v>
      </c>
      <c r="C253">
        <v>252</v>
      </c>
      <c r="D253" s="1" t="s">
        <v>82</v>
      </c>
      <c r="E253" t="s">
        <v>152</v>
      </c>
      <c r="F253" s="1" t="s">
        <v>915</v>
      </c>
      <c r="O253" s="1" t="s">
        <v>957</v>
      </c>
      <c r="P253" t="s">
        <v>108</v>
      </c>
      <c r="Q253" s="1" t="s">
        <v>244</v>
      </c>
      <c r="R253">
        <v>2</v>
      </c>
      <c r="S253">
        <v>50</v>
      </c>
      <c r="T253">
        <v>45</v>
      </c>
      <c r="U253">
        <v>33</v>
      </c>
      <c r="AA253">
        <v>1098.54739735</v>
      </c>
      <c r="AB253">
        <v>2154857.6986699998</v>
      </c>
      <c r="AC253" s="1" t="s">
        <v>245</v>
      </c>
      <c r="AD253" t="s">
        <v>246</v>
      </c>
    </row>
    <row r="254" spans="2:30" x14ac:dyDescent="0.25">
      <c r="B254" s="1" t="s">
        <v>884</v>
      </c>
      <c r="C254">
        <v>253</v>
      </c>
      <c r="D254" s="1" t="s">
        <v>82</v>
      </c>
      <c r="E254" t="s">
        <v>152</v>
      </c>
      <c r="F254" s="1" t="s">
        <v>915</v>
      </c>
      <c r="O254" s="1" t="s">
        <v>448</v>
      </c>
      <c r="P254" t="s">
        <v>108</v>
      </c>
      <c r="Q254" s="1" t="s">
        <v>244</v>
      </c>
      <c r="R254">
        <v>1</v>
      </c>
      <c r="S254">
        <v>50</v>
      </c>
      <c r="T254">
        <v>45</v>
      </c>
      <c r="U254">
        <v>32</v>
      </c>
      <c r="AA254">
        <v>1163.8782587400001</v>
      </c>
      <c r="AB254">
        <v>2248390.3681700001</v>
      </c>
      <c r="AC254" s="1" t="s">
        <v>245</v>
      </c>
      <c r="AD254" t="s">
        <v>246</v>
      </c>
    </row>
    <row r="255" spans="2:30" x14ac:dyDescent="0.25">
      <c r="B255" s="1" t="s">
        <v>884</v>
      </c>
      <c r="C255">
        <v>254</v>
      </c>
      <c r="D255" s="1" t="s">
        <v>82</v>
      </c>
      <c r="E255" t="s">
        <v>152</v>
      </c>
      <c r="F255" s="1" t="s">
        <v>915</v>
      </c>
      <c r="O255" s="1" t="s">
        <v>958</v>
      </c>
      <c r="P255" t="s">
        <v>108</v>
      </c>
      <c r="Q255" s="1" t="s">
        <v>244</v>
      </c>
      <c r="R255">
        <v>5</v>
      </c>
      <c r="S255">
        <v>50</v>
      </c>
      <c r="T255">
        <v>45</v>
      </c>
      <c r="U255">
        <v>32</v>
      </c>
      <c r="AA255">
        <v>1163.8300915499999</v>
      </c>
      <c r="AB255">
        <v>2248390.3412000001</v>
      </c>
      <c r="AC255" s="1" t="s">
        <v>245</v>
      </c>
      <c r="AD255" t="s">
        <v>246</v>
      </c>
    </row>
    <row r="256" spans="2:30" x14ac:dyDescent="0.25">
      <c r="B256" s="1" t="s">
        <v>885</v>
      </c>
      <c r="C256">
        <v>255</v>
      </c>
      <c r="D256" s="1" t="s">
        <v>82</v>
      </c>
      <c r="E256" t="s">
        <v>152</v>
      </c>
      <c r="F256" s="1" t="s">
        <v>916</v>
      </c>
      <c r="O256" s="1" t="s">
        <v>959</v>
      </c>
      <c r="P256" t="s">
        <v>108</v>
      </c>
      <c r="Q256" s="1" t="s">
        <v>244</v>
      </c>
      <c r="R256">
        <v>1</v>
      </c>
      <c r="S256">
        <v>50</v>
      </c>
      <c r="T256">
        <v>45</v>
      </c>
      <c r="U256">
        <v>33</v>
      </c>
      <c r="AA256">
        <v>1098.8871898100001</v>
      </c>
      <c r="AB256">
        <v>2155442.87812</v>
      </c>
      <c r="AC256" s="1" t="s">
        <v>245</v>
      </c>
      <c r="AD256" t="s">
        <v>246</v>
      </c>
    </row>
    <row r="257" spans="2:30" x14ac:dyDescent="0.25">
      <c r="B257" s="1" t="s">
        <v>885</v>
      </c>
      <c r="C257">
        <v>256</v>
      </c>
      <c r="D257" s="1" t="s">
        <v>82</v>
      </c>
      <c r="E257" t="s">
        <v>152</v>
      </c>
      <c r="F257" s="1" t="s">
        <v>916</v>
      </c>
      <c r="O257" s="1" t="s">
        <v>960</v>
      </c>
      <c r="P257" t="s">
        <v>108</v>
      </c>
      <c r="Q257" s="1" t="s">
        <v>244</v>
      </c>
      <c r="R257">
        <v>1</v>
      </c>
      <c r="S257">
        <v>50</v>
      </c>
      <c r="T257">
        <v>45</v>
      </c>
      <c r="U257">
        <v>33</v>
      </c>
      <c r="AA257">
        <v>1098.5473972699999</v>
      </c>
      <c r="AB257">
        <v>2154944.89946</v>
      </c>
      <c r="AC257" s="1" t="s">
        <v>245</v>
      </c>
      <c r="AD257" t="s">
        <v>246</v>
      </c>
    </row>
    <row r="258" spans="2:30" x14ac:dyDescent="0.25">
      <c r="B258" s="1" t="s">
        <v>885</v>
      </c>
      <c r="C258">
        <v>257</v>
      </c>
      <c r="D258" s="1" t="s">
        <v>82</v>
      </c>
      <c r="E258" t="s">
        <v>152</v>
      </c>
      <c r="F258" s="1" t="s">
        <v>916</v>
      </c>
      <c r="O258" s="1" t="s">
        <v>961</v>
      </c>
      <c r="P258" t="s">
        <v>108</v>
      </c>
      <c r="Q258" s="1" t="s">
        <v>244</v>
      </c>
      <c r="R258">
        <v>1</v>
      </c>
      <c r="S258">
        <v>50</v>
      </c>
      <c r="T258">
        <v>45</v>
      </c>
      <c r="U258">
        <v>32</v>
      </c>
      <c r="AA258">
        <v>1163.87825866</v>
      </c>
      <c r="AB258">
        <v>2248496.4650900001</v>
      </c>
      <c r="AC258" s="1" t="s">
        <v>245</v>
      </c>
      <c r="AD258" t="s">
        <v>246</v>
      </c>
    </row>
    <row r="259" spans="2:30" x14ac:dyDescent="0.25">
      <c r="B259" s="1" t="s">
        <v>885</v>
      </c>
      <c r="C259">
        <v>258</v>
      </c>
      <c r="D259" s="1" t="s">
        <v>82</v>
      </c>
      <c r="E259" t="s">
        <v>152</v>
      </c>
      <c r="F259" s="1" t="s">
        <v>916</v>
      </c>
      <c r="O259" s="1" t="s">
        <v>962</v>
      </c>
      <c r="P259" t="s">
        <v>108</v>
      </c>
      <c r="Q259" s="1" t="s">
        <v>244</v>
      </c>
      <c r="R259">
        <v>6</v>
      </c>
      <c r="S259">
        <v>50</v>
      </c>
      <c r="T259">
        <v>45</v>
      </c>
      <c r="U259">
        <v>32</v>
      </c>
      <c r="AA259">
        <v>1163.8300914599999</v>
      </c>
      <c r="AB259">
        <v>2248496.4383100001</v>
      </c>
      <c r="AC259" s="1" t="s">
        <v>245</v>
      </c>
      <c r="AD259" t="s">
        <v>246</v>
      </c>
    </row>
    <row r="260" spans="2:30" x14ac:dyDescent="0.25">
      <c r="B260" s="1" t="s">
        <v>893</v>
      </c>
      <c r="C260">
        <v>259</v>
      </c>
      <c r="D260" s="1" t="s">
        <v>82</v>
      </c>
      <c r="E260" t="s">
        <v>152</v>
      </c>
      <c r="F260" s="1" t="s">
        <v>928</v>
      </c>
      <c r="O260" s="1" t="s">
        <v>360</v>
      </c>
      <c r="P260" t="s">
        <v>108</v>
      </c>
      <c r="Q260" s="1" t="s">
        <v>244</v>
      </c>
      <c r="R260">
        <v>3</v>
      </c>
      <c r="S260">
        <v>50</v>
      </c>
      <c r="T260">
        <v>45</v>
      </c>
      <c r="U260">
        <v>34</v>
      </c>
      <c r="AA260">
        <v>1098.8871898100001</v>
      </c>
      <c r="AB260">
        <v>2158621.2659900002</v>
      </c>
      <c r="AC260" s="1" t="s">
        <v>245</v>
      </c>
      <c r="AD260" t="s">
        <v>246</v>
      </c>
    </row>
    <row r="261" spans="2:30" x14ac:dyDescent="0.25">
      <c r="B261" s="1" t="s">
        <v>893</v>
      </c>
      <c r="C261">
        <v>260</v>
      </c>
      <c r="D261" s="1" t="s">
        <v>82</v>
      </c>
      <c r="E261" t="s">
        <v>152</v>
      </c>
      <c r="F261" s="1" t="s">
        <v>928</v>
      </c>
      <c r="O261" s="1" t="s">
        <v>325</v>
      </c>
      <c r="P261" t="s">
        <v>108</v>
      </c>
      <c r="Q261" s="1" t="s">
        <v>244</v>
      </c>
      <c r="R261">
        <v>2</v>
      </c>
      <c r="S261">
        <v>50</v>
      </c>
      <c r="T261">
        <v>45</v>
      </c>
      <c r="U261">
        <v>34</v>
      </c>
      <c r="AA261">
        <v>1098.5474177999999</v>
      </c>
      <c r="AB261">
        <v>2158122.2060600002</v>
      </c>
      <c r="AC261" s="1" t="s">
        <v>245</v>
      </c>
      <c r="AD261" t="s">
        <v>246</v>
      </c>
    </row>
    <row r="262" spans="2:30" x14ac:dyDescent="0.25">
      <c r="B262" s="1" t="s">
        <v>893</v>
      </c>
      <c r="C262">
        <v>261</v>
      </c>
      <c r="D262" s="1" t="s">
        <v>82</v>
      </c>
      <c r="E262" t="s">
        <v>152</v>
      </c>
      <c r="F262" s="1" t="s">
        <v>928</v>
      </c>
      <c r="O262" s="1" t="s">
        <v>324</v>
      </c>
      <c r="P262" t="s">
        <v>108</v>
      </c>
      <c r="Q262" s="1" t="s">
        <v>244</v>
      </c>
      <c r="R262">
        <v>1</v>
      </c>
      <c r="S262">
        <v>50</v>
      </c>
      <c r="T262">
        <v>45</v>
      </c>
      <c r="U262">
        <v>32</v>
      </c>
      <c r="AA262">
        <v>1163.87825963</v>
      </c>
      <c r="AB262">
        <v>2251890.1814299999</v>
      </c>
      <c r="AC262" s="1" t="s">
        <v>245</v>
      </c>
      <c r="AD262" t="s">
        <v>246</v>
      </c>
    </row>
    <row r="263" spans="2:30" x14ac:dyDescent="0.25">
      <c r="B263" s="1" t="s">
        <v>893</v>
      </c>
      <c r="C263">
        <v>262</v>
      </c>
      <c r="D263" s="1" t="s">
        <v>82</v>
      </c>
      <c r="E263" t="s">
        <v>152</v>
      </c>
      <c r="F263" s="1" t="s">
        <v>928</v>
      </c>
      <c r="O263" s="1" t="s">
        <v>491</v>
      </c>
      <c r="P263" t="s">
        <v>108</v>
      </c>
      <c r="Q263" s="1" t="s">
        <v>244</v>
      </c>
      <c r="R263">
        <v>1</v>
      </c>
      <c r="S263">
        <v>50</v>
      </c>
      <c r="T263">
        <v>45</v>
      </c>
      <c r="U263">
        <v>32</v>
      </c>
      <c r="AA263">
        <v>1164.16988401</v>
      </c>
      <c r="AB263">
        <v>2252635.60635</v>
      </c>
      <c r="AC263" s="1" t="s">
        <v>245</v>
      </c>
      <c r="AD263" t="s">
        <v>246</v>
      </c>
    </row>
    <row r="264" spans="2:30" x14ac:dyDescent="0.25">
      <c r="B264" s="1" t="s">
        <v>893</v>
      </c>
      <c r="C264">
        <v>263</v>
      </c>
      <c r="D264" s="1" t="s">
        <v>82</v>
      </c>
      <c r="E264" t="s">
        <v>152</v>
      </c>
      <c r="F264" s="1" t="s">
        <v>928</v>
      </c>
      <c r="O264" s="1" t="s">
        <v>450</v>
      </c>
      <c r="P264" t="s">
        <v>108</v>
      </c>
      <c r="Q264" s="1" t="s">
        <v>244</v>
      </c>
      <c r="R264">
        <v>4</v>
      </c>
      <c r="S264">
        <v>50</v>
      </c>
      <c r="T264">
        <v>45</v>
      </c>
      <c r="U264">
        <v>32</v>
      </c>
      <c r="AA264">
        <v>1163.8300929699999</v>
      </c>
      <c r="AB264">
        <v>2251890.15454</v>
      </c>
      <c r="AC264" s="1" t="s">
        <v>245</v>
      </c>
      <c r="AD264" t="s">
        <v>246</v>
      </c>
    </row>
    <row r="265" spans="2:30" x14ac:dyDescent="0.25">
      <c r="B265" s="1" t="s">
        <v>888</v>
      </c>
      <c r="C265">
        <v>264</v>
      </c>
      <c r="D265" s="1" t="s">
        <v>82</v>
      </c>
      <c r="E265" t="s">
        <v>152</v>
      </c>
      <c r="F265" s="1" t="s">
        <v>920</v>
      </c>
      <c r="O265" s="1" t="s">
        <v>319</v>
      </c>
      <c r="P265" t="s">
        <v>108</v>
      </c>
      <c r="Q265" s="1" t="s">
        <v>244</v>
      </c>
      <c r="R265">
        <v>4</v>
      </c>
      <c r="S265">
        <v>50</v>
      </c>
      <c r="T265">
        <v>45</v>
      </c>
      <c r="U265">
        <v>33</v>
      </c>
      <c r="AA265">
        <v>1099.22696318</v>
      </c>
      <c r="AB265">
        <v>2155775.5312999999</v>
      </c>
      <c r="AC265" s="1" t="s">
        <v>245</v>
      </c>
      <c r="AD265" t="s">
        <v>246</v>
      </c>
    </row>
    <row r="266" spans="2:30" x14ac:dyDescent="0.25">
      <c r="B266" s="1" t="s">
        <v>888</v>
      </c>
      <c r="C266">
        <v>265</v>
      </c>
      <c r="D266" s="1" t="s">
        <v>82</v>
      </c>
      <c r="E266" t="s">
        <v>152</v>
      </c>
      <c r="F266" s="1" t="s">
        <v>920</v>
      </c>
      <c r="O266" s="1" t="s">
        <v>335</v>
      </c>
      <c r="P266" t="s">
        <v>108</v>
      </c>
      <c r="Q266" s="1" t="s">
        <v>244</v>
      </c>
      <c r="R266">
        <v>1</v>
      </c>
      <c r="S266">
        <v>50</v>
      </c>
      <c r="T266">
        <v>45</v>
      </c>
      <c r="U266">
        <v>33</v>
      </c>
      <c r="AA266">
        <v>1098.8871682700001</v>
      </c>
      <c r="AB266">
        <v>2155276.8118400001</v>
      </c>
      <c r="AC266" s="1" t="s">
        <v>245</v>
      </c>
      <c r="AD266" t="s">
        <v>246</v>
      </c>
    </row>
    <row r="267" spans="2:30" x14ac:dyDescent="0.25">
      <c r="B267" s="1" t="s">
        <v>888</v>
      </c>
      <c r="C267">
        <v>266</v>
      </c>
      <c r="D267" s="1" t="s">
        <v>82</v>
      </c>
      <c r="E267" t="s">
        <v>152</v>
      </c>
      <c r="F267" s="1" t="s">
        <v>920</v>
      </c>
      <c r="O267" s="1" t="s">
        <v>320</v>
      </c>
      <c r="P267" t="s">
        <v>108</v>
      </c>
      <c r="Q267" s="1" t="s">
        <v>244</v>
      </c>
      <c r="R267">
        <v>1</v>
      </c>
      <c r="S267">
        <v>50</v>
      </c>
      <c r="T267">
        <v>45</v>
      </c>
      <c r="U267">
        <v>32</v>
      </c>
      <c r="AA267">
        <v>1164.21801669</v>
      </c>
      <c r="AB267">
        <v>2248987.14952</v>
      </c>
      <c r="AC267" s="1" t="s">
        <v>245</v>
      </c>
      <c r="AD267" t="s">
        <v>246</v>
      </c>
    </row>
    <row r="268" spans="2:30" x14ac:dyDescent="0.25">
      <c r="B268" s="1" t="s">
        <v>888</v>
      </c>
      <c r="C268">
        <v>267</v>
      </c>
      <c r="D268" s="1" t="s">
        <v>82</v>
      </c>
      <c r="E268" t="s">
        <v>152</v>
      </c>
      <c r="F268" s="1" t="s">
        <v>920</v>
      </c>
      <c r="O268" s="1" t="s">
        <v>387</v>
      </c>
      <c r="P268" t="s">
        <v>108</v>
      </c>
      <c r="Q268" s="1" t="s">
        <v>244</v>
      </c>
      <c r="R268">
        <v>5</v>
      </c>
      <c r="S268">
        <v>50</v>
      </c>
      <c r="T268">
        <v>45</v>
      </c>
      <c r="U268">
        <v>32</v>
      </c>
      <c r="AA268">
        <v>1164.16986247</v>
      </c>
      <c r="AB268">
        <v>2248987.1410500002</v>
      </c>
      <c r="AC268" s="1" t="s">
        <v>245</v>
      </c>
      <c r="AD268" t="s">
        <v>246</v>
      </c>
    </row>
    <row r="269" spans="2:30" x14ac:dyDescent="0.25">
      <c r="B269" s="1" t="s">
        <v>894</v>
      </c>
      <c r="C269">
        <v>268</v>
      </c>
      <c r="D269" s="1" t="s">
        <v>82</v>
      </c>
      <c r="E269" t="s">
        <v>152</v>
      </c>
      <c r="F269" s="1" t="s">
        <v>929</v>
      </c>
      <c r="O269" s="1" t="s">
        <v>963</v>
      </c>
      <c r="P269" t="s">
        <v>108</v>
      </c>
      <c r="Q269" s="1" t="s">
        <v>244</v>
      </c>
      <c r="R269">
        <v>1</v>
      </c>
      <c r="S269">
        <v>50</v>
      </c>
      <c r="T269">
        <v>45</v>
      </c>
      <c r="U269">
        <v>33</v>
      </c>
      <c r="AA269">
        <v>1098.8871911900001</v>
      </c>
      <c r="AB269">
        <v>2158720.6649500001</v>
      </c>
      <c r="AC269" s="1" t="s">
        <v>245</v>
      </c>
      <c r="AD269" t="s">
        <v>246</v>
      </c>
    </row>
    <row r="270" spans="2:30" x14ac:dyDescent="0.25">
      <c r="B270" s="1" t="s">
        <v>894</v>
      </c>
      <c r="C270">
        <v>269</v>
      </c>
      <c r="D270" s="1" t="s">
        <v>82</v>
      </c>
      <c r="E270" t="s">
        <v>152</v>
      </c>
      <c r="F270" s="1" t="s">
        <v>929</v>
      </c>
      <c r="O270" s="1" t="s">
        <v>964</v>
      </c>
      <c r="P270" t="s">
        <v>108</v>
      </c>
      <c r="Q270" s="1" t="s">
        <v>244</v>
      </c>
      <c r="R270">
        <v>1</v>
      </c>
      <c r="S270">
        <v>50</v>
      </c>
      <c r="T270">
        <v>45</v>
      </c>
      <c r="U270">
        <v>33</v>
      </c>
      <c r="AA270">
        <v>1098.54739666</v>
      </c>
      <c r="AB270">
        <v>2158221.55577</v>
      </c>
      <c r="AC270" s="1" t="s">
        <v>245</v>
      </c>
      <c r="AD270" t="s">
        <v>246</v>
      </c>
    </row>
    <row r="271" spans="2:30" x14ac:dyDescent="0.25">
      <c r="B271" s="1" t="s">
        <v>894</v>
      </c>
      <c r="C271">
        <v>270</v>
      </c>
      <c r="D271" s="1" t="s">
        <v>82</v>
      </c>
      <c r="E271" t="s">
        <v>152</v>
      </c>
      <c r="F271" s="1" t="s">
        <v>929</v>
      </c>
      <c r="O271" s="1" t="s">
        <v>965</v>
      </c>
      <c r="P271" t="s">
        <v>108</v>
      </c>
      <c r="Q271" s="1" t="s">
        <v>244</v>
      </c>
      <c r="R271">
        <v>1</v>
      </c>
      <c r="S271">
        <v>50</v>
      </c>
      <c r="T271">
        <v>45</v>
      </c>
      <c r="U271">
        <v>32</v>
      </c>
      <c r="AA271">
        <v>1163.8782580500001</v>
      </c>
      <c r="AB271">
        <v>2251989.5740700001</v>
      </c>
      <c r="AC271" s="1" t="s">
        <v>245</v>
      </c>
      <c r="AD271" t="s">
        <v>246</v>
      </c>
    </row>
    <row r="272" spans="2:30" x14ac:dyDescent="0.25">
      <c r="B272" s="1" t="s">
        <v>894</v>
      </c>
      <c r="C272">
        <v>271</v>
      </c>
      <c r="D272" s="1" t="s">
        <v>82</v>
      </c>
      <c r="E272" t="s">
        <v>152</v>
      </c>
      <c r="F272" s="1" t="s">
        <v>929</v>
      </c>
      <c r="O272" s="1" t="s">
        <v>966</v>
      </c>
      <c r="P272" t="s">
        <v>108</v>
      </c>
      <c r="Q272" s="1" t="s">
        <v>244</v>
      </c>
      <c r="R272">
        <v>6</v>
      </c>
      <c r="S272">
        <v>50</v>
      </c>
      <c r="T272">
        <v>45</v>
      </c>
      <c r="U272">
        <v>32</v>
      </c>
      <c r="AA272">
        <v>1163.8300908599999</v>
      </c>
      <c r="AB272">
        <v>2251989.5469999998</v>
      </c>
      <c r="AC272" s="1" t="s">
        <v>245</v>
      </c>
      <c r="AD272" t="s">
        <v>246</v>
      </c>
    </row>
    <row r="273" spans="2:30" x14ac:dyDescent="0.25">
      <c r="B273" s="1" t="s">
        <v>883</v>
      </c>
      <c r="C273">
        <v>272</v>
      </c>
      <c r="D273" s="1" t="s">
        <v>82</v>
      </c>
      <c r="E273" t="s">
        <v>152</v>
      </c>
      <c r="F273" s="1" t="s">
        <v>914</v>
      </c>
      <c r="O273" s="1" t="s">
        <v>460</v>
      </c>
      <c r="P273" t="s">
        <v>108</v>
      </c>
      <c r="Q273" s="1" t="s">
        <v>244</v>
      </c>
      <c r="R273">
        <v>2</v>
      </c>
      <c r="S273">
        <v>50</v>
      </c>
      <c r="T273">
        <v>45</v>
      </c>
      <c r="U273">
        <v>33</v>
      </c>
      <c r="AA273">
        <v>1099.22696182</v>
      </c>
      <c r="AB273">
        <v>2156883.5736799999</v>
      </c>
      <c r="AC273" s="1" t="s">
        <v>245</v>
      </c>
      <c r="AD273" t="s">
        <v>246</v>
      </c>
    </row>
    <row r="274" spans="2:30" x14ac:dyDescent="0.25">
      <c r="B274" s="1" t="s">
        <v>883</v>
      </c>
      <c r="C274">
        <v>273</v>
      </c>
      <c r="D274" s="1" t="s">
        <v>82</v>
      </c>
      <c r="E274" t="s">
        <v>152</v>
      </c>
      <c r="F274" s="1" t="s">
        <v>914</v>
      </c>
      <c r="O274" s="1" t="s">
        <v>447</v>
      </c>
      <c r="P274" t="s">
        <v>108</v>
      </c>
      <c r="Q274" s="1" t="s">
        <v>244</v>
      </c>
      <c r="R274">
        <v>1</v>
      </c>
      <c r="S274">
        <v>50</v>
      </c>
      <c r="T274">
        <v>45</v>
      </c>
      <c r="U274">
        <v>33</v>
      </c>
      <c r="AA274">
        <v>1099.27510975</v>
      </c>
      <c r="AB274">
        <v>2156883.5734700002</v>
      </c>
      <c r="AC274" s="1" t="s">
        <v>245</v>
      </c>
      <c r="AD274" t="s">
        <v>246</v>
      </c>
    </row>
    <row r="275" spans="2:30" x14ac:dyDescent="0.25">
      <c r="B275" s="1" t="s">
        <v>883</v>
      </c>
      <c r="C275">
        <v>274</v>
      </c>
      <c r="D275" s="1" t="s">
        <v>82</v>
      </c>
      <c r="E275" t="s">
        <v>152</v>
      </c>
      <c r="F275" s="1" t="s">
        <v>914</v>
      </c>
      <c r="O275" s="1" t="s">
        <v>967</v>
      </c>
      <c r="P275" t="s">
        <v>108</v>
      </c>
      <c r="Q275" s="1" t="s">
        <v>244</v>
      </c>
      <c r="R275">
        <v>6</v>
      </c>
      <c r="S275">
        <v>50</v>
      </c>
      <c r="T275">
        <v>45</v>
      </c>
      <c r="U275">
        <v>32</v>
      </c>
      <c r="AA275">
        <v>1164.1698635600001</v>
      </c>
      <c r="AB275">
        <v>2249883.2965600002</v>
      </c>
      <c r="AC275" s="1" t="s">
        <v>245</v>
      </c>
      <c r="AD275" t="s">
        <v>246</v>
      </c>
    </row>
    <row r="276" spans="2:30" x14ac:dyDescent="0.25">
      <c r="B276" s="1" t="s">
        <v>882</v>
      </c>
      <c r="C276">
        <v>275</v>
      </c>
      <c r="D276" s="1" t="s">
        <v>82</v>
      </c>
      <c r="E276" t="s">
        <v>152</v>
      </c>
      <c r="F276" s="1" t="s">
        <v>913</v>
      </c>
      <c r="O276" s="1" t="s">
        <v>359</v>
      </c>
      <c r="P276" t="s">
        <v>108</v>
      </c>
      <c r="Q276" s="1" t="s">
        <v>244</v>
      </c>
      <c r="R276">
        <v>3</v>
      </c>
      <c r="S276">
        <v>50</v>
      </c>
      <c r="T276">
        <v>45</v>
      </c>
      <c r="U276">
        <v>33</v>
      </c>
      <c r="AA276">
        <v>1098.8871679900001</v>
      </c>
      <c r="AB276">
        <v>2155690.4324699999</v>
      </c>
      <c r="AC276" s="1" t="s">
        <v>245</v>
      </c>
      <c r="AD276" t="s">
        <v>246</v>
      </c>
    </row>
    <row r="277" spans="2:30" x14ac:dyDescent="0.25">
      <c r="B277" s="1" t="s">
        <v>882</v>
      </c>
      <c r="C277">
        <v>276</v>
      </c>
      <c r="D277" s="1" t="s">
        <v>82</v>
      </c>
      <c r="E277" t="s">
        <v>152</v>
      </c>
      <c r="F277" s="1" t="s">
        <v>913</v>
      </c>
      <c r="O277" s="1" t="s">
        <v>968</v>
      </c>
      <c r="P277" t="s">
        <v>108</v>
      </c>
      <c r="Q277" s="1" t="s">
        <v>244</v>
      </c>
      <c r="R277">
        <v>6</v>
      </c>
      <c r="S277">
        <v>50</v>
      </c>
      <c r="T277">
        <v>45</v>
      </c>
      <c r="U277">
        <v>32</v>
      </c>
      <c r="AA277">
        <v>1164.1698685700001</v>
      </c>
      <c r="AB277">
        <v>2249187.8292899998</v>
      </c>
      <c r="AC277" s="1" t="s">
        <v>245</v>
      </c>
      <c r="AD277" t="s">
        <v>246</v>
      </c>
    </row>
    <row r="278" spans="2:30" x14ac:dyDescent="0.25">
      <c r="B278" s="1" t="s">
        <v>892</v>
      </c>
      <c r="C278">
        <v>277</v>
      </c>
      <c r="D278" s="1" t="s">
        <v>82</v>
      </c>
      <c r="E278" t="s">
        <v>152</v>
      </c>
      <c r="F278" s="1" t="s">
        <v>926</v>
      </c>
      <c r="O278" s="1" t="s">
        <v>490</v>
      </c>
      <c r="P278" t="s">
        <v>108</v>
      </c>
      <c r="Q278" s="1" t="s">
        <v>244</v>
      </c>
      <c r="R278">
        <v>1</v>
      </c>
      <c r="S278">
        <v>50</v>
      </c>
      <c r="T278">
        <v>45</v>
      </c>
      <c r="U278">
        <v>33</v>
      </c>
      <c r="AA278">
        <v>1098.8871911900001</v>
      </c>
      <c r="AB278">
        <v>2159973.9837799999</v>
      </c>
      <c r="AC278" s="1" t="s">
        <v>245</v>
      </c>
      <c r="AD278" t="s">
        <v>246</v>
      </c>
    </row>
    <row r="279" spans="2:30" x14ac:dyDescent="0.25">
      <c r="B279" s="1" t="s">
        <v>892</v>
      </c>
      <c r="C279">
        <v>278</v>
      </c>
      <c r="D279" s="1" t="s">
        <v>82</v>
      </c>
      <c r="E279" t="s">
        <v>152</v>
      </c>
      <c r="F279" s="1" t="s">
        <v>926</v>
      </c>
      <c r="O279" s="1" t="s">
        <v>969</v>
      </c>
      <c r="P279" t="s">
        <v>108</v>
      </c>
      <c r="Q279" s="1" t="s">
        <v>244</v>
      </c>
      <c r="R279">
        <v>1</v>
      </c>
      <c r="S279">
        <v>50</v>
      </c>
      <c r="T279">
        <v>45</v>
      </c>
      <c r="U279">
        <v>33</v>
      </c>
      <c r="AA279">
        <v>1098.54739735</v>
      </c>
      <c r="AB279">
        <v>2159474.8918499998</v>
      </c>
      <c r="AC279" s="1" t="s">
        <v>245</v>
      </c>
      <c r="AD279" t="s">
        <v>246</v>
      </c>
    </row>
    <row r="280" spans="2:30" x14ac:dyDescent="0.25">
      <c r="B280" s="1" t="s">
        <v>892</v>
      </c>
      <c r="C280">
        <v>279</v>
      </c>
      <c r="D280" s="1" t="s">
        <v>82</v>
      </c>
      <c r="E280" t="s">
        <v>152</v>
      </c>
      <c r="F280" s="1" t="s">
        <v>926</v>
      </c>
      <c r="O280" s="1" t="s">
        <v>488</v>
      </c>
      <c r="P280" t="s">
        <v>108</v>
      </c>
      <c r="Q280" s="1" t="s">
        <v>244</v>
      </c>
      <c r="R280">
        <v>1</v>
      </c>
      <c r="S280">
        <v>50</v>
      </c>
      <c r="T280">
        <v>45</v>
      </c>
      <c r="U280">
        <v>33</v>
      </c>
      <c r="AA280">
        <v>1098.77284338</v>
      </c>
      <c r="AB280">
        <v>2159735.3295999998</v>
      </c>
      <c r="AC280" s="1" t="s">
        <v>245</v>
      </c>
      <c r="AD280" t="s">
        <v>246</v>
      </c>
    </row>
    <row r="281" spans="2:30" x14ac:dyDescent="0.25">
      <c r="B281" s="1" t="s">
        <v>892</v>
      </c>
      <c r="C281">
        <v>280</v>
      </c>
      <c r="D281" s="1" t="s">
        <v>82</v>
      </c>
      <c r="E281" t="s">
        <v>152</v>
      </c>
      <c r="F281" s="1" t="s">
        <v>926</v>
      </c>
      <c r="O281" s="1" t="s">
        <v>970</v>
      </c>
      <c r="P281" t="s">
        <v>108</v>
      </c>
      <c r="Q281" s="1" t="s">
        <v>244</v>
      </c>
      <c r="R281">
        <v>6</v>
      </c>
      <c r="S281">
        <v>50</v>
      </c>
      <c r="T281">
        <v>45</v>
      </c>
      <c r="U281">
        <v>32</v>
      </c>
      <c r="AA281">
        <v>1163.8300915499999</v>
      </c>
      <c r="AB281">
        <v>2253239.73912</v>
      </c>
      <c r="AC281" s="1" t="s">
        <v>245</v>
      </c>
      <c r="AD281" t="s">
        <v>246</v>
      </c>
    </row>
    <row r="282" spans="2:30" x14ac:dyDescent="0.25">
      <c r="B282" s="1" t="s">
        <v>895</v>
      </c>
      <c r="C282">
        <v>281</v>
      </c>
      <c r="D282" s="1" t="s">
        <v>82</v>
      </c>
      <c r="E282" t="s">
        <v>152</v>
      </c>
      <c r="F282" s="1" t="s">
        <v>930</v>
      </c>
      <c r="O282" s="1" t="s">
        <v>971</v>
      </c>
      <c r="P282" t="s">
        <v>108</v>
      </c>
      <c r="Q282" s="1" t="s">
        <v>244</v>
      </c>
      <c r="R282">
        <v>5</v>
      </c>
      <c r="S282">
        <v>50</v>
      </c>
      <c r="T282">
        <v>45</v>
      </c>
      <c r="U282">
        <v>33</v>
      </c>
      <c r="AA282">
        <v>1098.8871893800001</v>
      </c>
      <c r="AB282">
        <v>2159392.3862999999</v>
      </c>
      <c r="AC282" s="1" t="s">
        <v>245</v>
      </c>
      <c r="AD282" t="s">
        <v>246</v>
      </c>
    </row>
    <row r="283" spans="2:30" x14ac:dyDescent="0.25">
      <c r="B283" s="1" t="s">
        <v>895</v>
      </c>
      <c r="C283">
        <v>282</v>
      </c>
      <c r="D283" s="1" t="s">
        <v>82</v>
      </c>
      <c r="E283" t="s">
        <v>152</v>
      </c>
      <c r="F283" s="1" t="s">
        <v>930</v>
      </c>
      <c r="O283" s="1" t="s">
        <v>972</v>
      </c>
      <c r="P283" t="s">
        <v>108</v>
      </c>
      <c r="Q283" s="1" t="s">
        <v>244</v>
      </c>
      <c r="R283">
        <v>6</v>
      </c>
      <c r="S283">
        <v>50</v>
      </c>
      <c r="T283">
        <v>45</v>
      </c>
      <c r="U283">
        <v>32</v>
      </c>
      <c r="AA283">
        <v>1164.1698899600001</v>
      </c>
      <c r="AB283">
        <v>2253157.2264899998</v>
      </c>
      <c r="AC283" s="1" t="s">
        <v>245</v>
      </c>
      <c r="AD283" t="s">
        <v>246</v>
      </c>
    </row>
    <row r="284" spans="2:30" x14ac:dyDescent="0.25">
      <c r="B284" s="1" t="s">
        <v>891</v>
      </c>
      <c r="C284">
        <v>283</v>
      </c>
      <c r="D284" s="1" t="s">
        <v>82</v>
      </c>
      <c r="E284" t="s">
        <v>152</v>
      </c>
      <c r="F284" s="1" t="s">
        <v>924</v>
      </c>
      <c r="O284" s="1" t="s">
        <v>498</v>
      </c>
      <c r="P284" t="s">
        <v>108</v>
      </c>
      <c r="Q284" s="1" t="s">
        <v>244</v>
      </c>
      <c r="R284">
        <v>5</v>
      </c>
      <c r="S284">
        <v>50</v>
      </c>
      <c r="T284">
        <v>45</v>
      </c>
      <c r="U284">
        <v>33</v>
      </c>
      <c r="AA284">
        <v>1098.8871890099999</v>
      </c>
      <c r="AB284">
        <v>2158418.9640000002</v>
      </c>
      <c r="AC284" s="1" t="s">
        <v>245</v>
      </c>
      <c r="AD284" t="s">
        <v>246</v>
      </c>
    </row>
    <row r="285" spans="2:30" x14ac:dyDescent="0.25">
      <c r="B285" s="1" t="s">
        <v>891</v>
      </c>
      <c r="C285">
        <v>284</v>
      </c>
      <c r="D285" s="1" t="s">
        <v>82</v>
      </c>
      <c r="E285" t="s">
        <v>152</v>
      </c>
      <c r="F285" s="1" t="s">
        <v>924</v>
      </c>
      <c r="O285" s="1" t="s">
        <v>377</v>
      </c>
      <c r="P285" t="s">
        <v>108</v>
      </c>
      <c r="Q285" s="1" t="s">
        <v>244</v>
      </c>
      <c r="R285">
        <v>6</v>
      </c>
      <c r="S285">
        <v>50</v>
      </c>
      <c r="T285">
        <v>45</v>
      </c>
      <c r="U285">
        <v>32</v>
      </c>
      <c r="AA285">
        <v>1164.1698895899999</v>
      </c>
      <c r="AB285">
        <v>2252111.7557999999</v>
      </c>
      <c r="AC285" s="1" t="s">
        <v>245</v>
      </c>
      <c r="AD285" t="s">
        <v>246</v>
      </c>
    </row>
    <row r="286" spans="2:30" x14ac:dyDescent="0.25">
      <c r="B286" s="1" t="s">
        <v>882</v>
      </c>
      <c r="C286">
        <v>285</v>
      </c>
      <c r="D286" s="1" t="s">
        <v>82</v>
      </c>
      <c r="E286" t="s">
        <v>152</v>
      </c>
      <c r="F286" s="1" t="s">
        <v>913</v>
      </c>
      <c r="G286">
        <v>3800</v>
      </c>
      <c r="H286">
        <v>73</v>
      </c>
      <c r="I286">
        <v>3813</v>
      </c>
      <c r="L286">
        <v>1164</v>
      </c>
      <c r="M286">
        <v>1164</v>
      </c>
      <c r="N286">
        <v>4.4390412083610808</v>
      </c>
      <c r="O286" s="1"/>
      <c r="Q286" s="1"/>
      <c r="AC286" s="1"/>
    </row>
    <row r="287" spans="2:30" x14ac:dyDescent="0.25">
      <c r="B287" s="1" t="s">
        <v>900</v>
      </c>
      <c r="C287">
        <v>286</v>
      </c>
      <c r="D287" s="1" t="s">
        <v>82</v>
      </c>
      <c r="E287" t="s">
        <v>152</v>
      </c>
      <c r="F287" s="1" t="s">
        <v>913</v>
      </c>
      <c r="G287">
        <v>3800</v>
      </c>
      <c r="H287">
        <v>72</v>
      </c>
      <c r="I287">
        <v>3813</v>
      </c>
      <c r="L287">
        <v>882</v>
      </c>
      <c r="M287">
        <v>959</v>
      </c>
      <c r="N287">
        <v>3.6558491197690208</v>
      </c>
      <c r="O287" s="1"/>
      <c r="Q287" s="1"/>
      <c r="AC287" s="1"/>
    </row>
    <row r="288" spans="2:30" x14ac:dyDescent="0.25">
      <c r="B288" s="1" t="s">
        <v>884</v>
      </c>
      <c r="C288">
        <v>287</v>
      </c>
      <c r="D288" s="1" t="s">
        <v>82</v>
      </c>
      <c r="E288" t="s">
        <v>152</v>
      </c>
      <c r="F288" s="1" t="s">
        <v>915</v>
      </c>
      <c r="G288">
        <v>4044</v>
      </c>
      <c r="H288">
        <v>73</v>
      </c>
      <c r="I288">
        <v>4070</v>
      </c>
      <c r="L288">
        <v>1164</v>
      </c>
      <c r="M288">
        <v>1164</v>
      </c>
      <c r="N288">
        <v>4.7369922802855067</v>
      </c>
      <c r="O288" s="1"/>
      <c r="Q288" s="1"/>
      <c r="AC288" s="1"/>
    </row>
    <row r="289" spans="2:29" x14ac:dyDescent="0.25">
      <c r="B289" s="1" t="s">
        <v>903</v>
      </c>
      <c r="C289">
        <v>288</v>
      </c>
      <c r="D289" s="1" t="s">
        <v>82</v>
      </c>
      <c r="E289" t="s">
        <v>152</v>
      </c>
      <c r="F289" s="1" t="s">
        <v>915</v>
      </c>
      <c r="G289">
        <v>4044</v>
      </c>
      <c r="H289">
        <v>72</v>
      </c>
      <c r="I289">
        <v>4070</v>
      </c>
      <c r="L289">
        <v>882</v>
      </c>
      <c r="M289">
        <v>959</v>
      </c>
      <c r="N289">
        <v>3.9022094189030589</v>
      </c>
      <c r="O289" s="1"/>
      <c r="Q289" s="1"/>
      <c r="AC289" s="1"/>
    </row>
    <row r="290" spans="2:29" x14ac:dyDescent="0.25">
      <c r="B290" s="1" t="s">
        <v>883</v>
      </c>
      <c r="C290">
        <v>289</v>
      </c>
      <c r="D290" s="1" t="s">
        <v>82</v>
      </c>
      <c r="E290" t="s">
        <v>152</v>
      </c>
      <c r="F290" s="1" t="s">
        <v>914</v>
      </c>
      <c r="G290">
        <v>4044</v>
      </c>
      <c r="H290">
        <v>73</v>
      </c>
      <c r="I290">
        <v>4070</v>
      </c>
      <c r="L290">
        <v>1164</v>
      </c>
      <c r="M290">
        <v>1164</v>
      </c>
      <c r="N290">
        <v>4.7381737795061003</v>
      </c>
      <c r="O290" s="1"/>
      <c r="Q290" s="1"/>
      <c r="AC290" s="1"/>
    </row>
    <row r="291" spans="2:29" x14ac:dyDescent="0.25">
      <c r="B291" s="1" t="s">
        <v>901</v>
      </c>
      <c r="C291">
        <v>290</v>
      </c>
      <c r="D291" s="1" t="s">
        <v>82</v>
      </c>
      <c r="E291" t="s">
        <v>152</v>
      </c>
      <c r="F291" s="1" t="s">
        <v>914</v>
      </c>
      <c r="G291">
        <v>4044</v>
      </c>
      <c r="H291">
        <v>72</v>
      </c>
      <c r="I291">
        <v>4070</v>
      </c>
      <c r="L291">
        <v>882</v>
      </c>
      <c r="M291">
        <v>959</v>
      </c>
      <c r="N291">
        <v>3.9022043019355688</v>
      </c>
      <c r="O291" s="1"/>
      <c r="Q291" s="1"/>
      <c r="AC291" s="1"/>
    </row>
    <row r="292" spans="2:29" x14ac:dyDescent="0.25">
      <c r="B292" s="1" t="s">
        <v>885</v>
      </c>
      <c r="C292">
        <v>291</v>
      </c>
      <c r="D292" s="1" t="s">
        <v>82</v>
      </c>
      <c r="E292" t="s">
        <v>152</v>
      </c>
      <c r="F292" s="1" t="s">
        <v>916</v>
      </c>
      <c r="G292">
        <v>4044</v>
      </c>
      <c r="H292">
        <v>73</v>
      </c>
      <c r="I292">
        <v>4070</v>
      </c>
      <c r="L292">
        <v>1164</v>
      </c>
      <c r="M292">
        <v>1164</v>
      </c>
      <c r="N292">
        <v>4.7369860194343323</v>
      </c>
      <c r="O292" s="1"/>
      <c r="Q292" s="1"/>
      <c r="AC292" s="1"/>
    </row>
    <row r="293" spans="2:29" x14ac:dyDescent="0.25">
      <c r="B293" s="1" t="s">
        <v>902</v>
      </c>
      <c r="C293">
        <v>292</v>
      </c>
      <c r="D293" s="1" t="s">
        <v>82</v>
      </c>
      <c r="E293" t="s">
        <v>152</v>
      </c>
      <c r="F293" s="1" t="s">
        <v>916</v>
      </c>
      <c r="G293">
        <v>4044</v>
      </c>
      <c r="H293">
        <v>72</v>
      </c>
      <c r="I293">
        <v>4070</v>
      </c>
      <c r="L293">
        <v>882</v>
      </c>
      <c r="M293">
        <v>959</v>
      </c>
      <c r="N293">
        <v>3.9021998955018544</v>
      </c>
      <c r="O293" s="1"/>
      <c r="Q293" s="1"/>
      <c r="AC293" s="1"/>
    </row>
    <row r="294" spans="2:29" x14ac:dyDescent="0.25">
      <c r="B294" s="1" t="s">
        <v>881</v>
      </c>
      <c r="C294">
        <v>293</v>
      </c>
      <c r="D294" s="1" t="s">
        <v>82</v>
      </c>
      <c r="E294" t="s">
        <v>152</v>
      </c>
      <c r="F294" s="1" t="s">
        <v>911</v>
      </c>
      <c r="G294">
        <v>3972</v>
      </c>
      <c r="H294">
        <v>73</v>
      </c>
      <c r="I294">
        <v>4000</v>
      </c>
      <c r="L294">
        <v>1164</v>
      </c>
      <c r="M294">
        <v>1164</v>
      </c>
      <c r="N294">
        <v>4.6552696167838548</v>
      </c>
      <c r="O294" s="1"/>
      <c r="Q294" s="1"/>
      <c r="AC294" s="1"/>
    </row>
    <row r="295" spans="2:29" x14ac:dyDescent="0.25">
      <c r="B295" s="1" t="s">
        <v>896</v>
      </c>
      <c r="C295">
        <v>294</v>
      </c>
      <c r="D295" s="1" t="s">
        <v>82</v>
      </c>
      <c r="E295" t="s">
        <v>152</v>
      </c>
      <c r="F295" s="1" t="s">
        <v>911</v>
      </c>
      <c r="G295">
        <v>3972</v>
      </c>
      <c r="H295">
        <v>72</v>
      </c>
      <c r="I295">
        <v>4000</v>
      </c>
      <c r="L295">
        <v>882</v>
      </c>
      <c r="M295">
        <v>959</v>
      </c>
      <c r="N295">
        <v>3.835043762321781</v>
      </c>
      <c r="O295" s="1"/>
      <c r="Q295" s="1"/>
      <c r="AC295" s="1"/>
    </row>
    <row r="296" spans="2:29" x14ac:dyDescent="0.25">
      <c r="B296" s="1" t="s">
        <v>895</v>
      </c>
      <c r="C296">
        <v>295</v>
      </c>
      <c r="D296" s="1" t="s">
        <v>82</v>
      </c>
      <c r="E296" t="s">
        <v>152</v>
      </c>
      <c r="F296" s="1" t="s">
        <v>930</v>
      </c>
      <c r="G296">
        <v>3875</v>
      </c>
      <c r="H296">
        <v>73</v>
      </c>
      <c r="I296">
        <v>3875</v>
      </c>
      <c r="L296">
        <v>1164</v>
      </c>
      <c r="M296">
        <v>1164</v>
      </c>
      <c r="N296">
        <v>4.5116501882633164</v>
      </c>
      <c r="O296" s="1"/>
      <c r="Q296" s="1"/>
      <c r="AC296" s="1"/>
    </row>
    <row r="297" spans="2:29" x14ac:dyDescent="0.25">
      <c r="B297" s="1" t="s">
        <v>908</v>
      </c>
      <c r="C297">
        <v>296</v>
      </c>
      <c r="D297" s="1" t="s">
        <v>82</v>
      </c>
      <c r="E297" t="s">
        <v>152</v>
      </c>
      <c r="F297" s="1" t="s">
        <v>930</v>
      </c>
      <c r="G297">
        <v>3875</v>
      </c>
      <c r="H297">
        <v>72</v>
      </c>
      <c r="I297">
        <v>3875</v>
      </c>
      <c r="L297">
        <v>882</v>
      </c>
      <c r="M297">
        <v>2000</v>
      </c>
      <c r="N297">
        <v>7.7495235019832522</v>
      </c>
      <c r="O297" s="1"/>
      <c r="Q297" s="1"/>
      <c r="AC297" s="1"/>
    </row>
    <row r="298" spans="2:29" x14ac:dyDescent="0.25">
      <c r="B298" s="1" t="s">
        <v>893</v>
      </c>
      <c r="C298">
        <v>297</v>
      </c>
      <c r="D298" s="1" t="s">
        <v>82</v>
      </c>
      <c r="E298" t="s">
        <v>152</v>
      </c>
      <c r="F298" s="1" t="s">
        <v>928</v>
      </c>
      <c r="G298">
        <v>4121</v>
      </c>
      <c r="H298">
        <v>73</v>
      </c>
      <c r="I298">
        <v>4134</v>
      </c>
      <c r="L298">
        <v>1164</v>
      </c>
      <c r="M298">
        <v>1164</v>
      </c>
      <c r="N298">
        <v>4.8124474921891256</v>
      </c>
      <c r="O298" s="1"/>
      <c r="Q298" s="1"/>
      <c r="AC298" s="1"/>
    </row>
    <row r="299" spans="2:29" x14ac:dyDescent="0.25">
      <c r="B299" s="1" t="s">
        <v>906</v>
      </c>
      <c r="C299">
        <v>298</v>
      </c>
      <c r="D299" s="1" t="s">
        <v>82</v>
      </c>
      <c r="E299" t="s">
        <v>152</v>
      </c>
      <c r="F299" s="1" t="s">
        <v>928</v>
      </c>
      <c r="G299">
        <v>4121</v>
      </c>
      <c r="H299">
        <v>72</v>
      </c>
      <c r="I299">
        <v>4134</v>
      </c>
      <c r="L299">
        <v>882</v>
      </c>
      <c r="M299">
        <v>2000</v>
      </c>
      <c r="N299">
        <v>8.2672532415202369</v>
      </c>
      <c r="O299" s="1"/>
      <c r="Q299" s="1"/>
      <c r="AC299" s="1"/>
    </row>
    <row r="300" spans="2:29" x14ac:dyDescent="0.25">
      <c r="B300" s="1" t="s">
        <v>892</v>
      </c>
      <c r="C300">
        <v>299</v>
      </c>
      <c r="D300" s="1" t="s">
        <v>82</v>
      </c>
      <c r="E300" t="s">
        <v>152</v>
      </c>
      <c r="F300" s="1" t="s">
        <v>926</v>
      </c>
      <c r="G300">
        <v>4044</v>
      </c>
      <c r="H300">
        <v>73</v>
      </c>
      <c r="I300">
        <v>4070</v>
      </c>
      <c r="L300">
        <v>1164</v>
      </c>
      <c r="M300">
        <v>1164</v>
      </c>
      <c r="N300">
        <v>4.7381733326017885</v>
      </c>
      <c r="O300" s="1"/>
      <c r="Q300" s="1"/>
      <c r="AC300" s="1"/>
    </row>
    <row r="301" spans="2:29" x14ac:dyDescent="0.25">
      <c r="B301" s="1" t="s">
        <v>905</v>
      </c>
      <c r="C301">
        <v>300</v>
      </c>
      <c r="D301" s="1" t="s">
        <v>82</v>
      </c>
      <c r="E301" t="s">
        <v>152</v>
      </c>
      <c r="F301" s="1" t="s">
        <v>926</v>
      </c>
      <c r="G301">
        <v>4044</v>
      </c>
      <c r="H301">
        <v>72</v>
      </c>
      <c r="I301">
        <v>4070</v>
      </c>
      <c r="L301">
        <v>882</v>
      </c>
      <c r="M301">
        <v>959</v>
      </c>
      <c r="N301">
        <v>3.9022025876507884</v>
      </c>
      <c r="O301" s="1"/>
      <c r="Q301" s="1"/>
      <c r="AC301" s="1"/>
    </row>
    <row r="302" spans="2:29" x14ac:dyDescent="0.25">
      <c r="B302" s="1" t="s">
        <v>894</v>
      </c>
      <c r="C302">
        <v>301</v>
      </c>
      <c r="D302" s="1" t="s">
        <v>82</v>
      </c>
      <c r="E302" t="s">
        <v>152</v>
      </c>
      <c r="F302" s="1" t="s">
        <v>929</v>
      </c>
      <c r="G302">
        <v>4044</v>
      </c>
      <c r="H302">
        <v>73</v>
      </c>
      <c r="I302">
        <v>4070</v>
      </c>
      <c r="L302">
        <v>1164</v>
      </c>
      <c r="M302">
        <v>1164</v>
      </c>
      <c r="N302">
        <v>4.7369839497827364</v>
      </c>
      <c r="O302" s="1"/>
      <c r="Q302" s="1"/>
      <c r="AC302" s="1"/>
    </row>
    <row r="303" spans="2:29" x14ac:dyDescent="0.25">
      <c r="B303" s="1" t="s">
        <v>904</v>
      </c>
      <c r="C303">
        <v>302</v>
      </c>
      <c r="D303" s="1" t="s">
        <v>82</v>
      </c>
      <c r="E303" t="s">
        <v>152</v>
      </c>
      <c r="F303" s="1" t="s">
        <v>929</v>
      </c>
      <c r="G303">
        <v>4044</v>
      </c>
      <c r="H303">
        <v>72</v>
      </c>
      <c r="I303">
        <v>4070</v>
      </c>
      <c r="L303">
        <v>882</v>
      </c>
      <c r="M303">
        <v>959</v>
      </c>
      <c r="N303">
        <v>3.9021993298307684</v>
      </c>
      <c r="O303" s="1"/>
      <c r="Q303" s="1"/>
      <c r="AC303" s="1"/>
    </row>
    <row r="304" spans="2:29" x14ac:dyDescent="0.25">
      <c r="B304" s="1" t="s">
        <v>889</v>
      </c>
      <c r="C304">
        <v>303</v>
      </c>
      <c r="D304" s="1" t="s">
        <v>82</v>
      </c>
      <c r="E304" t="s">
        <v>152</v>
      </c>
      <c r="F304" s="1" t="s">
        <v>921</v>
      </c>
      <c r="G304">
        <v>3972</v>
      </c>
      <c r="H304">
        <v>73</v>
      </c>
      <c r="I304">
        <v>4000</v>
      </c>
      <c r="L304">
        <v>1164</v>
      </c>
      <c r="M304">
        <v>1164</v>
      </c>
      <c r="N304">
        <v>4.6552665910458497</v>
      </c>
      <c r="O304" s="1"/>
      <c r="Q304" s="1"/>
      <c r="AC304" s="1"/>
    </row>
    <row r="305" spans="2:29" x14ac:dyDescent="0.25">
      <c r="B305" s="1" t="s">
        <v>899</v>
      </c>
      <c r="C305">
        <v>304</v>
      </c>
      <c r="D305" s="1" t="s">
        <v>82</v>
      </c>
      <c r="E305" t="s">
        <v>152</v>
      </c>
      <c r="F305" s="1" t="s">
        <v>921</v>
      </c>
      <c r="G305">
        <v>3972</v>
      </c>
      <c r="H305">
        <v>72</v>
      </c>
      <c r="I305">
        <v>4000</v>
      </c>
      <c r="L305">
        <v>882</v>
      </c>
      <c r="M305">
        <v>959</v>
      </c>
      <c r="N305">
        <v>3.8350412396646267</v>
      </c>
      <c r="O305" s="1"/>
      <c r="Q305" s="1"/>
      <c r="AC305" s="1"/>
    </row>
    <row r="306" spans="2:29" x14ac:dyDescent="0.25">
      <c r="B306" s="1" t="s">
        <v>891</v>
      </c>
      <c r="C306">
        <v>305</v>
      </c>
      <c r="D306" s="1" t="s">
        <v>82</v>
      </c>
      <c r="E306" t="s">
        <v>152</v>
      </c>
      <c r="F306" s="1" t="s">
        <v>924</v>
      </c>
      <c r="G306">
        <v>3875</v>
      </c>
      <c r="H306">
        <v>73</v>
      </c>
      <c r="I306">
        <v>3875</v>
      </c>
      <c r="L306">
        <v>1164</v>
      </c>
      <c r="M306">
        <v>1164</v>
      </c>
      <c r="N306">
        <v>4.5116501856109847</v>
      </c>
      <c r="O306" s="1"/>
      <c r="Q306" s="1"/>
      <c r="AC306" s="1"/>
    </row>
    <row r="307" spans="2:29" x14ac:dyDescent="0.25">
      <c r="B307" s="1" t="s">
        <v>909</v>
      </c>
      <c r="C307">
        <v>306</v>
      </c>
      <c r="D307" s="1" t="s">
        <v>82</v>
      </c>
      <c r="E307" t="s">
        <v>152</v>
      </c>
      <c r="F307" s="1" t="s">
        <v>924</v>
      </c>
      <c r="G307">
        <v>3875</v>
      </c>
      <c r="H307">
        <v>72</v>
      </c>
      <c r="I307">
        <v>3875</v>
      </c>
      <c r="L307">
        <v>882</v>
      </c>
      <c r="M307">
        <v>2000</v>
      </c>
      <c r="N307">
        <v>7.7495234422298918</v>
      </c>
      <c r="O307" s="1"/>
      <c r="Q307" s="1"/>
      <c r="AC307" s="1"/>
    </row>
    <row r="308" spans="2:29" x14ac:dyDescent="0.25">
      <c r="B308" s="1" t="s">
        <v>890</v>
      </c>
      <c r="C308">
        <v>307</v>
      </c>
      <c r="D308" s="1" t="s">
        <v>82</v>
      </c>
      <c r="E308" t="s">
        <v>152</v>
      </c>
      <c r="F308" s="1" t="s">
        <v>923</v>
      </c>
      <c r="G308">
        <v>4196</v>
      </c>
      <c r="H308">
        <v>73</v>
      </c>
      <c r="I308">
        <v>4196</v>
      </c>
      <c r="L308">
        <v>1164</v>
      </c>
      <c r="M308">
        <v>1164</v>
      </c>
      <c r="N308">
        <v>4.8836184967574345</v>
      </c>
      <c r="O308" s="1"/>
      <c r="Q308" s="1"/>
      <c r="AC308" s="1"/>
    </row>
    <row r="309" spans="2:29" x14ac:dyDescent="0.25">
      <c r="B309" s="1" t="s">
        <v>910</v>
      </c>
      <c r="C309">
        <v>308</v>
      </c>
      <c r="D309" s="1" t="s">
        <v>82</v>
      </c>
      <c r="E309" t="s">
        <v>152</v>
      </c>
      <c r="F309" s="1" t="s">
        <v>923</v>
      </c>
      <c r="G309">
        <v>4196</v>
      </c>
      <c r="H309">
        <v>72</v>
      </c>
      <c r="I309">
        <v>4196</v>
      </c>
      <c r="L309">
        <v>882</v>
      </c>
      <c r="M309">
        <v>2000</v>
      </c>
      <c r="N309">
        <v>8.39196781462263</v>
      </c>
      <c r="O309" s="1"/>
      <c r="Q309" s="1"/>
      <c r="AC309" s="1"/>
    </row>
    <row r="310" spans="2:29" x14ac:dyDescent="0.25">
      <c r="B310" s="1" t="s">
        <v>888</v>
      </c>
      <c r="C310">
        <v>309</v>
      </c>
      <c r="D310" s="1" t="s">
        <v>82</v>
      </c>
      <c r="E310" t="s">
        <v>152</v>
      </c>
      <c r="F310" s="1" t="s">
        <v>920</v>
      </c>
      <c r="G310">
        <v>4121</v>
      </c>
      <c r="H310">
        <v>73</v>
      </c>
      <c r="I310">
        <v>4134</v>
      </c>
      <c r="L310">
        <v>1164</v>
      </c>
      <c r="M310">
        <v>1164</v>
      </c>
      <c r="N310">
        <v>4.8124029461298736</v>
      </c>
      <c r="O310" s="1"/>
      <c r="Q310" s="1"/>
      <c r="AC310" s="1"/>
    </row>
    <row r="311" spans="2:29" x14ac:dyDescent="0.25">
      <c r="B311" s="1" t="s">
        <v>897</v>
      </c>
      <c r="C311">
        <v>310</v>
      </c>
      <c r="D311" s="1" t="s">
        <v>82</v>
      </c>
      <c r="E311" t="s">
        <v>152</v>
      </c>
      <c r="F311" s="1" t="s">
        <v>920</v>
      </c>
      <c r="G311">
        <v>4121</v>
      </c>
      <c r="H311">
        <v>72</v>
      </c>
      <c r="I311">
        <v>4134</v>
      </c>
      <c r="L311">
        <v>882</v>
      </c>
      <c r="M311">
        <v>2000</v>
      </c>
      <c r="N311">
        <v>8.2671774619412695</v>
      </c>
      <c r="O311" s="1"/>
      <c r="Q311" s="1"/>
      <c r="AC311" s="1"/>
    </row>
    <row r="312" spans="2:29" x14ac:dyDescent="0.25">
      <c r="B312" s="1" t="s">
        <v>887</v>
      </c>
      <c r="C312">
        <v>311</v>
      </c>
      <c r="D312" s="1" t="s">
        <v>82</v>
      </c>
      <c r="E312" t="s">
        <v>152</v>
      </c>
      <c r="F312" s="1" t="s">
        <v>919</v>
      </c>
      <c r="G312">
        <v>4120</v>
      </c>
      <c r="H312">
        <v>73</v>
      </c>
      <c r="I312">
        <v>4132</v>
      </c>
      <c r="L312">
        <v>1164</v>
      </c>
      <c r="M312">
        <v>1164</v>
      </c>
      <c r="N312">
        <v>4.8094610226826893</v>
      </c>
      <c r="O312" s="1"/>
      <c r="Q312" s="1"/>
      <c r="AC312" s="1"/>
    </row>
    <row r="313" spans="2:29" x14ac:dyDescent="0.25">
      <c r="B313" s="1" t="s">
        <v>898</v>
      </c>
      <c r="C313">
        <v>312</v>
      </c>
      <c r="D313" s="1" t="s">
        <v>82</v>
      </c>
      <c r="E313" t="s">
        <v>152</v>
      </c>
      <c r="F313" s="1" t="s">
        <v>919</v>
      </c>
      <c r="G313">
        <v>4120</v>
      </c>
      <c r="H313">
        <v>72</v>
      </c>
      <c r="I313">
        <v>4132</v>
      </c>
      <c r="L313">
        <v>882</v>
      </c>
      <c r="M313">
        <v>2065</v>
      </c>
      <c r="N313">
        <v>8.5332504641951825</v>
      </c>
      <c r="O313" s="1"/>
      <c r="Q313" s="1"/>
      <c r="AC313" s="1"/>
    </row>
    <row r="314" spans="2:29" x14ac:dyDescent="0.25">
      <c r="B314" s="1" t="s">
        <v>886</v>
      </c>
      <c r="C314">
        <v>313</v>
      </c>
      <c r="D314" s="1" t="s">
        <v>82</v>
      </c>
      <c r="E314" t="s">
        <v>152</v>
      </c>
      <c r="F314" s="1" t="s">
        <v>918</v>
      </c>
      <c r="G314">
        <v>4049</v>
      </c>
      <c r="H314">
        <v>73</v>
      </c>
      <c r="I314">
        <v>4064</v>
      </c>
      <c r="L314">
        <v>1164</v>
      </c>
      <c r="M314">
        <v>1164</v>
      </c>
      <c r="N314">
        <v>4.7288161494549872</v>
      </c>
      <c r="O314" s="1"/>
      <c r="Q314" s="1"/>
      <c r="AC314" s="1"/>
    </row>
    <row r="315" spans="2:29" x14ac:dyDescent="0.25">
      <c r="B315" s="1" t="s">
        <v>907</v>
      </c>
      <c r="C315">
        <v>314</v>
      </c>
      <c r="D315" s="1" t="s">
        <v>82</v>
      </c>
      <c r="E315" t="s">
        <v>152</v>
      </c>
      <c r="F315" s="1" t="s">
        <v>918</v>
      </c>
      <c r="G315">
        <v>4049</v>
      </c>
      <c r="H315">
        <v>72</v>
      </c>
      <c r="I315">
        <v>4064</v>
      </c>
      <c r="L315">
        <v>882</v>
      </c>
      <c r="M315">
        <v>2000</v>
      </c>
      <c r="N315">
        <v>8.1257112305927439</v>
      </c>
      <c r="O315" s="1"/>
      <c r="Q315" s="1"/>
      <c r="AC315" s="1"/>
    </row>
    <row r="316" spans="2:29" x14ac:dyDescent="0.25">
      <c r="B316" s="1" t="s">
        <v>1102</v>
      </c>
      <c r="C316">
        <v>315</v>
      </c>
      <c r="D316" s="1" t="s">
        <v>80</v>
      </c>
      <c r="E316" t="s">
        <v>1160</v>
      </c>
      <c r="F316" s="1" t="s">
        <v>1161</v>
      </c>
      <c r="G316">
        <v>2921</v>
      </c>
      <c r="H316">
        <v>152</v>
      </c>
      <c r="I316">
        <v>2921</v>
      </c>
      <c r="O316" s="1"/>
      <c r="Q316" s="1"/>
      <c r="V316">
        <v>100</v>
      </c>
      <c r="W316">
        <v>638</v>
      </c>
      <c r="X316">
        <v>650</v>
      </c>
      <c r="Z316">
        <v>1.8637941130268252</v>
      </c>
      <c r="AC316" s="1"/>
    </row>
    <row r="317" spans="2:29" x14ac:dyDescent="0.25">
      <c r="B317" s="1" t="s">
        <v>1103</v>
      </c>
      <c r="C317">
        <v>316</v>
      </c>
      <c r="D317" s="1" t="s">
        <v>80</v>
      </c>
      <c r="E317" t="s">
        <v>1162</v>
      </c>
      <c r="F317" s="1" t="s">
        <v>1161</v>
      </c>
      <c r="G317">
        <v>3487</v>
      </c>
      <c r="H317">
        <v>152</v>
      </c>
      <c r="I317">
        <v>3487</v>
      </c>
      <c r="O317" s="1"/>
      <c r="Q317" s="1"/>
      <c r="V317">
        <v>100</v>
      </c>
      <c r="W317">
        <v>638</v>
      </c>
      <c r="X317">
        <v>650</v>
      </c>
      <c r="Z317">
        <v>2.2248849574279994</v>
      </c>
      <c r="AC317" s="1"/>
    </row>
    <row r="318" spans="2:29" x14ac:dyDescent="0.25">
      <c r="B318" s="1" t="s">
        <v>1104</v>
      </c>
      <c r="C318">
        <v>317</v>
      </c>
      <c r="D318" s="1" t="s">
        <v>80</v>
      </c>
      <c r="E318" t="s">
        <v>1160</v>
      </c>
      <c r="F318" s="1" t="s">
        <v>1161</v>
      </c>
      <c r="G318">
        <v>3735</v>
      </c>
      <c r="H318">
        <v>152</v>
      </c>
      <c r="I318">
        <v>3735</v>
      </c>
      <c r="O318" s="1"/>
      <c r="Q318" s="1"/>
      <c r="V318">
        <v>100</v>
      </c>
      <c r="W318">
        <v>638</v>
      </c>
      <c r="X318">
        <v>650</v>
      </c>
      <c r="Z318">
        <v>2.3830340708601998</v>
      </c>
      <c r="AC318" s="1"/>
    </row>
    <row r="319" spans="2:29" x14ac:dyDescent="0.25">
      <c r="B319" s="1" t="s">
        <v>1105</v>
      </c>
      <c r="C319">
        <v>318</v>
      </c>
      <c r="D319" s="1" t="s">
        <v>80</v>
      </c>
      <c r="E319" t="s">
        <v>1160</v>
      </c>
      <c r="F319" s="1" t="s">
        <v>1161</v>
      </c>
      <c r="G319">
        <v>3666</v>
      </c>
      <c r="H319">
        <v>152</v>
      </c>
      <c r="I319">
        <v>3666</v>
      </c>
      <c r="O319" s="1"/>
      <c r="Q319" s="1"/>
      <c r="V319">
        <v>100</v>
      </c>
      <c r="W319">
        <v>638</v>
      </c>
      <c r="X319">
        <v>650</v>
      </c>
      <c r="Z319">
        <v>2.3389009253576902</v>
      </c>
      <c r="AC319" s="1"/>
    </row>
    <row r="320" spans="2:29" x14ac:dyDescent="0.25">
      <c r="B320" s="1" t="s">
        <v>1106</v>
      </c>
      <c r="C320">
        <v>319</v>
      </c>
      <c r="D320" s="1" t="s">
        <v>80</v>
      </c>
      <c r="E320" t="s">
        <v>1160</v>
      </c>
      <c r="F320" s="1" t="s">
        <v>1161</v>
      </c>
      <c r="G320">
        <v>4165</v>
      </c>
      <c r="H320">
        <v>152</v>
      </c>
      <c r="I320">
        <v>4165</v>
      </c>
      <c r="O320" s="1"/>
      <c r="Q320" s="1"/>
      <c r="V320">
        <v>100</v>
      </c>
      <c r="W320">
        <v>660</v>
      </c>
      <c r="X320">
        <v>672</v>
      </c>
      <c r="Z320">
        <v>2.7490263304238205</v>
      </c>
      <c r="AC320" s="1"/>
    </row>
    <row r="321" spans="2:29" x14ac:dyDescent="0.25">
      <c r="B321" s="1" t="s">
        <v>1107</v>
      </c>
      <c r="C321">
        <v>320</v>
      </c>
      <c r="D321" s="1" t="s">
        <v>80</v>
      </c>
      <c r="E321" t="s">
        <v>1160</v>
      </c>
      <c r="F321" s="1" t="s">
        <v>1161</v>
      </c>
      <c r="G321">
        <v>3666</v>
      </c>
      <c r="H321">
        <v>152</v>
      </c>
      <c r="I321">
        <v>3666</v>
      </c>
      <c r="O321" s="1"/>
      <c r="Q321" s="1"/>
      <c r="V321">
        <v>100</v>
      </c>
      <c r="W321">
        <v>660</v>
      </c>
      <c r="X321">
        <v>672</v>
      </c>
      <c r="Z321">
        <v>2.4195501328326898</v>
      </c>
      <c r="AC321" s="1"/>
    </row>
    <row r="322" spans="2:29" x14ac:dyDescent="0.25">
      <c r="B322" s="1" t="s">
        <v>1108</v>
      </c>
      <c r="C322">
        <v>321</v>
      </c>
      <c r="D322" s="1" t="s">
        <v>80</v>
      </c>
      <c r="E322" t="s">
        <v>1160</v>
      </c>
      <c r="F322" s="1" t="s">
        <v>1161</v>
      </c>
      <c r="G322">
        <v>4109</v>
      </c>
      <c r="H322">
        <v>152</v>
      </c>
      <c r="I322">
        <v>4109</v>
      </c>
      <c r="O322" s="1"/>
      <c r="Q322" s="1"/>
      <c r="V322">
        <v>100</v>
      </c>
      <c r="W322">
        <v>660</v>
      </c>
      <c r="X322">
        <v>672</v>
      </c>
      <c r="Z322">
        <v>2.7118348383337425</v>
      </c>
      <c r="AC322" s="1"/>
    </row>
    <row r="323" spans="2:29" x14ac:dyDescent="0.25">
      <c r="B323" s="1" t="s">
        <v>1109</v>
      </c>
      <c r="C323">
        <v>322</v>
      </c>
      <c r="D323" s="1" t="s">
        <v>80</v>
      </c>
      <c r="E323" t="s">
        <v>1160</v>
      </c>
      <c r="F323" s="1" t="s">
        <v>1161</v>
      </c>
      <c r="G323">
        <v>3735</v>
      </c>
      <c r="H323">
        <v>152</v>
      </c>
      <c r="I323">
        <v>3735</v>
      </c>
      <c r="O323" s="1"/>
      <c r="Q323" s="1"/>
      <c r="V323">
        <v>100</v>
      </c>
      <c r="W323">
        <v>638</v>
      </c>
      <c r="X323">
        <v>650</v>
      </c>
      <c r="Z323">
        <v>2.3831839730040416</v>
      </c>
      <c r="AC323" s="1"/>
    </row>
    <row r="324" spans="2:29" x14ac:dyDescent="0.25">
      <c r="B324" s="1" t="s">
        <v>1110</v>
      </c>
      <c r="C324">
        <v>323</v>
      </c>
      <c r="D324" s="1" t="s">
        <v>80</v>
      </c>
      <c r="E324" t="s">
        <v>1160</v>
      </c>
      <c r="F324" s="1" t="s">
        <v>1161</v>
      </c>
      <c r="G324">
        <v>4113</v>
      </c>
      <c r="H324">
        <v>152</v>
      </c>
      <c r="I324">
        <v>4113</v>
      </c>
      <c r="O324" s="1"/>
      <c r="Q324" s="1"/>
      <c r="V324">
        <v>100</v>
      </c>
      <c r="W324">
        <v>638</v>
      </c>
      <c r="X324">
        <v>650</v>
      </c>
      <c r="Z324">
        <v>2.6239783744312226</v>
      </c>
      <c r="AC324" s="1"/>
    </row>
    <row r="325" spans="2:29" x14ac:dyDescent="0.25">
      <c r="B325" s="1" t="s">
        <v>1111</v>
      </c>
      <c r="C325">
        <v>324</v>
      </c>
      <c r="D325" s="1" t="s">
        <v>80</v>
      </c>
      <c r="E325" t="s">
        <v>1160</v>
      </c>
      <c r="F325" s="1" t="s">
        <v>1161</v>
      </c>
      <c r="G325">
        <v>3736</v>
      </c>
      <c r="H325">
        <v>152</v>
      </c>
      <c r="I325">
        <v>3736</v>
      </c>
      <c r="O325" s="1"/>
      <c r="Q325" s="1"/>
      <c r="V325">
        <v>100</v>
      </c>
      <c r="W325">
        <v>638</v>
      </c>
      <c r="X325">
        <v>650</v>
      </c>
      <c r="Z325">
        <v>2.3835593598760885</v>
      </c>
      <c r="AC325" s="1"/>
    </row>
    <row r="326" spans="2:29" x14ac:dyDescent="0.25">
      <c r="B326" s="1" t="s">
        <v>1112</v>
      </c>
      <c r="C326">
        <v>325</v>
      </c>
      <c r="D326" s="1" t="s">
        <v>80</v>
      </c>
      <c r="E326" t="s">
        <v>1160</v>
      </c>
      <c r="F326" s="1" t="s">
        <v>1161</v>
      </c>
      <c r="G326">
        <v>4113</v>
      </c>
      <c r="H326">
        <v>152</v>
      </c>
      <c r="I326">
        <v>4113</v>
      </c>
      <c r="O326" s="1"/>
      <c r="Q326" s="1"/>
      <c r="V326">
        <v>100</v>
      </c>
      <c r="W326">
        <v>638</v>
      </c>
      <c r="X326">
        <v>650</v>
      </c>
      <c r="Z326">
        <v>2.6240674889478086</v>
      </c>
      <c r="AC326" s="1"/>
    </row>
    <row r="327" spans="2:29" x14ac:dyDescent="0.25">
      <c r="B327" s="1" t="s">
        <v>1113</v>
      </c>
      <c r="C327">
        <v>326</v>
      </c>
      <c r="D327" s="1" t="s">
        <v>80</v>
      </c>
      <c r="E327" t="s">
        <v>1160</v>
      </c>
      <c r="F327" s="1" t="s">
        <v>1161</v>
      </c>
      <c r="G327">
        <v>3736</v>
      </c>
      <c r="H327">
        <v>152</v>
      </c>
      <c r="I327">
        <v>3736</v>
      </c>
      <c r="O327" s="1"/>
      <c r="Q327" s="1"/>
      <c r="V327">
        <v>100</v>
      </c>
      <c r="W327">
        <v>638</v>
      </c>
      <c r="X327">
        <v>650</v>
      </c>
      <c r="Z327">
        <v>2.3835593598760885</v>
      </c>
      <c r="AC327" s="1"/>
    </row>
    <row r="328" spans="2:29" x14ac:dyDescent="0.25">
      <c r="B328" s="1" t="s">
        <v>1114</v>
      </c>
      <c r="C328">
        <v>327</v>
      </c>
      <c r="D328" s="1" t="s">
        <v>80</v>
      </c>
      <c r="E328" t="s">
        <v>1160</v>
      </c>
      <c r="F328" s="1" t="s">
        <v>1161</v>
      </c>
      <c r="G328">
        <v>4105</v>
      </c>
      <c r="H328">
        <v>152</v>
      </c>
      <c r="I328">
        <v>4105</v>
      </c>
      <c r="O328" s="1"/>
      <c r="Q328" s="1"/>
      <c r="V328">
        <v>100</v>
      </c>
      <c r="W328">
        <v>638</v>
      </c>
      <c r="X328">
        <v>650</v>
      </c>
      <c r="Z328">
        <v>2.6189935694599535</v>
      </c>
      <c r="AC328" s="1"/>
    </row>
    <row r="329" spans="2:29" x14ac:dyDescent="0.25">
      <c r="B329" s="1" t="s">
        <v>1115</v>
      </c>
      <c r="C329">
        <v>328</v>
      </c>
      <c r="D329" s="1" t="s">
        <v>80</v>
      </c>
      <c r="E329" t="s">
        <v>1162</v>
      </c>
      <c r="F329" s="1" t="s">
        <v>1161</v>
      </c>
      <c r="G329">
        <v>1446</v>
      </c>
      <c r="H329">
        <v>152</v>
      </c>
      <c r="I329">
        <v>1446</v>
      </c>
      <c r="O329" s="1"/>
      <c r="Q329" s="1"/>
      <c r="V329">
        <v>100</v>
      </c>
      <c r="W329">
        <v>638</v>
      </c>
      <c r="X329">
        <v>650</v>
      </c>
      <c r="Z329">
        <v>0.92228698497267492</v>
      </c>
      <c r="AC329" s="1"/>
    </row>
    <row r="330" spans="2:29" x14ac:dyDescent="0.25">
      <c r="B330" s="1" t="s">
        <v>1116</v>
      </c>
      <c r="C330">
        <v>329</v>
      </c>
      <c r="D330" s="1" t="s">
        <v>80</v>
      </c>
      <c r="E330" t="s">
        <v>1162</v>
      </c>
      <c r="F330" s="1" t="s">
        <v>1161</v>
      </c>
      <c r="G330">
        <v>1446</v>
      </c>
      <c r="H330">
        <v>152</v>
      </c>
      <c r="I330">
        <v>1446</v>
      </c>
      <c r="O330" s="1"/>
      <c r="Q330" s="1"/>
      <c r="V330">
        <v>100</v>
      </c>
      <c r="W330">
        <v>638</v>
      </c>
      <c r="X330">
        <v>650</v>
      </c>
      <c r="Z330">
        <v>0.92228698520554409</v>
      </c>
      <c r="AC330" s="1"/>
    </row>
    <row r="331" spans="2:29" x14ac:dyDescent="0.25">
      <c r="B331" s="1" t="s">
        <v>1117</v>
      </c>
      <c r="C331">
        <v>330</v>
      </c>
      <c r="D331" s="1" t="s">
        <v>80</v>
      </c>
      <c r="E331" t="s">
        <v>1160</v>
      </c>
      <c r="F331" s="1" t="s">
        <v>1161</v>
      </c>
      <c r="G331">
        <v>1456</v>
      </c>
      <c r="H331">
        <v>152</v>
      </c>
      <c r="I331">
        <v>1456</v>
      </c>
      <c r="O331" s="1"/>
      <c r="Q331" s="1"/>
      <c r="V331">
        <v>100</v>
      </c>
      <c r="W331">
        <v>660</v>
      </c>
      <c r="X331">
        <v>672</v>
      </c>
      <c r="Z331">
        <v>0.96104967032897382</v>
      </c>
      <c r="AC331" s="1"/>
    </row>
    <row r="332" spans="2:29" x14ac:dyDescent="0.25">
      <c r="B332" s="1" t="s">
        <v>1118</v>
      </c>
      <c r="C332">
        <v>331</v>
      </c>
      <c r="D332" s="1" t="s">
        <v>80</v>
      </c>
      <c r="E332" t="s">
        <v>1162</v>
      </c>
      <c r="F332" s="1" t="s">
        <v>1161</v>
      </c>
      <c r="G332">
        <v>2975</v>
      </c>
      <c r="H332">
        <v>152</v>
      </c>
      <c r="I332">
        <v>2975</v>
      </c>
      <c r="O332" s="1"/>
      <c r="Q332" s="1"/>
      <c r="V332">
        <v>100</v>
      </c>
      <c r="W332">
        <v>638</v>
      </c>
      <c r="X332">
        <v>650</v>
      </c>
      <c r="Z332">
        <v>1.8980451059024761</v>
      </c>
      <c r="AC332" s="1"/>
    </row>
    <row r="333" spans="2:29" x14ac:dyDescent="0.25">
      <c r="B333" s="1" t="s">
        <v>1119</v>
      </c>
      <c r="C333">
        <v>332</v>
      </c>
      <c r="D333" s="1" t="s">
        <v>80</v>
      </c>
      <c r="E333" t="s">
        <v>1160</v>
      </c>
      <c r="F333" s="1" t="s">
        <v>1161</v>
      </c>
      <c r="G333">
        <v>4165</v>
      </c>
      <c r="H333">
        <v>152</v>
      </c>
      <c r="I333">
        <v>4165</v>
      </c>
      <c r="O333" s="1"/>
      <c r="Q333" s="1"/>
      <c r="V333">
        <v>100</v>
      </c>
      <c r="W333">
        <v>638</v>
      </c>
      <c r="X333">
        <v>650</v>
      </c>
      <c r="Z333">
        <v>2.6573607312059897</v>
      </c>
      <c r="AC333" s="1"/>
    </row>
    <row r="334" spans="2:29" x14ac:dyDescent="0.25">
      <c r="B334" s="1" t="s">
        <v>1120</v>
      </c>
      <c r="C334">
        <v>333</v>
      </c>
      <c r="D334" s="1" t="s">
        <v>81</v>
      </c>
      <c r="E334" t="s">
        <v>1160</v>
      </c>
      <c r="F334" s="1" t="s">
        <v>1163</v>
      </c>
      <c r="G334">
        <v>3560</v>
      </c>
      <c r="H334">
        <v>152</v>
      </c>
      <c r="I334">
        <v>3560</v>
      </c>
      <c r="O334" s="1"/>
      <c r="Q334" s="1"/>
      <c r="V334">
        <v>100</v>
      </c>
      <c r="W334">
        <v>638</v>
      </c>
      <c r="X334">
        <v>650</v>
      </c>
      <c r="Z334">
        <v>2.2712754864319971</v>
      </c>
      <c r="AC334" s="1"/>
    </row>
    <row r="335" spans="2:29" x14ac:dyDescent="0.25">
      <c r="B335" s="1" t="s">
        <v>1121</v>
      </c>
      <c r="C335">
        <v>334</v>
      </c>
      <c r="D335" s="1" t="s">
        <v>81</v>
      </c>
      <c r="E335" t="s">
        <v>1160</v>
      </c>
      <c r="F335" s="1" t="s">
        <v>1163</v>
      </c>
      <c r="G335">
        <v>3560</v>
      </c>
      <c r="H335">
        <v>152</v>
      </c>
      <c r="I335">
        <v>3560</v>
      </c>
      <c r="O335" s="1"/>
      <c r="Q335" s="1"/>
      <c r="V335">
        <v>100</v>
      </c>
      <c r="W335">
        <v>638</v>
      </c>
      <c r="X335">
        <v>650</v>
      </c>
      <c r="Z335">
        <v>2.2712754800520205</v>
      </c>
      <c r="AC335" s="1"/>
    </row>
    <row r="336" spans="2:29" x14ac:dyDescent="0.25">
      <c r="B336" s="1" t="s">
        <v>1122</v>
      </c>
      <c r="C336">
        <v>335</v>
      </c>
      <c r="D336" s="1" t="s">
        <v>81</v>
      </c>
      <c r="E336" t="s">
        <v>1160</v>
      </c>
      <c r="F336" s="1" t="s">
        <v>1163</v>
      </c>
      <c r="G336">
        <v>3560</v>
      </c>
      <c r="H336">
        <v>152</v>
      </c>
      <c r="I336">
        <v>3560</v>
      </c>
      <c r="O336" s="1"/>
      <c r="Q336" s="1"/>
      <c r="V336">
        <v>100</v>
      </c>
      <c r="W336">
        <v>638</v>
      </c>
      <c r="X336">
        <v>650</v>
      </c>
      <c r="Z336">
        <v>2.2712754864319971</v>
      </c>
      <c r="AC336" s="1"/>
    </row>
    <row r="337" spans="2:29" x14ac:dyDescent="0.25">
      <c r="B337" s="1" t="s">
        <v>1123</v>
      </c>
      <c r="C337">
        <v>336</v>
      </c>
      <c r="D337" s="1" t="s">
        <v>81</v>
      </c>
      <c r="E337" t="s">
        <v>1160</v>
      </c>
      <c r="F337" s="1" t="s">
        <v>1163</v>
      </c>
      <c r="G337">
        <v>3560</v>
      </c>
      <c r="H337">
        <v>152</v>
      </c>
      <c r="I337">
        <v>3560</v>
      </c>
      <c r="O337" s="1"/>
      <c r="Q337" s="1"/>
      <c r="V337">
        <v>100</v>
      </c>
      <c r="W337">
        <v>638</v>
      </c>
      <c r="X337">
        <v>650</v>
      </c>
      <c r="Z337">
        <v>2.2712754800520205</v>
      </c>
      <c r="AC337" s="1"/>
    </row>
    <row r="338" spans="2:29" x14ac:dyDescent="0.25">
      <c r="B338" s="1" t="s">
        <v>1124</v>
      </c>
      <c r="C338">
        <v>337</v>
      </c>
      <c r="D338" s="1" t="s">
        <v>81</v>
      </c>
      <c r="E338" t="s">
        <v>1162</v>
      </c>
      <c r="F338" s="1" t="s">
        <v>1163</v>
      </c>
      <c r="G338">
        <v>976</v>
      </c>
      <c r="H338">
        <v>152</v>
      </c>
      <c r="I338">
        <v>976</v>
      </c>
      <c r="O338" s="1"/>
      <c r="Q338" s="1"/>
      <c r="V338">
        <v>100</v>
      </c>
      <c r="W338">
        <v>638</v>
      </c>
      <c r="X338">
        <v>650</v>
      </c>
      <c r="Z338">
        <v>0.62238959433412966</v>
      </c>
      <c r="AC338" s="1"/>
    </row>
    <row r="339" spans="2:29" x14ac:dyDescent="0.25">
      <c r="B339" s="1" t="s">
        <v>1125</v>
      </c>
      <c r="C339">
        <v>338</v>
      </c>
      <c r="D339" s="1" t="s">
        <v>81</v>
      </c>
      <c r="E339" t="s">
        <v>1160</v>
      </c>
      <c r="F339" s="1" t="s">
        <v>1163</v>
      </c>
      <c r="G339">
        <v>2019</v>
      </c>
      <c r="H339">
        <v>152</v>
      </c>
      <c r="I339">
        <v>2019</v>
      </c>
      <c r="O339" s="1"/>
      <c r="Q339" s="1"/>
      <c r="V339">
        <v>100</v>
      </c>
      <c r="W339">
        <v>660</v>
      </c>
      <c r="X339">
        <v>672</v>
      </c>
      <c r="Z339">
        <v>1.3325354781122114</v>
      </c>
      <c r="AC339" s="1"/>
    </row>
    <row r="340" spans="2:29" x14ac:dyDescent="0.25">
      <c r="B340" s="1" t="s">
        <v>1126</v>
      </c>
      <c r="C340">
        <v>339</v>
      </c>
      <c r="D340" s="1" t="s">
        <v>81</v>
      </c>
      <c r="E340" t="s">
        <v>1162</v>
      </c>
      <c r="F340" s="1" t="s">
        <v>1163</v>
      </c>
      <c r="G340">
        <v>738</v>
      </c>
      <c r="H340">
        <v>152</v>
      </c>
      <c r="I340">
        <v>738</v>
      </c>
      <c r="O340" s="1"/>
      <c r="Q340" s="1"/>
      <c r="V340">
        <v>100</v>
      </c>
      <c r="W340">
        <v>638</v>
      </c>
      <c r="X340">
        <v>650</v>
      </c>
      <c r="Z340">
        <v>0.47063183741781983</v>
      </c>
      <c r="AC340" s="1"/>
    </row>
    <row r="341" spans="2:29" x14ac:dyDescent="0.25">
      <c r="B341" s="1" t="s">
        <v>1127</v>
      </c>
      <c r="C341">
        <v>340</v>
      </c>
      <c r="D341" s="1" t="s">
        <v>81</v>
      </c>
      <c r="E341" t="s">
        <v>1160</v>
      </c>
      <c r="F341" s="1" t="s">
        <v>1163</v>
      </c>
      <c r="G341">
        <v>2019</v>
      </c>
      <c r="H341">
        <v>152</v>
      </c>
      <c r="I341">
        <v>2019</v>
      </c>
      <c r="O341" s="1"/>
      <c r="Q341" s="1"/>
      <c r="V341">
        <v>100</v>
      </c>
      <c r="W341">
        <v>660</v>
      </c>
      <c r="X341">
        <v>672</v>
      </c>
      <c r="Z341">
        <v>1.3325310118527001</v>
      </c>
      <c r="AC341" s="1"/>
    </row>
    <row r="342" spans="2:29" x14ac:dyDescent="0.25">
      <c r="B342" s="1" t="s">
        <v>1128</v>
      </c>
      <c r="C342">
        <v>341</v>
      </c>
      <c r="D342" s="1" t="s">
        <v>81</v>
      </c>
      <c r="E342" t="s">
        <v>1160</v>
      </c>
      <c r="F342" s="1" t="s">
        <v>1163</v>
      </c>
      <c r="G342">
        <v>3305</v>
      </c>
      <c r="H342">
        <v>152</v>
      </c>
      <c r="I342">
        <v>3305</v>
      </c>
      <c r="O342" s="1"/>
      <c r="Q342" s="1"/>
      <c r="V342">
        <v>100</v>
      </c>
      <c r="W342">
        <v>660</v>
      </c>
      <c r="X342">
        <v>672</v>
      </c>
      <c r="Z342">
        <v>2.1812779292937545</v>
      </c>
      <c r="AC342" s="1"/>
    </row>
    <row r="343" spans="2:29" x14ac:dyDescent="0.25">
      <c r="B343" s="1" t="s">
        <v>1129</v>
      </c>
      <c r="C343">
        <v>342</v>
      </c>
      <c r="D343" s="1" t="s">
        <v>81</v>
      </c>
      <c r="E343" t="s">
        <v>1160</v>
      </c>
      <c r="F343" s="1" t="s">
        <v>1163</v>
      </c>
      <c r="G343">
        <v>3305</v>
      </c>
      <c r="H343">
        <v>152</v>
      </c>
      <c r="I343">
        <v>3305</v>
      </c>
      <c r="O343" s="1"/>
      <c r="Q343" s="1"/>
      <c r="V343">
        <v>100</v>
      </c>
      <c r="W343">
        <v>660</v>
      </c>
      <c r="X343">
        <v>672</v>
      </c>
      <c r="Z343">
        <v>2.1813724755449853</v>
      </c>
      <c r="AC343" s="1"/>
    </row>
    <row r="344" spans="2:29" x14ac:dyDescent="0.25">
      <c r="B344" s="1" t="s">
        <v>1130</v>
      </c>
      <c r="C344">
        <v>343</v>
      </c>
      <c r="D344" s="1" t="s">
        <v>81</v>
      </c>
      <c r="E344" t="s">
        <v>1160</v>
      </c>
      <c r="F344" s="1" t="s">
        <v>1163</v>
      </c>
      <c r="G344">
        <v>3113</v>
      </c>
      <c r="H344">
        <v>152</v>
      </c>
      <c r="I344">
        <v>3113</v>
      </c>
      <c r="O344" s="1"/>
      <c r="Q344" s="1"/>
      <c r="V344">
        <v>100</v>
      </c>
      <c r="W344">
        <v>660</v>
      </c>
      <c r="X344">
        <v>672</v>
      </c>
      <c r="Z344">
        <v>2.0545102943016422</v>
      </c>
      <c r="AC344" s="1"/>
    </row>
    <row r="345" spans="2:29" x14ac:dyDescent="0.25">
      <c r="B345" s="1" t="s">
        <v>1131</v>
      </c>
      <c r="C345">
        <v>344</v>
      </c>
      <c r="D345" s="1" t="s">
        <v>81</v>
      </c>
      <c r="E345" t="s">
        <v>1160</v>
      </c>
      <c r="F345" s="1" t="s">
        <v>1163</v>
      </c>
      <c r="G345">
        <v>3184</v>
      </c>
      <c r="H345">
        <v>152</v>
      </c>
      <c r="I345">
        <v>3184</v>
      </c>
      <c r="O345" s="1"/>
      <c r="Q345" s="1"/>
      <c r="V345">
        <v>100</v>
      </c>
      <c r="W345">
        <v>660</v>
      </c>
      <c r="X345">
        <v>672</v>
      </c>
      <c r="Z345">
        <v>2.1014389530447604</v>
      </c>
      <c r="AC345" s="1"/>
    </row>
    <row r="346" spans="2:29" x14ac:dyDescent="0.25">
      <c r="B346" s="1" t="s">
        <v>1132</v>
      </c>
      <c r="C346">
        <v>345</v>
      </c>
      <c r="D346" s="1" t="s">
        <v>81</v>
      </c>
      <c r="E346" t="s">
        <v>1160</v>
      </c>
      <c r="F346" s="1" t="s">
        <v>1163</v>
      </c>
      <c r="G346">
        <v>1537</v>
      </c>
      <c r="H346">
        <v>152</v>
      </c>
      <c r="I346">
        <v>1537</v>
      </c>
      <c r="O346" s="1"/>
      <c r="Q346" s="1"/>
      <c r="V346">
        <v>100</v>
      </c>
      <c r="W346">
        <v>660</v>
      </c>
      <c r="X346">
        <v>672</v>
      </c>
      <c r="Z346">
        <v>1.014415863110705</v>
      </c>
      <c r="AC346" s="1"/>
    </row>
    <row r="347" spans="2:29" x14ac:dyDescent="0.25">
      <c r="B347" s="1" t="s">
        <v>1133</v>
      </c>
      <c r="C347">
        <v>346</v>
      </c>
      <c r="D347" s="1" t="s">
        <v>81</v>
      </c>
      <c r="E347" t="s">
        <v>1160</v>
      </c>
      <c r="F347" s="1" t="s">
        <v>1163</v>
      </c>
      <c r="G347">
        <v>1537</v>
      </c>
      <c r="H347">
        <v>152</v>
      </c>
      <c r="I347">
        <v>1537</v>
      </c>
      <c r="O347" s="1"/>
      <c r="Q347" s="1"/>
      <c r="V347">
        <v>100</v>
      </c>
      <c r="W347">
        <v>660</v>
      </c>
      <c r="X347">
        <v>672</v>
      </c>
      <c r="Z347">
        <v>1.014415863110705</v>
      </c>
      <c r="AC347" s="1"/>
    </row>
    <row r="348" spans="2:29" x14ac:dyDescent="0.25">
      <c r="B348" s="1" t="s">
        <v>1134</v>
      </c>
      <c r="C348">
        <v>347</v>
      </c>
      <c r="D348" s="1" t="s">
        <v>82</v>
      </c>
      <c r="E348" t="s">
        <v>1160</v>
      </c>
      <c r="F348" s="1" t="s">
        <v>1164</v>
      </c>
      <c r="G348">
        <v>4160</v>
      </c>
      <c r="H348">
        <v>152</v>
      </c>
      <c r="I348">
        <v>4160</v>
      </c>
      <c r="O348" s="1"/>
      <c r="Q348" s="1"/>
      <c r="V348">
        <v>100</v>
      </c>
      <c r="W348">
        <v>638</v>
      </c>
      <c r="X348">
        <v>650</v>
      </c>
      <c r="Z348">
        <v>2.6543365946926607</v>
      </c>
      <c r="AC348" s="1"/>
    </row>
    <row r="349" spans="2:29" x14ac:dyDescent="0.25">
      <c r="B349" s="1" t="s">
        <v>1135</v>
      </c>
      <c r="C349">
        <v>348</v>
      </c>
      <c r="D349" s="1" t="s">
        <v>82</v>
      </c>
      <c r="E349" t="s">
        <v>1160</v>
      </c>
      <c r="F349" s="1" t="s">
        <v>1164</v>
      </c>
      <c r="G349">
        <v>4160</v>
      </c>
      <c r="H349">
        <v>152</v>
      </c>
      <c r="I349">
        <v>4160</v>
      </c>
      <c r="O349" s="1"/>
      <c r="Q349" s="1"/>
      <c r="V349">
        <v>100</v>
      </c>
      <c r="W349">
        <v>638</v>
      </c>
      <c r="X349">
        <v>650</v>
      </c>
      <c r="Z349">
        <v>2.6543365946926607</v>
      </c>
      <c r="AC349" s="1"/>
    </row>
    <row r="350" spans="2:29" x14ac:dyDescent="0.25">
      <c r="B350" s="1" t="s">
        <v>1136</v>
      </c>
      <c r="C350">
        <v>349</v>
      </c>
      <c r="D350" s="1" t="s">
        <v>82</v>
      </c>
      <c r="E350" t="s">
        <v>1160</v>
      </c>
      <c r="F350" s="1" t="s">
        <v>1164</v>
      </c>
      <c r="G350">
        <v>4160</v>
      </c>
      <c r="H350">
        <v>152</v>
      </c>
      <c r="I350">
        <v>4160</v>
      </c>
      <c r="O350" s="1"/>
      <c r="Q350" s="1"/>
      <c r="V350">
        <v>100</v>
      </c>
      <c r="W350">
        <v>638</v>
      </c>
      <c r="X350">
        <v>650</v>
      </c>
      <c r="Z350">
        <v>2.6543365946926607</v>
      </c>
      <c r="AC350" s="1"/>
    </row>
    <row r="351" spans="2:29" x14ac:dyDescent="0.25">
      <c r="B351" s="1" t="s">
        <v>1137</v>
      </c>
      <c r="C351">
        <v>350</v>
      </c>
      <c r="D351" s="1" t="s">
        <v>82</v>
      </c>
      <c r="E351" t="s">
        <v>1160</v>
      </c>
      <c r="F351" s="1" t="s">
        <v>1164</v>
      </c>
      <c r="G351">
        <v>4160</v>
      </c>
      <c r="H351">
        <v>152</v>
      </c>
      <c r="I351">
        <v>4160</v>
      </c>
      <c r="O351" s="1"/>
      <c r="Q351" s="1"/>
      <c r="V351">
        <v>100</v>
      </c>
      <c r="W351">
        <v>638</v>
      </c>
      <c r="X351">
        <v>650</v>
      </c>
      <c r="Z351">
        <v>2.6543365988364553</v>
      </c>
      <c r="AC351" s="1"/>
    </row>
    <row r="352" spans="2:29" x14ac:dyDescent="0.25">
      <c r="B352" s="1" t="s">
        <v>1138</v>
      </c>
      <c r="C352">
        <v>351</v>
      </c>
      <c r="D352" s="1" t="s">
        <v>82</v>
      </c>
      <c r="E352" t="s">
        <v>1160</v>
      </c>
      <c r="F352" s="1" t="s">
        <v>1164</v>
      </c>
      <c r="G352">
        <v>3840</v>
      </c>
      <c r="H352">
        <v>152</v>
      </c>
      <c r="I352">
        <v>3840</v>
      </c>
      <c r="O352" s="1"/>
      <c r="Q352" s="1"/>
      <c r="V352">
        <v>100</v>
      </c>
      <c r="W352">
        <v>638</v>
      </c>
      <c r="X352">
        <v>650</v>
      </c>
      <c r="Z352">
        <v>2.4499186249810707</v>
      </c>
      <c r="AC352" s="1"/>
    </row>
    <row r="353" spans="2:29" x14ac:dyDescent="0.25">
      <c r="B353" s="1" t="s">
        <v>1139</v>
      </c>
      <c r="C353">
        <v>352</v>
      </c>
      <c r="D353" s="1" t="s">
        <v>82</v>
      </c>
      <c r="E353" t="s">
        <v>1160</v>
      </c>
      <c r="F353" s="1" t="s">
        <v>1164</v>
      </c>
      <c r="G353">
        <v>3102</v>
      </c>
      <c r="H353">
        <v>152</v>
      </c>
      <c r="I353">
        <v>3102</v>
      </c>
      <c r="O353" s="1"/>
      <c r="Q353" s="1"/>
      <c r="V353">
        <v>100</v>
      </c>
      <c r="W353">
        <v>638</v>
      </c>
      <c r="X353">
        <v>650</v>
      </c>
      <c r="Z353">
        <v>1.9790725300886696</v>
      </c>
      <c r="AC353" s="1"/>
    </row>
    <row r="354" spans="2:29" x14ac:dyDescent="0.25">
      <c r="B354" s="1" t="s">
        <v>1140</v>
      </c>
      <c r="C354">
        <v>353</v>
      </c>
      <c r="D354" s="1" t="s">
        <v>82</v>
      </c>
      <c r="E354" t="s">
        <v>1162</v>
      </c>
      <c r="F354" s="1" t="s">
        <v>1164</v>
      </c>
      <c r="G354">
        <v>1500</v>
      </c>
      <c r="H354">
        <v>152</v>
      </c>
      <c r="I354">
        <v>1500</v>
      </c>
      <c r="O354" s="1"/>
      <c r="Q354" s="1"/>
      <c r="V354">
        <v>100</v>
      </c>
      <c r="W354">
        <v>638</v>
      </c>
      <c r="X354">
        <v>650</v>
      </c>
      <c r="Z354">
        <v>0.95699653099950011</v>
      </c>
      <c r="AC354" s="1"/>
    </row>
    <row r="355" spans="2:29" x14ac:dyDescent="0.25">
      <c r="B355" s="1" t="s">
        <v>1141</v>
      </c>
      <c r="C355">
        <v>354</v>
      </c>
      <c r="D355" s="1" t="s">
        <v>82</v>
      </c>
      <c r="E355" t="s">
        <v>1162</v>
      </c>
      <c r="F355" s="1" t="s">
        <v>1164</v>
      </c>
      <c r="G355">
        <v>1500</v>
      </c>
      <c r="H355">
        <v>152</v>
      </c>
      <c r="I355">
        <v>1500</v>
      </c>
      <c r="O355" s="1"/>
      <c r="Q355" s="1"/>
      <c r="V355">
        <v>100</v>
      </c>
      <c r="W355">
        <v>638</v>
      </c>
      <c r="X355">
        <v>650</v>
      </c>
      <c r="Z355">
        <v>0.95699653099950011</v>
      </c>
      <c r="AC355" s="1"/>
    </row>
    <row r="356" spans="2:29" x14ac:dyDescent="0.25">
      <c r="B356" s="1" t="s">
        <v>1142</v>
      </c>
      <c r="C356">
        <v>355</v>
      </c>
      <c r="D356" s="1" t="s">
        <v>82</v>
      </c>
      <c r="E356" t="s">
        <v>1160</v>
      </c>
      <c r="F356" s="1" t="s">
        <v>1164</v>
      </c>
      <c r="G356">
        <v>2817</v>
      </c>
      <c r="H356">
        <v>152</v>
      </c>
      <c r="I356">
        <v>2817</v>
      </c>
      <c r="O356" s="1"/>
      <c r="Q356" s="1"/>
      <c r="V356">
        <v>100</v>
      </c>
      <c r="W356">
        <v>638</v>
      </c>
      <c r="X356">
        <v>650</v>
      </c>
      <c r="Z356">
        <v>1.7972394852170612</v>
      </c>
      <c r="AC356" s="1"/>
    </row>
    <row r="357" spans="2:29" x14ac:dyDescent="0.25">
      <c r="B357" s="1" t="s">
        <v>1143</v>
      </c>
      <c r="C357">
        <v>356</v>
      </c>
      <c r="D357" s="1" t="s">
        <v>82</v>
      </c>
      <c r="E357" t="s">
        <v>1160</v>
      </c>
      <c r="F357" s="1" t="s">
        <v>1164</v>
      </c>
      <c r="G357">
        <v>3544</v>
      </c>
      <c r="H357">
        <v>152</v>
      </c>
      <c r="I357">
        <v>3544</v>
      </c>
      <c r="O357" s="1"/>
      <c r="Q357" s="1"/>
      <c r="V357">
        <v>100</v>
      </c>
      <c r="W357">
        <v>638</v>
      </c>
      <c r="X357">
        <v>650</v>
      </c>
      <c r="Z357">
        <v>2.2612514543399413</v>
      </c>
      <c r="AC357" s="1"/>
    </row>
    <row r="358" spans="2:29" x14ac:dyDescent="0.25">
      <c r="B358" s="1" t="s">
        <v>1144</v>
      </c>
      <c r="C358">
        <v>357</v>
      </c>
      <c r="D358" s="1" t="s">
        <v>82</v>
      </c>
      <c r="E358" t="s">
        <v>1160</v>
      </c>
      <c r="F358" s="1" t="s">
        <v>1164</v>
      </c>
      <c r="G358">
        <v>2395</v>
      </c>
      <c r="H358">
        <v>152</v>
      </c>
      <c r="I358">
        <v>2395</v>
      </c>
      <c r="O358" s="1"/>
      <c r="Q358" s="1"/>
      <c r="V358">
        <v>100</v>
      </c>
      <c r="W358">
        <v>638</v>
      </c>
      <c r="X358">
        <v>650</v>
      </c>
      <c r="Z358">
        <v>1.528004461162535</v>
      </c>
      <c r="AC358" s="1"/>
    </row>
    <row r="359" spans="2:29" x14ac:dyDescent="0.25">
      <c r="B359" s="1" t="s">
        <v>1145</v>
      </c>
      <c r="C359">
        <v>358</v>
      </c>
      <c r="D359" s="1" t="s">
        <v>82</v>
      </c>
      <c r="E359" t="s">
        <v>1160</v>
      </c>
      <c r="F359" s="1" t="s">
        <v>1164</v>
      </c>
      <c r="G359">
        <v>2277</v>
      </c>
      <c r="H359">
        <v>152</v>
      </c>
      <c r="I359">
        <v>2277</v>
      </c>
      <c r="O359" s="1"/>
      <c r="Q359" s="1"/>
      <c r="V359">
        <v>100</v>
      </c>
      <c r="W359">
        <v>638</v>
      </c>
      <c r="X359">
        <v>650</v>
      </c>
      <c r="Z359">
        <v>1.4529882809521748</v>
      </c>
      <c r="AC359" s="1"/>
    </row>
    <row r="360" spans="2:29" x14ac:dyDescent="0.25">
      <c r="B360" s="1" t="s">
        <v>1146</v>
      </c>
      <c r="C360">
        <v>359</v>
      </c>
      <c r="D360" s="1" t="s">
        <v>82</v>
      </c>
      <c r="E360" t="s">
        <v>1160</v>
      </c>
      <c r="F360" s="1" t="s">
        <v>1164</v>
      </c>
      <c r="G360">
        <v>1946</v>
      </c>
      <c r="H360">
        <v>152</v>
      </c>
      <c r="I360">
        <v>1946</v>
      </c>
      <c r="O360" s="1"/>
      <c r="Q360" s="1"/>
      <c r="V360">
        <v>100</v>
      </c>
      <c r="W360">
        <v>660</v>
      </c>
      <c r="X360">
        <v>672</v>
      </c>
      <c r="Z360">
        <v>1.2846867288474542</v>
      </c>
      <c r="AC360" s="1"/>
    </row>
    <row r="361" spans="2:29" x14ac:dyDescent="0.25">
      <c r="B361" s="1" t="s">
        <v>1147</v>
      </c>
      <c r="C361">
        <v>360</v>
      </c>
      <c r="D361" s="1" t="s">
        <v>82</v>
      </c>
      <c r="E361" t="s">
        <v>1162</v>
      </c>
      <c r="F361" s="1" t="s">
        <v>1164</v>
      </c>
      <c r="G361">
        <v>2426</v>
      </c>
      <c r="H361">
        <v>152</v>
      </c>
      <c r="I361">
        <v>2426</v>
      </c>
      <c r="O361" s="1"/>
      <c r="Q361" s="1"/>
      <c r="V361">
        <v>100</v>
      </c>
      <c r="W361">
        <v>660</v>
      </c>
      <c r="X361">
        <v>672</v>
      </c>
      <c r="Z361">
        <v>1.6011474993063177</v>
      </c>
      <c r="AC361" s="1"/>
    </row>
    <row r="362" spans="2:29" x14ac:dyDescent="0.25">
      <c r="B362" s="1" t="s">
        <v>1148</v>
      </c>
      <c r="C362">
        <v>361</v>
      </c>
      <c r="D362" s="1" t="s">
        <v>82</v>
      </c>
      <c r="E362" t="s">
        <v>1162</v>
      </c>
      <c r="F362" s="1" t="s">
        <v>1164</v>
      </c>
      <c r="G362">
        <v>2430</v>
      </c>
      <c r="H362">
        <v>152</v>
      </c>
      <c r="I362">
        <v>2430</v>
      </c>
      <c r="O362" s="1"/>
      <c r="Q362" s="1"/>
      <c r="V362">
        <v>100</v>
      </c>
      <c r="W362">
        <v>660</v>
      </c>
      <c r="X362">
        <v>672</v>
      </c>
      <c r="Z362">
        <v>1.604119483656427</v>
      </c>
      <c r="AC362" s="1"/>
    </row>
    <row r="363" spans="2:29" x14ac:dyDescent="0.25">
      <c r="B363" s="1" t="s">
        <v>1149</v>
      </c>
      <c r="C363">
        <v>362</v>
      </c>
      <c r="D363" s="1" t="s">
        <v>82</v>
      </c>
      <c r="E363" t="s">
        <v>1160</v>
      </c>
      <c r="F363" s="1" t="s">
        <v>1164</v>
      </c>
      <c r="G363">
        <v>3692</v>
      </c>
      <c r="H363">
        <v>152</v>
      </c>
      <c r="I363">
        <v>3692</v>
      </c>
      <c r="O363" s="1"/>
      <c r="Q363" s="1"/>
      <c r="V363">
        <v>100</v>
      </c>
      <c r="W363">
        <v>660</v>
      </c>
      <c r="X363">
        <v>672</v>
      </c>
      <c r="Z363">
        <v>2.4367079467166093</v>
      </c>
      <c r="AC363" s="1"/>
    </row>
    <row r="364" spans="2:29" x14ac:dyDescent="0.25">
      <c r="B364" s="1" t="s">
        <v>1150</v>
      </c>
      <c r="C364">
        <v>363</v>
      </c>
      <c r="D364" s="1" t="s">
        <v>82</v>
      </c>
      <c r="E364" t="s">
        <v>1160</v>
      </c>
      <c r="F364" s="1" t="s">
        <v>1164</v>
      </c>
      <c r="G364">
        <v>3692</v>
      </c>
      <c r="H364">
        <v>152</v>
      </c>
      <c r="I364">
        <v>3692</v>
      </c>
      <c r="O364" s="1"/>
      <c r="Q364" s="1"/>
      <c r="V364">
        <v>100</v>
      </c>
      <c r="W364">
        <v>660</v>
      </c>
      <c r="X364">
        <v>672</v>
      </c>
      <c r="Z364">
        <v>2.4367456217455667</v>
      </c>
      <c r="AC364" s="1"/>
    </row>
    <row r="365" spans="2:29" x14ac:dyDescent="0.25">
      <c r="B365" s="1" t="s">
        <v>1151</v>
      </c>
      <c r="C365">
        <v>364</v>
      </c>
      <c r="D365" s="1" t="s">
        <v>82</v>
      </c>
      <c r="E365" t="s">
        <v>1160</v>
      </c>
      <c r="F365" s="1" t="s">
        <v>1164</v>
      </c>
      <c r="G365">
        <v>3692</v>
      </c>
      <c r="H365">
        <v>152</v>
      </c>
      <c r="I365">
        <v>3692</v>
      </c>
      <c r="O365" s="1"/>
      <c r="Q365" s="1"/>
      <c r="V365">
        <v>100</v>
      </c>
      <c r="W365">
        <v>660</v>
      </c>
      <c r="X365">
        <v>672</v>
      </c>
      <c r="Z365">
        <v>2.4367043151672192</v>
      </c>
      <c r="AC365" s="1"/>
    </row>
    <row r="366" spans="2:29" x14ac:dyDescent="0.25">
      <c r="B366" s="1" t="s">
        <v>1152</v>
      </c>
      <c r="C366">
        <v>365</v>
      </c>
      <c r="D366" s="1" t="s">
        <v>82</v>
      </c>
      <c r="E366" t="s">
        <v>1160</v>
      </c>
      <c r="F366" s="1" t="s">
        <v>1164</v>
      </c>
      <c r="G366">
        <v>3022</v>
      </c>
      <c r="H366">
        <v>152</v>
      </c>
      <c r="I366">
        <v>3022</v>
      </c>
      <c r="O366" s="1"/>
      <c r="Q366" s="1"/>
      <c r="V366">
        <v>100</v>
      </c>
      <c r="W366">
        <v>660</v>
      </c>
      <c r="X366">
        <v>672</v>
      </c>
      <c r="Z366">
        <v>1.994509565054414</v>
      </c>
      <c r="AC366" s="1"/>
    </row>
    <row r="367" spans="2:29" x14ac:dyDescent="0.25">
      <c r="B367" s="1" t="s">
        <v>1153</v>
      </c>
      <c r="C367">
        <v>366</v>
      </c>
      <c r="D367" s="1" t="s">
        <v>82</v>
      </c>
      <c r="E367" t="s">
        <v>1160</v>
      </c>
      <c r="F367" s="1" t="s">
        <v>1164</v>
      </c>
      <c r="G367">
        <v>3054</v>
      </c>
      <c r="H367">
        <v>152</v>
      </c>
      <c r="I367">
        <v>3054</v>
      </c>
      <c r="O367" s="1"/>
      <c r="Q367" s="1"/>
      <c r="V367">
        <v>100</v>
      </c>
      <c r="W367">
        <v>660</v>
      </c>
      <c r="X367">
        <v>672</v>
      </c>
      <c r="Z367">
        <v>2.0156009305219373</v>
      </c>
      <c r="AC367" s="1"/>
    </row>
    <row r="368" spans="2:29" x14ac:dyDescent="0.25">
      <c r="B368" s="1" t="s">
        <v>1154</v>
      </c>
      <c r="C368">
        <v>367</v>
      </c>
      <c r="D368" s="1" t="s">
        <v>82</v>
      </c>
      <c r="E368" t="s">
        <v>1162</v>
      </c>
      <c r="F368" s="1" t="s">
        <v>1164</v>
      </c>
      <c r="G368">
        <v>500</v>
      </c>
      <c r="H368">
        <v>152</v>
      </c>
      <c r="I368">
        <v>500</v>
      </c>
      <c r="O368" s="1"/>
      <c r="Q368" s="1"/>
      <c r="V368">
        <v>100</v>
      </c>
      <c r="W368">
        <v>660</v>
      </c>
      <c r="X368">
        <v>672</v>
      </c>
      <c r="Z368">
        <v>0.32999865423249997</v>
      </c>
      <c r="AC368" s="1"/>
    </row>
    <row r="369" spans="2:29" x14ac:dyDescent="0.25">
      <c r="B369" s="1" t="s">
        <v>1155</v>
      </c>
      <c r="C369">
        <v>368</v>
      </c>
      <c r="D369" s="1" t="s">
        <v>82</v>
      </c>
      <c r="E369" t="s">
        <v>1162</v>
      </c>
      <c r="F369" s="1" t="s">
        <v>1164</v>
      </c>
      <c r="G369">
        <v>500</v>
      </c>
      <c r="H369">
        <v>152</v>
      </c>
      <c r="I369">
        <v>500</v>
      </c>
      <c r="O369" s="1"/>
      <c r="Q369" s="1"/>
      <c r="V369">
        <v>100</v>
      </c>
      <c r="W369">
        <v>660</v>
      </c>
      <c r="X369">
        <v>672</v>
      </c>
      <c r="Z369">
        <v>0.32999865423249997</v>
      </c>
      <c r="AC369" s="1"/>
    </row>
    <row r="370" spans="2:29" x14ac:dyDescent="0.25">
      <c r="B370" s="1" t="s">
        <v>1156</v>
      </c>
      <c r="C370">
        <v>369</v>
      </c>
      <c r="D370" s="1" t="s">
        <v>82</v>
      </c>
      <c r="E370" t="s">
        <v>1162</v>
      </c>
      <c r="F370" s="1" t="s">
        <v>1164</v>
      </c>
      <c r="G370">
        <v>500</v>
      </c>
      <c r="H370">
        <v>152</v>
      </c>
      <c r="I370">
        <v>500</v>
      </c>
      <c r="O370" s="1"/>
      <c r="Q370" s="1"/>
      <c r="V370">
        <v>100</v>
      </c>
      <c r="W370">
        <v>660</v>
      </c>
      <c r="X370">
        <v>672</v>
      </c>
      <c r="Z370">
        <v>0.32999865423249997</v>
      </c>
      <c r="AC370" s="1"/>
    </row>
    <row r="371" spans="2:29" x14ac:dyDescent="0.25">
      <c r="B371" s="1" t="s">
        <v>1157</v>
      </c>
      <c r="C371">
        <v>370</v>
      </c>
      <c r="D371" s="1" t="s">
        <v>82</v>
      </c>
      <c r="E371" t="s">
        <v>1162</v>
      </c>
      <c r="F371" s="1" t="s">
        <v>1164</v>
      </c>
      <c r="G371">
        <v>500</v>
      </c>
      <c r="H371">
        <v>152</v>
      </c>
      <c r="I371">
        <v>500</v>
      </c>
      <c r="O371" s="1"/>
      <c r="Q371" s="1"/>
      <c r="V371">
        <v>100</v>
      </c>
      <c r="W371">
        <v>660</v>
      </c>
      <c r="X371">
        <v>672</v>
      </c>
      <c r="Z371">
        <v>0.32999865423249997</v>
      </c>
      <c r="AC371" s="1"/>
    </row>
    <row r="372" spans="2:29" x14ac:dyDescent="0.25">
      <c r="B372" s="1" t="s">
        <v>1158</v>
      </c>
      <c r="C372">
        <v>371</v>
      </c>
      <c r="D372" s="1" t="s">
        <v>82</v>
      </c>
      <c r="E372" t="s">
        <v>1162</v>
      </c>
      <c r="F372" s="1" t="s">
        <v>1164</v>
      </c>
      <c r="G372">
        <v>900</v>
      </c>
      <c r="H372">
        <v>152</v>
      </c>
      <c r="I372">
        <v>900</v>
      </c>
      <c r="O372" s="1"/>
      <c r="Q372" s="1"/>
      <c r="V372">
        <v>100</v>
      </c>
      <c r="W372">
        <v>660</v>
      </c>
      <c r="X372">
        <v>672</v>
      </c>
      <c r="Z372">
        <v>0.59399757761850003</v>
      </c>
      <c r="AC372" s="1"/>
    </row>
    <row r="373" spans="2:29" x14ac:dyDescent="0.25">
      <c r="B373" s="1" t="s">
        <v>1159</v>
      </c>
      <c r="C373">
        <v>372</v>
      </c>
      <c r="D373" s="1" t="s">
        <v>82</v>
      </c>
      <c r="E373" t="s">
        <v>1162</v>
      </c>
      <c r="F373" s="1" t="s">
        <v>1164</v>
      </c>
      <c r="G373">
        <v>900</v>
      </c>
      <c r="H373">
        <v>152</v>
      </c>
      <c r="I373">
        <v>900</v>
      </c>
      <c r="O373" s="1"/>
      <c r="Q373" s="1"/>
      <c r="V373">
        <v>100</v>
      </c>
      <c r="W373">
        <v>660</v>
      </c>
      <c r="X373">
        <v>672</v>
      </c>
      <c r="Z373">
        <v>0.59399757761850003</v>
      </c>
      <c r="AC373" s="1"/>
    </row>
    <row r="374" spans="2:29" x14ac:dyDescent="0.25">
      <c r="B374" s="1" t="s">
        <v>1167</v>
      </c>
      <c r="C374">
        <v>373</v>
      </c>
      <c r="D374" s="1" t="s">
        <v>80</v>
      </c>
      <c r="E374" t="s">
        <v>1196</v>
      </c>
      <c r="F374" s="1" t="s">
        <v>1197</v>
      </c>
      <c r="G374">
        <v>1350</v>
      </c>
      <c r="H374">
        <v>256</v>
      </c>
      <c r="I374">
        <v>1459</v>
      </c>
      <c r="O374" s="1"/>
      <c r="Q374" s="1"/>
      <c r="V374">
        <v>180</v>
      </c>
      <c r="W374">
        <v>3250</v>
      </c>
      <c r="X374">
        <v>3450</v>
      </c>
      <c r="Y374">
        <v>4</v>
      </c>
      <c r="Z374">
        <v>4.3874997857232607</v>
      </c>
      <c r="AC374" s="1"/>
    </row>
    <row r="375" spans="2:29" x14ac:dyDescent="0.25">
      <c r="B375" s="1" t="s">
        <v>1168</v>
      </c>
      <c r="C375">
        <v>374</v>
      </c>
      <c r="D375" s="1" t="s">
        <v>80</v>
      </c>
      <c r="E375" t="s">
        <v>1196</v>
      </c>
      <c r="F375" s="1" t="s">
        <v>1198</v>
      </c>
      <c r="G375">
        <v>1350</v>
      </c>
      <c r="H375">
        <v>256</v>
      </c>
      <c r="I375">
        <v>1459</v>
      </c>
      <c r="O375" s="1"/>
      <c r="Q375" s="1"/>
      <c r="V375">
        <v>180</v>
      </c>
      <c r="W375">
        <v>3120</v>
      </c>
      <c r="X375">
        <v>3320</v>
      </c>
      <c r="Y375">
        <v>4</v>
      </c>
      <c r="Z375">
        <v>4.2120776392098689</v>
      </c>
      <c r="AC375" s="1"/>
    </row>
    <row r="376" spans="2:29" x14ac:dyDescent="0.25">
      <c r="B376" s="1" t="s">
        <v>1169</v>
      </c>
      <c r="C376">
        <v>375</v>
      </c>
      <c r="D376" s="1" t="s">
        <v>80</v>
      </c>
      <c r="E376" t="s">
        <v>1196</v>
      </c>
      <c r="F376" s="1" t="s">
        <v>1199</v>
      </c>
      <c r="G376">
        <v>1350</v>
      </c>
      <c r="H376">
        <v>256</v>
      </c>
      <c r="I376">
        <v>1459</v>
      </c>
      <c r="O376" s="1"/>
      <c r="Q376" s="1"/>
      <c r="V376">
        <v>180</v>
      </c>
      <c r="W376">
        <v>3120</v>
      </c>
      <c r="X376">
        <v>3320</v>
      </c>
      <c r="Y376">
        <v>4</v>
      </c>
      <c r="Z376">
        <v>4.2120019820508698</v>
      </c>
      <c r="AC376" s="1"/>
    </row>
    <row r="377" spans="2:29" x14ac:dyDescent="0.25">
      <c r="B377" s="1" t="s">
        <v>1170</v>
      </c>
      <c r="C377">
        <v>376</v>
      </c>
      <c r="D377" s="1" t="s">
        <v>80</v>
      </c>
      <c r="E377" t="s">
        <v>1196</v>
      </c>
      <c r="F377" s="1" t="s">
        <v>1200</v>
      </c>
      <c r="G377">
        <v>1350</v>
      </c>
      <c r="H377">
        <v>256</v>
      </c>
      <c r="I377">
        <v>1459</v>
      </c>
      <c r="O377" s="1"/>
      <c r="Q377" s="1"/>
      <c r="V377">
        <v>180</v>
      </c>
      <c r="W377">
        <v>3137</v>
      </c>
      <c r="X377">
        <v>3775</v>
      </c>
      <c r="Y377">
        <v>4</v>
      </c>
      <c r="Z377">
        <v>4.2348972947659878</v>
      </c>
      <c r="AC377" s="1"/>
    </row>
    <row r="378" spans="2:29" x14ac:dyDescent="0.25">
      <c r="B378" s="1" t="s">
        <v>1171</v>
      </c>
      <c r="C378">
        <v>377</v>
      </c>
      <c r="D378" s="1" t="s">
        <v>80</v>
      </c>
      <c r="E378" t="s">
        <v>1196</v>
      </c>
      <c r="F378" s="1" t="s">
        <v>1201</v>
      </c>
      <c r="G378">
        <v>1350</v>
      </c>
      <c r="H378">
        <v>256</v>
      </c>
      <c r="I378">
        <v>1459</v>
      </c>
      <c r="O378" s="1"/>
      <c r="Q378" s="1"/>
      <c r="V378">
        <v>180</v>
      </c>
      <c r="W378">
        <v>3251</v>
      </c>
      <c r="X378">
        <v>3451</v>
      </c>
      <c r="Y378">
        <v>4</v>
      </c>
      <c r="Z378">
        <v>4.3888501166012004</v>
      </c>
      <c r="AC378" s="1"/>
    </row>
    <row r="379" spans="2:29" x14ac:dyDescent="0.25">
      <c r="B379" s="1" t="s">
        <v>1172</v>
      </c>
      <c r="C379">
        <v>378</v>
      </c>
      <c r="D379" s="1" t="s">
        <v>80</v>
      </c>
      <c r="E379" t="s">
        <v>1196</v>
      </c>
      <c r="F379" s="1" t="s">
        <v>1202</v>
      </c>
      <c r="G379">
        <v>1350</v>
      </c>
      <c r="H379">
        <v>256</v>
      </c>
      <c r="I379">
        <v>1459</v>
      </c>
      <c r="O379" s="1"/>
      <c r="Q379" s="1"/>
      <c r="V379">
        <v>180</v>
      </c>
      <c r="W379">
        <v>3120</v>
      </c>
      <c r="X379">
        <v>3320</v>
      </c>
      <c r="Y379">
        <v>4</v>
      </c>
      <c r="Z379">
        <v>4.2120776392085197</v>
      </c>
      <c r="AC379" s="1"/>
    </row>
    <row r="380" spans="2:29" x14ac:dyDescent="0.25">
      <c r="B380" s="1" t="s">
        <v>1173</v>
      </c>
      <c r="C380">
        <v>379</v>
      </c>
      <c r="D380" s="1" t="s">
        <v>80</v>
      </c>
      <c r="E380" t="s">
        <v>1196</v>
      </c>
      <c r="F380" s="1" t="s">
        <v>1203</v>
      </c>
      <c r="G380">
        <v>1350</v>
      </c>
      <c r="H380">
        <v>256</v>
      </c>
      <c r="I380">
        <v>1459</v>
      </c>
      <c r="O380" s="1"/>
      <c r="Q380" s="1"/>
      <c r="V380">
        <v>180</v>
      </c>
      <c r="W380">
        <v>3120</v>
      </c>
      <c r="X380">
        <v>3320</v>
      </c>
      <c r="Y380">
        <v>4</v>
      </c>
      <c r="Z380">
        <v>4.2120019820643693</v>
      </c>
      <c r="AC380" s="1"/>
    </row>
    <row r="381" spans="2:29" x14ac:dyDescent="0.25">
      <c r="B381" s="1" t="s">
        <v>1174</v>
      </c>
      <c r="C381">
        <v>380</v>
      </c>
      <c r="D381" s="1" t="s">
        <v>80</v>
      </c>
      <c r="E381" t="s">
        <v>1196</v>
      </c>
      <c r="F381" s="1" t="s">
        <v>1204</v>
      </c>
      <c r="G381">
        <v>1350</v>
      </c>
      <c r="H381">
        <v>256</v>
      </c>
      <c r="I381">
        <v>1459</v>
      </c>
      <c r="O381" s="1"/>
      <c r="Q381" s="1"/>
      <c r="V381">
        <v>180</v>
      </c>
      <c r="W381">
        <v>3136</v>
      </c>
      <c r="X381">
        <v>3774</v>
      </c>
      <c r="Y381">
        <v>4</v>
      </c>
      <c r="Z381">
        <v>4.2334715538394789</v>
      </c>
      <c r="AC381" s="1"/>
    </row>
    <row r="382" spans="2:29" x14ac:dyDescent="0.25">
      <c r="B382" s="1" t="s">
        <v>1175</v>
      </c>
      <c r="C382">
        <v>381</v>
      </c>
      <c r="D382" s="1" t="s">
        <v>80</v>
      </c>
      <c r="E382" t="s">
        <v>1196</v>
      </c>
      <c r="F382" s="1" t="s">
        <v>1205</v>
      </c>
      <c r="G382">
        <v>1350</v>
      </c>
      <c r="H382">
        <v>261</v>
      </c>
      <c r="I382">
        <v>1481</v>
      </c>
      <c r="O382" s="1"/>
      <c r="Q382" s="1"/>
      <c r="V382">
        <v>180</v>
      </c>
      <c r="W382">
        <v>3153</v>
      </c>
      <c r="X382">
        <v>3153</v>
      </c>
      <c r="Y382">
        <v>4</v>
      </c>
      <c r="Z382">
        <v>4.2565494307046272</v>
      </c>
      <c r="AC382" s="1"/>
    </row>
    <row r="383" spans="2:29" x14ac:dyDescent="0.25">
      <c r="B383" s="1" t="s">
        <v>1176</v>
      </c>
      <c r="C383">
        <v>382</v>
      </c>
      <c r="D383" s="1" t="s">
        <v>80</v>
      </c>
      <c r="E383" t="s">
        <v>1196</v>
      </c>
      <c r="F383" s="1" t="s">
        <v>1206</v>
      </c>
      <c r="G383">
        <v>1319</v>
      </c>
      <c r="H383">
        <v>231</v>
      </c>
      <c r="I383">
        <v>1424</v>
      </c>
      <c r="O383" s="1"/>
      <c r="Q383" s="1"/>
      <c r="V383">
        <v>180</v>
      </c>
      <c r="W383">
        <v>3153</v>
      </c>
      <c r="X383">
        <v>3153</v>
      </c>
      <c r="Y383">
        <v>4</v>
      </c>
      <c r="Z383">
        <v>4.1589518230493008</v>
      </c>
      <c r="AC383" s="1"/>
    </row>
    <row r="384" spans="2:29" x14ac:dyDescent="0.25">
      <c r="B384" s="1" t="s">
        <v>1177</v>
      </c>
      <c r="C384">
        <v>383</v>
      </c>
      <c r="D384" s="1" t="s">
        <v>81</v>
      </c>
      <c r="E384" t="s">
        <v>1196</v>
      </c>
      <c r="F384" s="1" t="s">
        <v>1207</v>
      </c>
      <c r="G384">
        <v>987</v>
      </c>
      <c r="H384">
        <v>261</v>
      </c>
      <c r="I384">
        <v>987</v>
      </c>
      <c r="O384" s="1"/>
      <c r="Q384" s="1"/>
      <c r="V384">
        <v>180</v>
      </c>
      <c r="W384">
        <v>3250</v>
      </c>
      <c r="X384">
        <v>3450</v>
      </c>
      <c r="Y384">
        <v>3</v>
      </c>
      <c r="Z384">
        <v>3.2078410898587699</v>
      </c>
      <c r="AC384" s="1"/>
    </row>
    <row r="385" spans="2:29" x14ac:dyDescent="0.25">
      <c r="B385" s="1" t="s">
        <v>1178</v>
      </c>
      <c r="C385">
        <v>384</v>
      </c>
      <c r="D385" s="1" t="s">
        <v>81</v>
      </c>
      <c r="E385" t="s">
        <v>1196</v>
      </c>
      <c r="F385" s="1" t="s">
        <v>1208</v>
      </c>
      <c r="G385">
        <v>987</v>
      </c>
      <c r="H385">
        <v>261</v>
      </c>
      <c r="I385">
        <v>987</v>
      </c>
      <c r="O385" s="1"/>
      <c r="Q385" s="1"/>
      <c r="V385">
        <v>180</v>
      </c>
      <c r="W385">
        <v>3120</v>
      </c>
      <c r="X385">
        <v>3320</v>
      </c>
      <c r="Y385">
        <v>3</v>
      </c>
      <c r="Z385">
        <v>3.0795845195840554</v>
      </c>
      <c r="AC385" s="1"/>
    </row>
    <row r="386" spans="2:29" x14ac:dyDescent="0.25">
      <c r="B386" s="1" t="s">
        <v>1179</v>
      </c>
      <c r="C386">
        <v>385</v>
      </c>
      <c r="D386" s="1" t="s">
        <v>81</v>
      </c>
      <c r="E386" t="s">
        <v>1196</v>
      </c>
      <c r="F386" s="1" t="s">
        <v>1209</v>
      </c>
      <c r="G386">
        <v>987</v>
      </c>
      <c r="H386">
        <v>261</v>
      </c>
      <c r="I386">
        <v>987</v>
      </c>
      <c r="O386" s="1"/>
      <c r="Q386" s="1"/>
      <c r="V386">
        <v>180</v>
      </c>
      <c r="W386">
        <v>3120</v>
      </c>
      <c r="X386">
        <v>3320</v>
      </c>
      <c r="Y386">
        <v>3</v>
      </c>
      <c r="Z386">
        <v>3.079584519584055</v>
      </c>
      <c r="AC386" s="1"/>
    </row>
    <row r="387" spans="2:29" x14ac:dyDescent="0.25">
      <c r="B387" s="1" t="s">
        <v>1180</v>
      </c>
      <c r="C387">
        <v>386</v>
      </c>
      <c r="D387" s="1" t="s">
        <v>81</v>
      </c>
      <c r="E387" t="s">
        <v>1196</v>
      </c>
      <c r="F387" s="1" t="s">
        <v>1210</v>
      </c>
      <c r="G387">
        <v>987</v>
      </c>
      <c r="H387">
        <v>261</v>
      </c>
      <c r="I387">
        <v>987</v>
      </c>
      <c r="O387" s="1"/>
      <c r="Q387" s="1"/>
      <c r="V387">
        <v>180</v>
      </c>
      <c r="W387">
        <v>3137</v>
      </c>
      <c r="X387">
        <v>3775</v>
      </c>
      <c r="Y387">
        <v>3</v>
      </c>
      <c r="Z387">
        <v>3.0960844469763078</v>
      </c>
      <c r="AC387" s="1"/>
    </row>
    <row r="388" spans="2:29" x14ac:dyDescent="0.25">
      <c r="B388" s="1" t="s">
        <v>1181</v>
      </c>
      <c r="C388">
        <v>387</v>
      </c>
      <c r="D388" s="1" t="s">
        <v>81</v>
      </c>
      <c r="E388" t="s">
        <v>1196</v>
      </c>
      <c r="F388" s="1" t="s">
        <v>1211</v>
      </c>
      <c r="G388">
        <v>750</v>
      </c>
      <c r="H388">
        <v>261</v>
      </c>
      <c r="I388">
        <v>750</v>
      </c>
      <c r="O388" s="1"/>
      <c r="Q388" s="1"/>
      <c r="V388">
        <v>180</v>
      </c>
      <c r="W388">
        <v>3250</v>
      </c>
      <c r="X388">
        <v>3450</v>
      </c>
      <c r="Y388">
        <v>2</v>
      </c>
      <c r="Z388">
        <v>2.4364026504885712</v>
      </c>
      <c r="AC388" s="1"/>
    </row>
    <row r="389" spans="2:29" x14ac:dyDescent="0.25">
      <c r="B389" s="1" t="s">
        <v>1182</v>
      </c>
      <c r="C389">
        <v>388</v>
      </c>
      <c r="D389" s="1" t="s">
        <v>81</v>
      </c>
      <c r="E389" t="s">
        <v>1196</v>
      </c>
      <c r="F389" s="1" t="s">
        <v>1212</v>
      </c>
      <c r="G389">
        <v>750</v>
      </c>
      <c r="H389">
        <v>261</v>
      </c>
      <c r="I389">
        <v>750</v>
      </c>
      <c r="O389" s="1"/>
      <c r="Q389" s="1"/>
      <c r="V389">
        <v>180</v>
      </c>
      <c r="W389">
        <v>3120</v>
      </c>
      <c r="X389">
        <v>3320</v>
      </c>
      <c r="Y389">
        <v>2</v>
      </c>
      <c r="Z389">
        <v>2.3389898926067993</v>
      </c>
      <c r="AC389" s="1"/>
    </row>
    <row r="390" spans="2:29" x14ac:dyDescent="0.25">
      <c r="B390" s="1" t="s">
        <v>1183</v>
      </c>
      <c r="C390">
        <v>389</v>
      </c>
      <c r="D390" s="1" t="s">
        <v>81</v>
      </c>
      <c r="E390" t="s">
        <v>1196</v>
      </c>
      <c r="F390" s="1" t="s">
        <v>1213</v>
      </c>
      <c r="G390">
        <v>750</v>
      </c>
      <c r="H390">
        <v>261</v>
      </c>
      <c r="I390">
        <v>750</v>
      </c>
      <c r="O390" s="1"/>
      <c r="Q390" s="1"/>
      <c r="V390">
        <v>180</v>
      </c>
      <c r="W390">
        <v>3120</v>
      </c>
      <c r="X390">
        <v>3320</v>
      </c>
      <c r="Y390">
        <v>2</v>
      </c>
      <c r="Z390">
        <v>2.3389898924975601</v>
      </c>
      <c r="AC390" s="1"/>
    </row>
    <row r="391" spans="2:29" x14ac:dyDescent="0.25">
      <c r="B391" s="1" t="s">
        <v>1184</v>
      </c>
      <c r="C391">
        <v>390</v>
      </c>
      <c r="D391" s="1" t="s">
        <v>81</v>
      </c>
      <c r="E391" t="s">
        <v>1196</v>
      </c>
      <c r="F391" s="1" t="s">
        <v>1214</v>
      </c>
      <c r="G391">
        <v>750</v>
      </c>
      <c r="H391">
        <v>261</v>
      </c>
      <c r="I391">
        <v>750</v>
      </c>
      <c r="O391" s="1"/>
      <c r="Q391" s="1"/>
      <c r="V391">
        <v>180</v>
      </c>
      <c r="W391">
        <v>3137</v>
      </c>
      <c r="X391">
        <v>3775</v>
      </c>
      <c r="Y391">
        <v>2</v>
      </c>
      <c r="Z391">
        <v>2.3515230036076979</v>
      </c>
      <c r="AC391" s="1"/>
    </row>
    <row r="392" spans="2:29" x14ac:dyDescent="0.25">
      <c r="B392" s="1" t="s">
        <v>1185</v>
      </c>
      <c r="C392">
        <v>391</v>
      </c>
      <c r="D392" s="1" t="s">
        <v>82</v>
      </c>
      <c r="E392" t="s">
        <v>1196</v>
      </c>
      <c r="F392" s="1" t="s">
        <v>1215</v>
      </c>
      <c r="G392">
        <v>2289</v>
      </c>
      <c r="H392">
        <v>261</v>
      </c>
      <c r="I392">
        <v>2289</v>
      </c>
      <c r="O392" s="1"/>
      <c r="Q392" s="1"/>
      <c r="V392">
        <v>180</v>
      </c>
      <c r="W392">
        <v>3250</v>
      </c>
      <c r="X392">
        <v>3450</v>
      </c>
      <c r="Y392">
        <v>7</v>
      </c>
      <c r="Z392">
        <v>7.438233567273155</v>
      </c>
      <c r="AC392" s="1"/>
    </row>
    <row r="393" spans="2:29" x14ac:dyDescent="0.25">
      <c r="B393" s="1" t="s">
        <v>1186</v>
      </c>
      <c r="C393">
        <v>392</v>
      </c>
      <c r="D393" s="1" t="s">
        <v>82</v>
      </c>
      <c r="E393" t="s">
        <v>1196</v>
      </c>
      <c r="F393" s="1" t="s">
        <v>913</v>
      </c>
      <c r="G393">
        <v>2289</v>
      </c>
      <c r="H393">
        <v>261</v>
      </c>
      <c r="I393">
        <v>2289</v>
      </c>
      <c r="O393" s="1"/>
      <c r="Q393" s="1"/>
      <c r="V393">
        <v>180</v>
      </c>
      <c r="W393">
        <v>3120</v>
      </c>
      <c r="X393">
        <v>3320</v>
      </c>
      <c r="Y393">
        <v>7</v>
      </c>
      <c r="Z393">
        <v>7.1408358052471756</v>
      </c>
      <c r="AC393" s="1"/>
    </row>
    <row r="394" spans="2:29" x14ac:dyDescent="0.25">
      <c r="B394" s="1" t="s">
        <v>1187</v>
      </c>
      <c r="C394">
        <v>393</v>
      </c>
      <c r="D394" s="1" t="s">
        <v>82</v>
      </c>
      <c r="E394" t="s">
        <v>1196</v>
      </c>
      <c r="F394" s="1" t="s">
        <v>930</v>
      </c>
      <c r="G394">
        <v>2289</v>
      </c>
      <c r="H394">
        <v>261</v>
      </c>
      <c r="I394">
        <v>2289</v>
      </c>
      <c r="O394" s="1"/>
      <c r="Q394" s="1"/>
      <c r="V394">
        <v>180</v>
      </c>
      <c r="W394">
        <v>3120</v>
      </c>
      <c r="X394">
        <v>3320</v>
      </c>
      <c r="Y394">
        <v>7</v>
      </c>
      <c r="Z394">
        <v>7.1408358052380194</v>
      </c>
      <c r="AC394" s="1"/>
    </row>
    <row r="395" spans="2:29" x14ac:dyDescent="0.25">
      <c r="B395" s="1" t="s">
        <v>1188</v>
      </c>
      <c r="C395">
        <v>394</v>
      </c>
      <c r="D395" s="1" t="s">
        <v>82</v>
      </c>
      <c r="E395" t="s">
        <v>1196</v>
      </c>
      <c r="F395" s="1" t="s">
        <v>924</v>
      </c>
      <c r="G395">
        <v>2289</v>
      </c>
      <c r="H395">
        <v>261</v>
      </c>
      <c r="I395">
        <v>2289</v>
      </c>
      <c r="O395" s="1"/>
      <c r="Q395" s="1"/>
      <c r="V395">
        <v>180</v>
      </c>
      <c r="W395">
        <v>3137</v>
      </c>
      <c r="X395">
        <v>3775</v>
      </c>
      <c r="Y395">
        <v>7</v>
      </c>
      <c r="Z395">
        <v>7.1794358133708274</v>
      </c>
      <c r="AC395" s="1"/>
    </row>
    <row r="396" spans="2:29" x14ac:dyDescent="0.25">
      <c r="B396" s="1" t="s">
        <v>1189</v>
      </c>
      <c r="C396">
        <v>395</v>
      </c>
      <c r="D396" s="1" t="s">
        <v>82</v>
      </c>
      <c r="E396" t="s">
        <v>1196</v>
      </c>
      <c r="F396" s="1" t="s">
        <v>1216</v>
      </c>
      <c r="G396">
        <v>2268</v>
      </c>
      <c r="H396">
        <v>222</v>
      </c>
      <c r="I396">
        <v>2394</v>
      </c>
      <c r="O396" s="1"/>
      <c r="Q396" s="1"/>
      <c r="V396">
        <v>180</v>
      </c>
      <c r="W396">
        <v>3250</v>
      </c>
      <c r="X396">
        <v>4146</v>
      </c>
      <c r="Y396">
        <v>7</v>
      </c>
      <c r="Z396">
        <v>7.371000003943843</v>
      </c>
      <c r="AC396" s="1"/>
    </row>
    <row r="397" spans="2:29" x14ac:dyDescent="0.25">
      <c r="B397" s="1" t="s">
        <v>1190</v>
      </c>
      <c r="C397">
        <v>396</v>
      </c>
      <c r="D397" s="1" t="s">
        <v>82</v>
      </c>
      <c r="E397" t="s">
        <v>1196</v>
      </c>
      <c r="F397" s="1" t="s">
        <v>911</v>
      </c>
      <c r="G397">
        <v>2268</v>
      </c>
      <c r="H397">
        <v>222</v>
      </c>
      <c r="I397">
        <v>2394</v>
      </c>
      <c r="O397" s="1"/>
      <c r="Q397" s="1"/>
      <c r="V397">
        <v>180</v>
      </c>
      <c r="W397">
        <v>3120</v>
      </c>
      <c r="X397">
        <v>4692</v>
      </c>
      <c r="Y397">
        <v>7</v>
      </c>
      <c r="Z397">
        <v>7.0762907977146181</v>
      </c>
      <c r="AC397" s="1"/>
    </row>
    <row r="398" spans="2:29" x14ac:dyDescent="0.25">
      <c r="B398" s="1" t="s">
        <v>1191</v>
      </c>
      <c r="C398">
        <v>397</v>
      </c>
      <c r="D398" s="1" t="s">
        <v>82</v>
      </c>
      <c r="E398" t="s">
        <v>1196</v>
      </c>
      <c r="F398" s="1" t="s">
        <v>921</v>
      </c>
      <c r="G398">
        <v>2268</v>
      </c>
      <c r="H398">
        <v>222</v>
      </c>
      <c r="I398">
        <v>2394</v>
      </c>
      <c r="O398" s="1"/>
      <c r="Q398" s="1"/>
      <c r="V398">
        <v>180</v>
      </c>
      <c r="W398">
        <v>3120</v>
      </c>
      <c r="X398">
        <v>4690</v>
      </c>
      <c r="Y398">
        <v>7</v>
      </c>
      <c r="Z398">
        <v>7.0762907957314107</v>
      </c>
      <c r="AC398" s="1"/>
    </row>
    <row r="399" spans="2:29" x14ac:dyDescent="0.25">
      <c r="B399" s="1" t="s">
        <v>1192</v>
      </c>
      <c r="C399">
        <v>398</v>
      </c>
      <c r="D399" s="1" t="s">
        <v>82</v>
      </c>
      <c r="E399" t="s">
        <v>1196</v>
      </c>
      <c r="F399" s="1" t="s">
        <v>918</v>
      </c>
      <c r="G399">
        <v>2268</v>
      </c>
      <c r="H399">
        <v>222</v>
      </c>
      <c r="I399">
        <v>2394</v>
      </c>
      <c r="O399" s="1"/>
      <c r="Q399" s="1"/>
      <c r="V399">
        <v>180</v>
      </c>
      <c r="W399">
        <v>2815</v>
      </c>
      <c r="X399">
        <v>3679</v>
      </c>
      <c r="Y399">
        <v>6</v>
      </c>
      <c r="Z399">
        <v>6.3840778556194175</v>
      </c>
      <c r="AC399" s="1"/>
    </row>
    <row r="400" spans="2:29" x14ac:dyDescent="0.25">
      <c r="B400" s="1" t="s">
        <v>1193</v>
      </c>
      <c r="C400">
        <v>399</v>
      </c>
      <c r="D400" s="1" t="s">
        <v>82</v>
      </c>
      <c r="E400" t="s">
        <v>1196</v>
      </c>
      <c r="F400" s="1" t="s">
        <v>913</v>
      </c>
      <c r="G400">
        <v>2046</v>
      </c>
      <c r="H400">
        <v>424</v>
      </c>
      <c r="I400">
        <v>2176</v>
      </c>
      <c r="O400" s="1"/>
      <c r="Q400" s="1"/>
      <c r="V400">
        <v>180</v>
      </c>
      <c r="W400">
        <v>3120</v>
      </c>
      <c r="X400">
        <v>3320</v>
      </c>
      <c r="Y400">
        <v>6</v>
      </c>
      <c r="Z400">
        <v>6.3831646752514795</v>
      </c>
      <c r="AC400" s="1"/>
    </row>
    <row r="401" spans="2:30" x14ac:dyDescent="0.25">
      <c r="B401" s="1" t="s">
        <v>1194</v>
      </c>
      <c r="C401">
        <v>400</v>
      </c>
      <c r="D401" s="1" t="s">
        <v>82</v>
      </c>
      <c r="E401" t="s">
        <v>1196</v>
      </c>
      <c r="F401" s="1" t="s">
        <v>930</v>
      </c>
      <c r="G401">
        <v>2046</v>
      </c>
      <c r="H401">
        <v>424</v>
      </c>
      <c r="I401">
        <v>2176</v>
      </c>
      <c r="O401" s="1"/>
      <c r="Q401" s="1"/>
      <c r="V401">
        <v>180</v>
      </c>
      <c r="W401">
        <v>3120</v>
      </c>
      <c r="X401">
        <v>3320</v>
      </c>
      <c r="Y401">
        <v>6</v>
      </c>
      <c r="Z401">
        <v>6.3829184429068109</v>
      </c>
      <c r="AC401" s="1"/>
    </row>
    <row r="402" spans="2:30" x14ac:dyDescent="0.25">
      <c r="B402" s="1" t="s">
        <v>1195</v>
      </c>
      <c r="C402">
        <v>401</v>
      </c>
      <c r="D402" s="1" t="s">
        <v>82</v>
      </c>
      <c r="E402" t="s">
        <v>1196</v>
      </c>
      <c r="F402" s="1" t="s">
        <v>924</v>
      </c>
      <c r="G402">
        <v>2046</v>
      </c>
      <c r="H402">
        <v>424</v>
      </c>
      <c r="I402">
        <v>2176</v>
      </c>
      <c r="O402" s="1"/>
      <c r="Q402" s="1"/>
      <c r="V402">
        <v>180</v>
      </c>
      <c r="W402">
        <v>2852</v>
      </c>
      <c r="X402">
        <v>3692</v>
      </c>
      <c r="Y402">
        <v>6</v>
      </c>
      <c r="Z402">
        <v>5.8353275154418291</v>
      </c>
      <c r="AC402" s="1"/>
    </row>
    <row r="403" spans="2:30" x14ac:dyDescent="0.25">
      <c r="B403" s="1" t="s">
        <v>1218</v>
      </c>
      <c r="C403">
        <v>402</v>
      </c>
      <c r="D403" s="1" t="s">
        <v>82</v>
      </c>
      <c r="E403" t="s">
        <v>154</v>
      </c>
      <c r="F403" s="1" t="s">
        <v>1278</v>
      </c>
      <c r="O403" s="1" t="s">
        <v>320</v>
      </c>
      <c r="P403" t="s">
        <v>108</v>
      </c>
      <c r="Q403" s="1" t="s">
        <v>244</v>
      </c>
      <c r="R403">
        <v>1</v>
      </c>
      <c r="S403">
        <v>50</v>
      </c>
      <c r="T403">
        <v>28</v>
      </c>
      <c r="U403">
        <v>25</v>
      </c>
      <c r="AA403">
        <v>356.00012679100001</v>
      </c>
      <c r="AB403">
        <v>475256.02063099999</v>
      </c>
      <c r="AC403" s="1" t="s">
        <v>245</v>
      </c>
      <c r="AD403" t="s">
        <v>246</v>
      </c>
    </row>
    <row r="404" spans="2:30" x14ac:dyDescent="0.25">
      <c r="B404" s="1" t="s">
        <v>1219</v>
      </c>
      <c r="C404">
        <v>403</v>
      </c>
      <c r="D404" s="1" t="s">
        <v>82</v>
      </c>
      <c r="E404" t="s">
        <v>154</v>
      </c>
      <c r="F404" s="1" t="s">
        <v>1279</v>
      </c>
      <c r="O404" s="1" t="s">
        <v>320</v>
      </c>
      <c r="P404" t="s">
        <v>108</v>
      </c>
      <c r="Q404" s="1" t="s">
        <v>244</v>
      </c>
      <c r="R404">
        <v>1</v>
      </c>
      <c r="S404">
        <v>50</v>
      </c>
      <c r="T404">
        <v>28</v>
      </c>
      <c r="U404">
        <v>25</v>
      </c>
      <c r="AA404">
        <v>356.00012679100001</v>
      </c>
      <c r="AB404">
        <v>475256.02065800002</v>
      </c>
      <c r="AC404" s="1" t="s">
        <v>245</v>
      </c>
      <c r="AD404" t="s">
        <v>246</v>
      </c>
    </row>
    <row r="405" spans="2:30" x14ac:dyDescent="0.25">
      <c r="B405" s="1" t="s">
        <v>1220</v>
      </c>
      <c r="C405">
        <v>404</v>
      </c>
      <c r="D405" s="1" t="s">
        <v>82</v>
      </c>
      <c r="E405" t="s">
        <v>154</v>
      </c>
      <c r="F405" s="1" t="s">
        <v>1280</v>
      </c>
      <c r="O405" s="1" t="s">
        <v>320</v>
      </c>
      <c r="P405" t="s">
        <v>108</v>
      </c>
      <c r="Q405" s="1" t="s">
        <v>244</v>
      </c>
      <c r="R405">
        <v>1</v>
      </c>
      <c r="S405">
        <v>50</v>
      </c>
      <c r="T405">
        <v>28</v>
      </c>
      <c r="U405">
        <v>25</v>
      </c>
      <c r="AA405">
        <v>356.00012679100001</v>
      </c>
      <c r="AB405">
        <v>475256.020831</v>
      </c>
      <c r="AC405" s="1" t="s">
        <v>245</v>
      </c>
      <c r="AD405" t="s">
        <v>246</v>
      </c>
    </row>
    <row r="406" spans="2:30" x14ac:dyDescent="0.25">
      <c r="B406" s="1" t="s">
        <v>1221</v>
      </c>
      <c r="C406">
        <v>405</v>
      </c>
      <c r="D406" s="1" t="s">
        <v>82</v>
      </c>
      <c r="E406" t="s">
        <v>154</v>
      </c>
      <c r="F406" s="1" t="s">
        <v>1278</v>
      </c>
      <c r="O406" s="1" t="s">
        <v>335</v>
      </c>
      <c r="P406" t="s">
        <v>108</v>
      </c>
      <c r="Q406" s="1" t="s">
        <v>244</v>
      </c>
      <c r="R406">
        <v>1</v>
      </c>
      <c r="S406">
        <v>50</v>
      </c>
      <c r="T406">
        <v>39</v>
      </c>
      <c r="U406">
        <v>28</v>
      </c>
      <c r="AA406">
        <v>1159.9822440999999</v>
      </c>
      <c r="AB406">
        <v>1942877.63121</v>
      </c>
      <c r="AC406" s="1" t="s">
        <v>245</v>
      </c>
      <c r="AD406" t="s">
        <v>246</v>
      </c>
    </row>
    <row r="407" spans="2:30" x14ac:dyDescent="0.25">
      <c r="B407" s="1" t="s">
        <v>1222</v>
      </c>
      <c r="C407">
        <v>406</v>
      </c>
      <c r="D407" s="1" t="s">
        <v>82</v>
      </c>
      <c r="E407" t="s">
        <v>154</v>
      </c>
      <c r="F407" s="1" t="s">
        <v>1278</v>
      </c>
      <c r="O407" s="1" t="s">
        <v>335</v>
      </c>
      <c r="P407" t="s">
        <v>108</v>
      </c>
      <c r="Q407" s="1" t="s">
        <v>244</v>
      </c>
      <c r="R407">
        <v>1</v>
      </c>
      <c r="S407">
        <v>50</v>
      </c>
      <c r="T407">
        <v>39</v>
      </c>
      <c r="U407">
        <v>28</v>
      </c>
      <c r="AA407">
        <v>1159.98224471</v>
      </c>
      <c r="AB407">
        <v>1942877.6324100001</v>
      </c>
      <c r="AC407" s="1" t="s">
        <v>245</v>
      </c>
      <c r="AD407" t="s">
        <v>246</v>
      </c>
    </row>
    <row r="408" spans="2:30" x14ac:dyDescent="0.25">
      <c r="B408" s="1" t="s">
        <v>1223</v>
      </c>
      <c r="C408">
        <v>407</v>
      </c>
      <c r="D408" s="1" t="s">
        <v>82</v>
      </c>
      <c r="E408" t="s">
        <v>154</v>
      </c>
      <c r="F408" s="1" t="s">
        <v>1279</v>
      </c>
      <c r="O408" s="1" t="s">
        <v>335</v>
      </c>
      <c r="P408" t="s">
        <v>108</v>
      </c>
      <c r="Q408" s="1" t="s">
        <v>244</v>
      </c>
      <c r="R408">
        <v>1</v>
      </c>
      <c r="S408">
        <v>50</v>
      </c>
      <c r="T408">
        <v>39</v>
      </c>
      <c r="U408">
        <v>28</v>
      </c>
      <c r="AA408">
        <v>1159.9822440999999</v>
      </c>
      <c r="AB408">
        <v>1942877.63164</v>
      </c>
      <c r="AC408" s="1" t="s">
        <v>245</v>
      </c>
      <c r="AD408" t="s">
        <v>246</v>
      </c>
    </row>
    <row r="409" spans="2:30" x14ac:dyDescent="0.25">
      <c r="B409" s="1" t="s">
        <v>1224</v>
      </c>
      <c r="C409">
        <v>408</v>
      </c>
      <c r="D409" s="1" t="s">
        <v>82</v>
      </c>
      <c r="E409" t="s">
        <v>154</v>
      </c>
      <c r="F409" s="1" t="s">
        <v>1279</v>
      </c>
      <c r="O409" s="1" t="s">
        <v>335</v>
      </c>
      <c r="P409" t="s">
        <v>108</v>
      </c>
      <c r="Q409" s="1" t="s">
        <v>244</v>
      </c>
      <c r="R409">
        <v>1</v>
      </c>
      <c r="S409">
        <v>50</v>
      </c>
      <c r="T409">
        <v>39</v>
      </c>
      <c r="U409">
        <v>28</v>
      </c>
      <c r="AA409">
        <v>1159.98224471</v>
      </c>
      <c r="AB409">
        <v>1942877.6328400001</v>
      </c>
      <c r="AC409" s="1" t="s">
        <v>245</v>
      </c>
      <c r="AD409" t="s">
        <v>246</v>
      </c>
    </row>
    <row r="410" spans="2:30" x14ac:dyDescent="0.25">
      <c r="B410" s="1" t="s">
        <v>1225</v>
      </c>
      <c r="C410">
        <v>409</v>
      </c>
      <c r="D410" s="1" t="s">
        <v>82</v>
      </c>
      <c r="E410" t="s">
        <v>154</v>
      </c>
      <c r="F410" s="1" t="s">
        <v>1280</v>
      </c>
      <c r="O410" s="1" t="s">
        <v>335</v>
      </c>
      <c r="P410" t="s">
        <v>108</v>
      </c>
      <c r="Q410" s="1" t="s">
        <v>244</v>
      </c>
      <c r="R410">
        <v>1</v>
      </c>
      <c r="S410">
        <v>50</v>
      </c>
      <c r="T410">
        <v>39</v>
      </c>
      <c r="U410">
        <v>28</v>
      </c>
      <c r="AA410">
        <v>1159.9822440999999</v>
      </c>
      <c r="AB410">
        <v>1942877.6325300001</v>
      </c>
      <c r="AC410" s="1" t="s">
        <v>245</v>
      </c>
      <c r="AD410" t="s">
        <v>246</v>
      </c>
    </row>
    <row r="411" spans="2:30" x14ac:dyDescent="0.25">
      <c r="B411" s="1" t="s">
        <v>1226</v>
      </c>
      <c r="C411">
        <v>410</v>
      </c>
      <c r="D411" s="1" t="s">
        <v>82</v>
      </c>
      <c r="E411" t="s">
        <v>154</v>
      </c>
      <c r="F411" s="1" t="s">
        <v>1280</v>
      </c>
      <c r="O411" s="1" t="s">
        <v>335</v>
      </c>
      <c r="P411" t="s">
        <v>108</v>
      </c>
      <c r="Q411" s="1" t="s">
        <v>244</v>
      </c>
      <c r="R411">
        <v>1</v>
      </c>
      <c r="S411">
        <v>50</v>
      </c>
      <c r="T411">
        <v>39</v>
      </c>
      <c r="U411">
        <v>28</v>
      </c>
      <c r="AA411">
        <v>1159.98224471</v>
      </c>
      <c r="AB411">
        <v>1942877.6337299999</v>
      </c>
      <c r="AC411" s="1" t="s">
        <v>245</v>
      </c>
      <c r="AD411" t="s">
        <v>246</v>
      </c>
    </row>
    <row r="412" spans="2:30" x14ac:dyDescent="0.25">
      <c r="B412" s="1" t="s">
        <v>1227</v>
      </c>
      <c r="C412">
        <v>411</v>
      </c>
      <c r="D412" s="1" t="s">
        <v>82</v>
      </c>
      <c r="E412" t="s">
        <v>154</v>
      </c>
      <c r="F412" s="1" t="s">
        <v>1278</v>
      </c>
      <c r="O412" s="1" t="s">
        <v>364</v>
      </c>
      <c r="P412" t="s">
        <v>108</v>
      </c>
      <c r="Q412" s="1" t="s">
        <v>244</v>
      </c>
      <c r="R412">
        <v>8</v>
      </c>
      <c r="S412">
        <v>50</v>
      </c>
      <c r="T412">
        <v>39</v>
      </c>
      <c r="U412">
        <v>28</v>
      </c>
      <c r="AA412">
        <v>1160.0001717299999</v>
      </c>
      <c r="AB412">
        <v>1942912.62267</v>
      </c>
      <c r="AC412" s="1" t="s">
        <v>245</v>
      </c>
      <c r="AD412" t="s">
        <v>246</v>
      </c>
    </row>
    <row r="413" spans="2:30" x14ac:dyDescent="0.25">
      <c r="B413" s="1" t="s">
        <v>1227</v>
      </c>
      <c r="C413">
        <v>412</v>
      </c>
      <c r="D413" s="1" t="s">
        <v>82</v>
      </c>
      <c r="E413" t="s">
        <v>154</v>
      </c>
      <c r="F413" s="1" t="s">
        <v>1278</v>
      </c>
      <c r="O413" s="1" t="s">
        <v>393</v>
      </c>
      <c r="P413" t="s">
        <v>108</v>
      </c>
      <c r="Q413" s="1" t="s">
        <v>244</v>
      </c>
      <c r="R413">
        <v>2</v>
      </c>
      <c r="S413">
        <v>50</v>
      </c>
      <c r="T413">
        <v>39</v>
      </c>
      <c r="U413">
        <v>36</v>
      </c>
      <c r="AA413">
        <v>272.80168440800003</v>
      </c>
      <c r="AB413">
        <v>514699.21967800002</v>
      </c>
      <c r="AC413" s="1" t="s">
        <v>245</v>
      </c>
      <c r="AD413" t="s">
        <v>246</v>
      </c>
    </row>
    <row r="414" spans="2:30" x14ac:dyDescent="0.25">
      <c r="B414" s="1" t="s">
        <v>1221</v>
      </c>
      <c r="C414">
        <v>413</v>
      </c>
      <c r="D414" s="1" t="s">
        <v>82</v>
      </c>
      <c r="E414" t="s">
        <v>154</v>
      </c>
      <c r="F414" s="1" t="s">
        <v>1278</v>
      </c>
      <c r="O414" s="1" t="s">
        <v>364</v>
      </c>
      <c r="P414" t="s">
        <v>108</v>
      </c>
      <c r="Q414" s="1" t="s">
        <v>244</v>
      </c>
      <c r="R414">
        <v>7</v>
      </c>
      <c r="S414">
        <v>50</v>
      </c>
      <c r="T414">
        <v>39</v>
      </c>
      <c r="U414">
        <v>28</v>
      </c>
      <c r="AA414">
        <v>1160.0001717299999</v>
      </c>
      <c r="AB414">
        <v>1942912.62267</v>
      </c>
      <c r="AC414" s="1" t="s">
        <v>245</v>
      </c>
      <c r="AD414" t="s">
        <v>246</v>
      </c>
    </row>
    <row r="415" spans="2:30" x14ac:dyDescent="0.25">
      <c r="B415" s="1" t="s">
        <v>1221</v>
      </c>
      <c r="C415">
        <v>414</v>
      </c>
      <c r="D415" s="1" t="s">
        <v>82</v>
      </c>
      <c r="E415" t="s">
        <v>154</v>
      </c>
      <c r="F415" s="1" t="s">
        <v>1278</v>
      </c>
      <c r="O415" s="1" t="s">
        <v>393</v>
      </c>
      <c r="P415" t="s">
        <v>108</v>
      </c>
      <c r="Q415" s="1" t="s">
        <v>244</v>
      </c>
      <c r="R415">
        <v>1</v>
      </c>
      <c r="S415">
        <v>50</v>
      </c>
      <c r="T415">
        <v>39</v>
      </c>
      <c r="U415">
        <v>36</v>
      </c>
      <c r="AA415">
        <v>272.80168440800003</v>
      </c>
      <c r="AB415">
        <v>514699.21967800002</v>
      </c>
      <c r="AC415" s="1" t="s">
        <v>245</v>
      </c>
      <c r="AD415" t="s">
        <v>246</v>
      </c>
    </row>
    <row r="416" spans="2:30" x14ac:dyDescent="0.25">
      <c r="B416" s="1" t="s">
        <v>1222</v>
      </c>
      <c r="C416">
        <v>415</v>
      </c>
      <c r="D416" s="1" t="s">
        <v>82</v>
      </c>
      <c r="E416" t="s">
        <v>154</v>
      </c>
      <c r="F416" s="1" t="s">
        <v>1278</v>
      </c>
      <c r="O416" s="1" t="s">
        <v>364</v>
      </c>
      <c r="P416" t="s">
        <v>108</v>
      </c>
      <c r="Q416" s="1" t="s">
        <v>244</v>
      </c>
      <c r="R416">
        <v>7</v>
      </c>
      <c r="S416">
        <v>50</v>
      </c>
      <c r="T416">
        <v>39</v>
      </c>
      <c r="U416">
        <v>28</v>
      </c>
      <c r="AA416">
        <v>1160.0001717299999</v>
      </c>
      <c r="AB416">
        <v>1942912.62267</v>
      </c>
      <c r="AC416" s="1" t="s">
        <v>245</v>
      </c>
      <c r="AD416" t="s">
        <v>246</v>
      </c>
    </row>
    <row r="417" spans="2:30" x14ac:dyDescent="0.25">
      <c r="B417" s="1" t="s">
        <v>1222</v>
      </c>
      <c r="C417">
        <v>416</v>
      </c>
      <c r="D417" s="1" t="s">
        <v>82</v>
      </c>
      <c r="E417" t="s">
        <v>154</v>
      </c>
      <c r="F417" s="1" t="s">
        <v>1278</v>
      </c>
      <c r="O417" s="1" t="s">
        <v>393</v>
      </c>
      <c r="P417" t="s">
        <v>108</v>
      </c>
      <c r="Q417" s="1" t="s">
        <v>244</v>
      </c>
      <c r="R417">
        <v>2</v>
      </c>
      <c r="S417">
        <v>50</v>
      </c>
      <c r="T417">
        <v>39</v>
      </c>
      <c r="U417">
        <v>36</v>
      </c>
      <c r="AA417">
        <v>272.80168440800003</v>
      </c>
      <c r="AB417">
        <v>514699.21967700002</v>
      </c>
      <c r="AC417" s="1" t="s">
        <v>245</v>
      </c>
      <c r="AD417" t="s">
        <v>246</v>
      </c>
    </row>
    <row r="418" spans="2:30" x14ac:dyDescent="0.25">
      <c r="B418" s="1" t="s">
        <v>1228</v>
      </c>
      <c r="C418">
        <v>417</v>
      </c>
      <c r="D418" s="1" t="s">
        <v>82</v>
      </c>
      <c r="E418" t="s">
        <v>154</v>
      </c>
      <c r="F418" s="1" t="s">
        <v>1278</v>
      </c>
      <c r="O418" s="1" t="s">
        <v>364</v>
      </c>
      <c r="P418" t="s">
        <v>108</v>
      </c>
      <c r="Q418" s="1" t="s">
        <v>244</v>
      </c>
      <c r="R418">
        <v>7</v>
      </c>
      <c r="S418">
        <v>50</v>
      </c>
      <c r="T418">
        <v>39</v>
      </c>
      <c r="U418">
        <v>28</v>
      </c>
      <c r="AA418">
        <v>1160.0001717299999</v>
      </c>
      <c r="AB418">
        <v>1942912.6226600001</v>
      </c>
      <c r="AC418" s="1" t="s">
        <v>245</v>
      </c>
      <c r="AD418" t="s">
        <v>246</v>
      </c>
    </row>
    <row r="419" spans="2:30" x14ac:dyDescent="0.25">
      <c r="B419" s="1" t="s">
        <v>1228</v>
      </c>
      <c r="C419">
        <v>418</v>
      </c>
      <c r="D419" s="1" t="s">
        <v>82</v>
      </c>
      <c r="E419" t="s">
        <v>154</v>
      </c>
      <c r="F419" s="1" t="s">
        <v>1278</v>
      </c>
      <c r="O419" s="1" t="s">
        <v>393</v>
      </c>
      <c r="P419" t="s">
        <v>108</v>
      </c>
      <c r="Q419" s="1" t="s">
        <v>244</v>
      </c>
      <c r="R419">
        <v>2</v>
      </c>
      <c r="S419">
        <v>50</v>
      </c>
      <c r="T419">
        <v>39</v>
      </c>
      <c r="U419">
        <v>36</v>
      </c>
      <c r="AA419">
        <v>272.80168440800003</v>
      </c>
      <c r="AB419">
        <v>514699.21967800002</v>
      </c>
      <c r="AC419" s="1" t="s">
        <v>245</v>
      </c>
      <c r="AD419" t="s">
        <v>246</v>
      </c>
    </row>
    <row r="420" spans="2:30" x14ac:dyDescent="0.25">
      <c r="B420" s="1" t="s">
        <v>1229</v>
      </c>
      <c r="C420">
        <v>419</v>
      </c>
      <c r="D420" s="1" t="s">
        <v>82</v>
      </c>
      <c r="E420" t="s">
        <v>154</v>
      </c>
      <c r="F420" s="1" t="s">
        <v>1278</v>
      </c>
      <c r="O420" s="1" t="s">
        <v>364</v>
      </c>
      <c r="P420" t="s">
        <v>108</v>
      </c>
      <c r="Q420" s="1" t="s">
        <v>244</v>
      </c>
      <c r="R420">
        <v>10</v>
      </c>
      <c r="S420">
        <v>50</v>
      </c>
      <c r="T420">
        <v>39</v>
      </c>
      <c r="U420">
        <v>28</v>
      </c>
      <c r="AA420">
        <v>1160.0001717299999</v>
      </c>
      <c r="AB420">
        <v>1942912.6226600001</v>
      </c>
      <c r="AC420" s="1" t="s">
        <v>245</v>
      </c>
      <c r="AD420" t="s">
        <v>246</v>
      </c>
    </row>
    <row r="421" spans="2:30" x14ac:dyDescent="0.25">
      <c r="B421" s="1" t="s">
        <v>1229</v>
      </c>
      <c r="C421">
        <v>420</v>
      </c>
      <c r="D421" s="1" t="s">
        <v>82</v>
      </c>
      <c r="E421" t="s">
        <v>154</v>
      </c>
      <c r="F421" s="1" t="s">
        <v>1278</v>
      </c>
      <c r="O421" s="1" t="s">
        <v>393</v>
      </c>
      <c r="P421" t="s">
        <v>108</v>
      </c>
      <c r="Q421" s="1" t="s">
        <v>244</v>
      </c>
      <c r="R421">
        <v>1</v>
      </c>
      <c r="S421">
        <v>50</v>
      </c>
      <c r="T421">
        <v>39</v>
      </c>
      <c r="U421">
        <v>36</v>
      </c>
      <c r="AA421">
        <v>272.80168440800003</v>
      </c>
      <c r="AB421">
        <v>514699.21967800002</v>
      </c>
      <c r="AC421" s="1" t="s">
        <v>245</v>
      </c>
      <c r="AD421" t="s">
        <v>246</v>
      </c>
    </row>
    <row r="422" spans="2:30" x14ac:dyDescent="0.25">
      <c r="B422" s="1" t="s">
        <v>1218</v>
      </c>
      <c r="C422">
        <v>421</v>
      </c>
      <c r="D422" s="1" t="s">
        <v>82</v>
      </c>
      <c r="E422" t="s">
        <v>154</v>
      </c>
      <c r="F422" s="1" t="s">
        <v>1278</v>
      </c>
      <c r="O422" s="1" t="s">
        <v>1166</v>
      </c>
      <c r="P422" t="s">
        <v>108</v>
      </c>
      <c r="Q422" s="1" t="s">
        <v>244</v>
      </c>
      <c r="R422">
        <v>5</v>
      </c>
      <c r="S422">
        <v>50</v>
      </c>
      <c r="T422">
        <v>39</v>
      </c>
      <c r="U422">
        <v>25</v>
      </c>
      <c r="AA422">
        <v>1470.0001727900001</v>
      </c>
      <c r="AB422">
        <v>2353354.8674300001</v>
      </c>
      <c r="AC422" s="1" t="s">
        <v>245</v>
      </c>
      <c r="AD422" t="s">
        <v>246</v>
      </c>
    </row>
    <row r="423" spans="2:30" x14ac:dyDescent="0.25">
      <c r="B423" s="1" t="s">
        <v>1218</v>
      </c>
      <c r="C423">
        <v>422</v>
      </c>
      <c r="D423" s="1" t="s">
        <v>82</v>
      </c>
      <c r="E423" t="s">
        <v>154</v>
      </c>
      <c r="F423" s="1" t="s">
        <v>1278</v>
      </c>
      <c r="O423" s="1" t="s">
        <v>956</v>
      </c>
      <c r="P423" t="s">
        <v>108</v>
      </c>
      <c r="Q423" s="1" t="s">
        <v>244</v>
      </c>
      <c r="R423">
        <v>1</v>
      </c>
      <c r="S423">
        <v>50</v>
      </c>
      <c r="T423">
        <v>39</v>
      </c>
      <c r="U423">
        <v>27</v>
      </c>
      <c r="AA423">
        <v>1260.0001717299999</v>
      </c>
      <c r="AB423">
        <v>2080326.44872</v>
      </c>
      <c r="AC423" s="1" t="s">
        <v>245</v>
      </c>
      <c r="AD423" t="s">
        <v>246</v>
      </c>
    </row>
    <row r="424" spans="2:30" x14ac:dyDescent="0.25">
      <c r="B424" s="1" t="s">
        <v>1227</v>
      </c>
      <c r="C424">
        <v>423</v>
      </c>
      <c r="D424" s="1" t="s">
        <v>82</v>
      </c>
      <c r="E424" t="s">
        <v>154</v>
      </c>
      <c r="F424" s="1" t="s">
        <v>1278</v>
      </c>
      <c r="O424" s="1" t="s">
        <v>392</v>
      </c>
      <c r="P424" t="s">
        <v>108</v>
      </c>
      <c r="Q424" s="1" t="s">
        <v>244</v>
      </c>
      <c r="R424">
        <v>2</v>
      </c>
      <c r="S424">
        <v>50</v>
      </c>
      <c r="T424">
        <v>39</v>
      </c>
      <c r="U424">
        <v>28</v>
      </c>
      <c r="AA424">
        <v>1151.77997342</v>
      </c>
      <c r="AB424">
        <v>1931404.5714700001</v>
      </c>
      <c r="AC424" s="1" t="s">
        <v>245</v>
      </c>
      <c r="AD424" t="s">
        <v>246</v>
      </c>
    </row>
    <row r="425" spans="2:30" x14ac:dyDescent="0.25">
      <c r="B425" s="1" t="s">
        <v>1218</v>
      </c>
      <c r="C425">
        <v>424</v>
      </c>
      <c r="D425" s="1" t="s">
        <v>82</v>
      </c>
      <c r="E425" t="s">
        <v>154</v>
      </c>
      <c r="F425" s="1" t="s">
        <v>1278</v>
      </c>
      <c r="O425" s="1" t="s">
        <v>393</v>
      </c>
      <c r="P425" t="s">
        <v>108</v>
      </c>
      <c r="Q425" s="1" t="s">
        <v>244</v>
      </c>
      <c r="R425">
        <v>1</v>
      </c>
      <c r="S425">
        <v>50</v>
      </c>
      <c r="T425">
        <v>39</v>
      </c>
      <c r="U425">
        <v>36</v>
      </c>
      <c r="AA425">
        <v>272.80168440800003</v>
      </c>
      <c r="AB425">
        <v>514699.21975300001</v>
      </c>
      <c r="AC425" s="1" t="s">
        <v>245</v>
      </c>
      <c r="AD425" t="s">
        <v>246</v>
      </c>
    </row>
    <row r="426" spans="2:30" x14ac:dyDescent="0.25">
      <c r="B426" s="1" t="s">
        <v>1218</v>
      </c>
      <c r="C426">
        <v>425</v>
      </c>
      <c r="D426" s="1" t="s">
        <v>82</v>
      </c>
      <c r="E426" t="s">
        <v>154</v>
      </c>
      <c r="F426" s="1" t="s">
        <v>1278</v>
      </c>
      <c r="O426" s="1" t="s">
        <v>364</v>
      </c>
      <c r="P426" t="s">
        <v>108</v>
      </c>
      <c r="Q426" s="1" t="s">
        <v>244</v>
      </c>
      <c r="R426">
        <v>1</v>
      </c>
      <c r="S426">
        <v>50</v>
      </c>
      <c r="T426">
        <v>39</v>
      </c>
      <c r="U426">
        <v>28</v>
      </c>
      <c r="AA426">
        <v>1160.0001717299999</v>
      </c>
      <c r="AB426">
        <v>1942912.62298</v>
      </c>
      <c r="AC426" s="1" t="s">
        <v>245</v>
      </c>
      <c r="AD426" t="s">
        <v>246</v>
      </c>
    </row>
    <row r="427" spans="2:30" x14ac:dyDescent="0.25">
      <c r="B427" s="1" t="s">
        <v>1221</v>
      </c>
      <c r="C427">
        <v>426</v>
      </c>
      <c r="D427" s="1" t="s">
        <v>82</v>
      </c>
      <c r="E427" t="s">
        <v>154</v>
      </c>
      <c r="F427" s="1" t="s">
        <v>1278</v>
      </c>
      <c r="O427" s="1" t="s">
        <v>392</v>
      </c>
      <c r="P427" t="s">
        <v>108</v>
      </c>
      <c r="Q427" s="1" t="s">
        <v>244</v>
      </c>
      <c r="R427">
        <v>2</v>
      </c>
      <c r="S427">
        <v>50</v>
      </c>
      <c r="T427">
        <v>39</v>
      </c>
      <c r="U427">
        <v>28</v>
      </c>
      <c r="AA427">
        <v>1151.77997342</v>
      </c>
      <c r="AB427">
        <v>1931404.5714700001</v>
      </c>
      <c r="AC427" s="1" t="s">
        <v>245</v>
      </c>
      <c r="AD427" t="s">
        <v>246</v>
      </c>
    </row>
    <row r="428" spans="2:30" x14ac:dyDescent="0.25">
      <c r="B428" s="1" t="s">
        <v>1221</v>
      </c>
      <c r="C428">
        <v>427</v>
      </c>
      <c r="D428" s="1" t="s">
        <v>82</v>
      </c>
      <c r="E428" t="s">
        <v>154</v>
      </c>
      <c r="F428" s="1" t="s">
        <v>1278</v>
      </c>
      <c r="O428" s="1" t="s">
        <v>944</v>
      </c>
      <c r="P428" t="s">
        <v>108</v>
      </c>
      <c r="Q428" s="1" t="s">
        <v>244</v>
      </c>
      <c r="R428">
        <v>1</v>
      </c>
      <c r="S428">
        <v>50</v>
      </c>
      <c r="T428">
        <v>39</v>
      </c>
      <c r="U428">
        <v>36</v>
      </c>
      <c r="AA428">
        <v>268.80168440800003</v>
      </c>
      <c r="AB428">
        <v>507409.029408</v>
      </c>
      <c r="AC428" s="1" t="s">
        <v>245</v>
      </c>
      <c r="AD428" t="s">
        <v>246</v>
      </c>
    </row>
    <row r="429" spans="2:30" x14ac:dyDescent="0.25">
      <c r="B429" s="1" t="s">
        <v>1222</v>
      </c>
      <c r="C429">
        <v>428</v>
      </c>
      <c r="D429" s="1" t="s">
        <v>82</v>
      </c>
      <c r="E429" t="s">
        <v>154</v>
      </c>
      <c r="F429" s="1" t="s">
        <v>1278</v>
      </c>
      <c r="O429" s="1" t="s">
        <v>392</v>
      </c>
      <c r="P429" t="s">
        <v>108</v>
      </c>
      <c r="Q429" s="1" t="s">
        <v>244</v>
      </c>
      <c r="R429">
        <v>2</v>
      </c>
      <c r="S429">
        <v>50</v>
      </c>
      <c r="T429">
        <v>39</v>
      </c>
      <c r="U429">
        <v>28</v>
      </c>
      <c r="AA429">
        <v>1151.77997342</v>
      </c>
      <c r="AB429">
        <v>1931404.5714700001</v>
      </c>
      <c r="AC429" s="1" t="s">
        <v>245</v>
      </c>
      <c r="AD429" t="s">
        <v>246</v>
      </c>
    </row>
    <row r="430" spans="2:30" x14ac:dyDescent="0.25">
      <c r="B430" s="1" t="s">
        <v>1230</v>
      </c>
      <c r="C430">
        <v>429</v>
      </c>
      <c r="D430" s="1" t="s">
        <v>82</v>
      </c>
      <c r="E430" t="s">
        <v>154</v>
      </c>
      <c r="F430" s="1" t="s">
        <v>1279</v>
      </c>
      <c r="O430" s="1" t="s">
        <v>364</v>
      </c>
      <c r="P430" t="s">
        <v>108</v>
      </c>
      <c r="Q430" s="1" t="s">
        <v>244</v>
      </c>
      <c r="R430">
        <v>8</v>
      </c>
      <c r="S430">
        <v>50</v>
      </c>
      <c r="T430">
        <v>39</v>
      </c>
      <c r="U430">
        <v>28</v>
      </c>
      <c r="AA430">
        <v>1160.0001717299999</v>
      </c>
      <c r="AB430">
        <v>1942912.6230899999</v>
      </c>
      <c r="AC430" s="1" t="s">
        <v>245</v>
      </c>
      <c r="AD430" t="s">
        <v>246</v>
      </c>
    </row>
    <row r="431" spans="2:30" x14ac:dyDescent="0.25">
      <c r="B431" s="1" t="s">
        <v>1230</v>
      </c>
      <c r="C431">
        <v>430</v>
      </c>
      <c r="D431" s="1" t="s">
        <v>82</v>
      </c>
      <c r="E431" t="s">
        <v>154</v>
      </c>
      <c r="F431" s="1" t="s">
        <v>1279</v>
      </c>
      <c r="O431" s="1" t="s">
        <v>393</v>
      </c>
      <c r="P431" t="s">
        <v>108</v>
      </c>
      <c r="Q431" s="1" t="s">
        <v>244</v>
      </c>
      <c r="R431">
        <v>2</v>
      </c>
      <c r="S431">
        <v>50</v>
      </c>
      <c r="T431">
        <v>39</v>
      </c>
      <c r="U431">
        <v>36</v>
      </c>
      <c r="AA431">
        <v>272.80168440800003</v>
      </c>
      <c r="AB431">
        <v>514699.21982900001</v>
      </c>
      <c r="AC431" s="1" t="s">
        <v>245</v>
      </c>
      <c r="AD431" t="s">
        <v>246</v>
      </c>
    </row>
    <row r="432" spans="2:30" x14ac:dyDescent="0.25">
      <c r="B432" s="1" t="s">
        <v>1223</v>
      </c>
      <c r="C432">
        <v>431</v>
      </c>
      <c r="D432" s="1" t="s">
        <v>82</v>
      </c>
      <c r="E432" t="s">
        <v>154</v>
      </c>
      <c r="F432" s="1" t="s">
        <v>1279</v>
      </c>
      <c r="O432" s="1" t="s">
        <v>364</v>
      </c>
      <c r="P432" t="s">
        <v>108</v>
      </c>
      <c r="Q432" s="1" t="s">
        <v>244</v>
      </c>
      <c r="R432">
        <v>7</v>
      </c>
      <c r="S432">
        <v>50</v>
      </c>
      <c r="T432">
        <v>39</v>
      </c>
      <c r="U432">
        <v>28</v>
      </c>
      <c r="AA432">
        <v>1160.0001717299999</v>
      </c>
      <c r="AB432">
        <v>1942912.6230899999</v>
      </c>
      <c r="AC432" s="1" t="s">
        <v>245</v>
      </c>
      <c r="AD432" t="s">
        <v>246</v>
      </c>
    </row>
    <row r="433" spans="2:30" x14ac:dyDescent="0.25">
      <c r="B433" s="1" t="s">
        <v>1223</v>
      </c>
      <c r="C433">
        <v>432</v>
      </c>
      <c r="D433" s="1" t="s">
        <v>82</v>
      </c>
      <c r="E433" t="s">
        <v>154</v>
      </c>
      <c r="F433" s="1" t="s">
        <v>1279</v>
      </c>
      <c r="O433" s="1" t="s">
        <v>393</v>
      </c>
      <c r="P433" t="s">
        <v>108</v>
      </c>
      <c r="Q433" s="1" t="s">
        <v>244</v>
      </c>
      <c r="R433">
        <v>1</v>
      </c>
      <c r="S433">
        <v>50</v>
      </c>
      <c r="T433">
        <v>39</v>
      </c>
      <c r="U433">
        <v>36</v>
      </c>
      <c r="AA433">
        <v>272.80168440800003</v>
      </c>
      <c r="AB433">
        <v>514699.21982900001</v>
      </c>
      <c r="AC433" s="1" t="s">
        <v>245</v>
      </c>
      <c r="AD433" t="s">
        <v>246</v>
      </c>
    </row>
    <row r="434" spans="2:30" x14ac:dyDescent="0.25">
      <c r="B434" s="1" t="s">
        <v>1224</v>
      </c>
      <c r="C434">
        <v>433</v>
      </c>
      <c r="D434" s="1" t="s">
        <v>82</v>
      </c>
      <c r="E434" t="s">
        <v>154</v>
      </c>
      <c r="F434" s="1" t="s">
        <v>1279</v>
      </c>
      <c r="O434" s="1" t="s">
        <v>364</v>
      </c>
      <c r="P434" t="s">
        <v>108</v>
      </c>
      <c r="Q434" s="1" t="s">
        <v>244</v>
      </c>
      <c r="R434">
        <v>7</v>
      </c>
      <c r="S434">
        <v>50</v>
      </c>
      <c r="T434">
        <v>39</v>
      </c>
      <c r="U434">
        <v>28</v>
      </c>
      <c r="AA434">
        <v>1160.0001717299999</v>
      </c>
      <c r="AB434">
        <v>1942912.6230899999</v>
      </c>
      <c r="AC434" s="1" t="s">
        <v>245</v>
      </c>
      <c r="AD434" t="s">
        <v>246</v>
      </c>
    </row>
    <row r="435" spans="2:30" x14ac:dyDescent="0.25">
      <c r="B435" s="1" t="s">
        <v>1224</v>
      </c>
      <c r="C435">
        <v>434</v>
      </c>
      <c r="D435" s="1" t="s">
        <v>82</v>
      </c>
      <c r="E435" t="s">
        <v>154</v>
      </c>
      <c r="F435" s="1" t="s">
        <v>1279</v>
      </c>
      <c r="O435" s="1" t="s">
        <v>393</v>
      </c>
      <c r="P435" t="s">
        <v>108</v>
      </c>
      <c r="Q435" s="1" t="s">
        <v>244</v>
      </c>
      <c r="R435">
        <v>2</v>
      </c>
      <c r="S435">
        <v>50</v>
      </c>
      <c r="T435">
        <v>39</v>
      </c>
      <c r="U435">
        <v>36</v>
      </c>
      <c r="AA435">
        <v>272.80168440800003</v>
      </c>
      <c r="AB435">
        <v>514699.21982900001</v>
      </c>
      <c r="AC435" s="1" t="s">
        <v>245</v>
      </c>
      <c r="AD435" t="s">
        <v>246</v>
      </c>
    </row>
    <row r="436" spans="2:30" x14ac:dyDescent="0.25">
      <c r="B436" s="1" t="s">
        <v>1231</v>
      </c>
      <c r="C436">
        <v>435</v>
      </c>
      <c r="D436" s="1" t="s">
        <v>82</v>
      </c>
      <c r="E436" t="s">
        <v>154</v>
      </c>
      <c r="F436" s="1" t="s">
        <v>1279</v>
      </c>
      <c r="O436" s="1" t="s">
        <v>364</v>
      </c>
      <c r="P436" t="s">
        <v>108</v>
      </c>
      <c r="Q436" s="1" t="s">
        <v>244</v>
      </c>
      <c r="R436">
        <v>7</v>
      </c>
      <c r="S436">
        <v>50</v>
      </c>
      <c r="T436">
        <v>39</v>
      </c>
      <c r="U436">
        <v>28</v>
      </c>
      <c r="AA436">
        <v>1160.0001717299999</v>
      </c>
      <c r="AB436">
        <v>1942912.6230899999</v>
      </c>
      <c r="AC436" s="1" t="s">
        <v>245</v>
      </c>
      <c r="AD436" t="s">
        <v>246</v>
      </c>
    </row>
    <row r="437" spans="2:30" x14ac:dyDescent="0.25">
      <c r="B437" s="1" t="s">
        <v>1231</v>
      </c>
      <c r="C437">
        <v>436</v>
      </c>
      <c r="D437" s="1" t="s">
        <v>82</v>
      </c>
      <c r="E437" t="s">
        <v>154</v>
      </c>
      <c r="F437" s="1" t="s">
        <v>1279</v>
      </c>
      <c r="O437" s="1" t="s">
        <v>393</v>
      </c>
      <c r="P437" t="s">
        <v>108</v>
      </c>
      <c r="Q437" s="1" t="s">
        <v>244</v>
      </c>
      <c r="R437">
        <v>2</v>
      </c>
      <c r="S437">
        <v>50</v>
      </c>
      <c r="T437">
        <v>39</v>
      </c>
      <c r="U437">
        <v>36</v>
      </c>
      <c r="AA437">
        <v>272.80168440800003</v>
      </c>
      <c r="AB437">
        <v>514699.21982900001</v>
      </c>
      <c r="AC437" s="1" t="s">
        <v>245</v>
      </c>
      <c r="AD437" t="s">
        <v>246</v>
      </c>
    </row>
    <row r="438" spans="2:30" x14ac:dyDescent="0.25">
      <c r="B438" s="1" t="s">
        <v>1219</v>
      </c>
      <c r="C438">
        <v>437</v>
      </c>
      <c r="D438" s="1" t="s">
        <v>82</v>
      </c>
      <c r="E438" t="s">
        <v>154</v>
      </c>
      <c r="F438" s="1" t="s">
        <v>1279</v>
      </c>
      <c r="O438" s="1" t="s">
        <v>1166</v>
      </c>
      <c r="P438" t="s">
        <v>108</v>
      </c>
      <c r="Q438" s="1" t="s">
        <v>244</v>
      </c>
      <c r="R438">
        <v>5</v>
      </c>
      <c r="S438">
        <v>50</v>
      </c>
      <c r="T438">
        <v>39</v>
      </c>
      <c r="U438">
        <v>25</v>
      </c>
      <c r="AA438">
        <v>1470.0001727900001</v>
      </c>
      <c r="AB438">
        <v>2353354.8678799998</v>
      </c>
      <c r="AC438" s="1" t="s">
        <v>245</v>
      </c>
      <c r="AD438" t="s">
        <v>246</v>
      </c>
    </row>
    <row r="439" spans="2:30" x14ac:dyDescent="0.25">
      <c r="B439" s="1" t="s">
        <v>1219</v>
      </c>
      <c r="C439">
        <v>438</v>
      </c>
      <c r="D439" s="1" t="s">
        <v>82</v>
      </c>
      <c r="E439" t="s">
        <v>154</v>
      </c>
      <c r="F439" s="1" t="s">
        <v>1279</v>
      </c>
      <c r="O439" s="1" t="s">
        <v>956</v>
      </c>
      <c r="P439" t="s">
        <v>108</v>
      </c>
      <c r="Q439" s="1" t="s">
        <v>244</v>
      </c>
      <c r="R439">
        <v>1</v>
      </c>
      <c r="S439">
        <v>50</v>
      </c>
      <c r="T439">
        <v>39</v>
      </c>
      <c r="U439">
        <v>27</v>
      </c>
      <c r="AA439">
        <v>1260.0001717299999</v>
      </c>
      <c r="AB439">
        <v>2080326.4491600001</v>
      </c>
      <c r="AC439" s="1" t="s">
        <v>245</v>
      </c>
      <c r="AD439" t="s">
        <v>246</v>
      </c>
    </row>
    <row r="440" spans="2:30" x14ac:dyDescent="0.25">
      <c r="B440" s="1" t="s">
        <v>1230</v>
      </c>
      <c r="C440">
        <v>439</v>
      </c>
      <c r="D440" s="1" t="s">
        <v>82</v>
      </c>
      <c r="E440" t="s">
        <v>154</v>
      </c>
      <c r="F440" s="1" t="s">
        <v>1279</v>
      </c>
      <c r="O440" s="1" t="s">
        <v>392</v>
      </c>
      <c r="P440" t="s">
        <v>108</v>
      </c>
      <c r="Q440" s="1" t="s">
        <v>244</v>
      </c>
      <c r="R440">
        <v>2</v>
      </c>
      <c r="S440">
        <v>50</v>
      </c>
      <c r="T440">
        <v>39</v>
      </c>
      <c r="U440">
        <v>28</v>
      </c>
      <c r="AA440">
        <v>1151.77997342</v>
      </c>
      <c r="AB440">
        <v>1931404.57189</v>
      </c>
      <c r="AC440" s="1" t="s">
        <v>245</v>
      </c>
      <c r="AD440" t="s">
        <v>246</v>
      </c>
    </row>
    <row r="441" spans="2:30" x14ac:dyDescent="0.25">
      <c r="B441" s="1" t="s">
        <v>1219</v>
      </c>
      <c r="C441">
        <v>440</v>
      </c>
      <c r="D441" s="1" t="s">
        <v>82</v>
      </c>
      <c r="E441" t="s">
        <v>154</v>
      </c>
      <c r="F441" s="1" t="s">
        <v>1279</v>
      </c>
      <c r="O441" s="1" t="s">
        <v>364</v>
      </c>
      <c r="P441" t="s">
        <v>108</v>
      </c>
      <c r="Q441" s="1" t="s">
        <v>244</v>
      </c>
      <c r="R441">
        <v>1</v>
      </c>
      <c r="S441">
        <v>50</v>
      </c>
      <c r="T441">
        <v>39</v>
      </c>
      <c r="U441">
        <v>28</v>
      </c>
      <c r="AA441">
        <v>1160.0001717299999</v>
      </c>
      <c r="AB441">
        <v>1942912.62341</v>
      </c>
      <c r="AC441" s="1" t="s">
        <v>245</v>
      </c>
      <c r="AD441" t="s">
        <v>246</v>
      </c>
    </row>
    <row r="442" spans="2:30" x14ac:dyDescent="0.25">
      <c r="B442" s="1" t="s">
        <v>1223</v>
      </c>
      <c r="C442">
        <v>441</v>
      </c>
      <c r="D442" s="1" t="s">
        <v>82</v>
      </c>
      <c r="E442" t="s">
        <v>154</v>
      </c>
      <c r="F442" s="1" t="s">
        <v>1279</v>
      </c>
      <c r="O442" s="1" t="s">
        <v>392</v>
      </c>
      <c r="P442" t="s">
        <v>108</v>
      </c>
      <c r="Q442" s="1" t="s">
        <v>244</v>
      </c>
      <c r="R442">
        <v>2</v>
      </c>
      <c r="S442">
        <v>50</v>
      </c>
      <c r="T442">
        <v>39</v>
      </c>
      <c r="U442">
        <v>28</v>
      </c>
      <c r="AA442">
        <v>1151.77997342</v>
      </c>
      <c r="AB442">
        <v>1931404.5719000001</v>
      </c>
      <c r="AC442" s="1" t="s">
        <v>245</v>
      </c>
      <c r="AD442" t="s">
        <v>246</v>
      </c>
    </row>
    <row r="443" spans="2:30" x14ac:dyDescent="0.25">
      <c r="B443" s="1" t="s">
        <v>1224</v>
      </c>
      <c r="C443">
        <v>442</v>
      </c>
      <c r="D443" s="1" t="s">
        <v>82</v>
      </c>
      <c r="E443" t="s">
        <v>154</v>
      </c>
      <c r="F443" s="1" t="s">
        <v>1279</v>
      </c>
      <c r="O443" s="1" t="s">
        <v>392</v>
      </c>
      <c r="P443" t="s">
        <v>108</v>
      </c>
      <c r="Q443" s="1" t="s">
        <v>244</v>
      </c>
      <c r="R443">
        <v>2</v>
      </c>
      <c r="S443">
        <v>50</v>
      </c>
      <c r="T443">
        <v>39</v>
      </c>
      <c r="U443">
        <v>28</v>
      </c>
      <c r="AA443">
        <v>1151.77997342</v>
      </c>
      <c r="AB443">
        <v>1931404.57189</v>
      </c>
      <c r="AC443" s="1" t="s">
        <v>245</v>
      </c>
      <c r="AD443" t="s">
        <v>246</v>
      </c>
    </row>
    <row r="444" spans="2:30" x14ac:dyDescent="0.25">
      <c r="B444" s="1" t="s">
        <v>1219</v>
      </c>
      <c r="C444">
        <v>443</v>
      </c>
      <c r="D444" s="1" t="s">
        <v>82</v>
      </c>
      <c r="E444" t="s">
        <v>154</v>
      </c>
      <c r="F444" s="1" t="s">
        <v>1279</v>
      </c>
      <c r="O444" s="1" t="s">
        <v>393</v>
      </c>
      <c r="P444" t="s">
        <v>108</v>
      </c>
      <c r="Q444" s="1" t="s">
        <v>244</v>
      </c>
      <c r="R444">
        <v>1</v>
      </c>
      <c r="S444">
        <v>50</v>
      </c>
      <c r="T444">
        <v>39</v>
      </c>
      <c r="U444">
        <v>36</v>
      </c>
      <c r="AA444">
        <v>272.80168440800003</v>
      </c>
      <c r="AB444">
        <v>514699.219904</v>
      </c>
      <c r="AC444" s="1" t="s">
        <v>245</v>
      </c>
      <c r="AD444" t="s">
        <v>246</v>
      </c>
    </row>
    <row r="445" spans="2:30" x14ac:dyDescent="0.25">
      <c r="B445" s="1" t="s">
        <v>1223</v>
      </c>
      <c r="C445">
        <v>444</v>
      </c>
      <c r="D445" s="1" t="s">
        <v>82</v>
      </c>
      <c r="E445" t="s">
        <v>154</v>
      </c>
      <c r="F445" s="1" t="s">
        <v>1279</v>
      </c>
      <c r="O445" s="1" t="s">
        <v>944</v>
      </c>
      <c r="P445" t="s">
        <v>108</v>
      </c>
      <c r="Q445" s="1" t="s">
        <v>244</v>
      </c>
      <c r="R445">
        <v>1</v>
      </c>
      <c r="S445">
        <v>50</v>
      </c>
      <c r="T445">
        <v>39</v>
      </c>
      <c r="U445">
        <v>36</v>
      </c>
      <c r="AA445">
        <v>268.80168440800003</v>
      </c>
      <c r="AB445">
        <v>507409.02955699997</v>
      </c>
      <c r="AC445" s="1" t="s">
        <v>245</v>
      </c>
      <c r="AD445" t="s">
        <v>246</v>
      </c>
    </row>
    <row r="446" spans="2:30" x14ac:dyDescent="0.25">
      <c r="B446" s="1" t="s">
        <v>1232</v>
      </c>
      <c r="C446">
        <v>445</v>
      </c>
      <c r="D446" s="1" t="s">
        <v>82</v>
      </c>
      <c r="E446" t="s">
        <v>154</v>
      </c>
      <c r="F446" s="1" t="s">
        <v>1280</v>
      </c>
      <c r="O446" s="1" t="s">
        <v>364</v>
      </c>
      <c r="P446" t="s">
        <v>108</v>
      </c>
      <c r="Q446" s="1" t="s">
        <v>244</v>
      </c>
      <c r="R446">
        <v>8</v>
      </c>
      <c r="S446">
        <v>50</v>
      </c>
      <c r="T446">
        <v>39</v>
      </c>
      <c r="U446">
        <v>28</v>
      </c>
      <c r="AA446">
        <v>1160.0001717299999</v>
      </c>
      <c r="AB446">
        <v>1942912.6239799999</v>
      </c>
      <c r="AC446" s="1" t="s">
        <v>245</v>
      </c>
      <c r="AD446" t="s">
        <v>246</v>
      </c>
    </row>
    <row r="447" spans="2:30" x14ac:dyDescent="0.25">
      <c r="B447" s="1" t="s">
        <v>1232</v>
      </c>
      <c r="C447">
        <v>446</v>
      </c>
      <c r="D447" s="1" t="s">
        <v>82</v>
      </c>
      <c r="E447" t="s">
        <v>154</v>
      </c>
      <c r="F447" s="1" t="s">
        <v>1280</v>
      </c>
      <c r="O447" s="1" t="s">
        <v>393</v>
      </c>
      <c r="P447" t="s">
        <v>108</v>
      </c>
      <c r="Q447" s="1" t="s">
        <v>244</v>
      </c>
      <c r="R447">
        <v>2</v>
      </c>
      <c r="S447">
        <v>50</v>
      </c>
      <c r="T447">
        <v>39</v>
      </c>
      <c r="U447">
        <v>36</v>
      </c>
      <c r="AA447">
        <v>272.80168440800003</v>
      </c>
      <c r="AB447">
        <v>514699.22008599999</v>
      </c>
      <c r="AC447" s="1" t="s">
        <v>245</v>
      </c>
      <c r="AD447" t="s">
        <v>246</v>
      </c>
    </row>
    <row r="448" spans="2:30" x14ac:dyDescent="0.25">
      <c r="B448" s="1" t="s">
        <v>1225</v>
      </c>
      <c r="C448">
        <v>447</v>
      </c>
      <c r="D448" s="1" t="s">
        <v>82</v>
      </c>
      <c r="E448" t="s">
        <v>154</v>
      </c>
      <c r="F448" s="1" t="s">
        <v>1280</v>
      </c>
      <c r="O448" s="1" t="s">
        <v>364</v>
      </c>
      <c r="P448" t="s">
        <v>108</v>
      </c>
      <c r="Q448" s="1" t="s">
        <v>244</v>
      </c>
      <c r="R448">
        <v>7</v>
      </c>
      <c r="S448">
        <v>50</v>
      </c>
      <c r="T448">
        <v>39</v>
      </c>
      <c r="U448">
        <v>28</v>
      </c>
      <c r="AA448">
        <v>1160.0001717299999</v>
      </c>
      <c r="AB448">
        <v>1942912.6239799999</v>
      </c>
      <c r="AC448" s="1" t="s">
        <v>245</v>
      </c>
      <c r="AD448" t="s">
        <v>246</v>
      </c>
    </row>
    <row r="449" spans="2:30" x14ac:dyDescent="0.25">
      <c r="B449" s="1" t="s">
        <v>1225</v>
      </c>
      <c r="C449">
        <v>448</v>
      </c>
      <c r="D449" s="1" t="s">
        <v>82</v>
      </c>
      <c r="E449" t="s">
        <v>154</v>
      </c>
      <c r="F449" s="1" t="s">
        <v>1280</v>
      </c>
      <c r="O449" s="1" t="s">
        <v>393</v>
      </c>
      <c r="P449" t="s">
        <v>108</v>
      </c>
      <c r="Q449" s="1" t="s">
        <v>244</v>
      </c>
      <c r="R449">
        <v>1</v>
      </c>
      <c r="S449">
        <v>50</v>
      </c>
      <c r="T449">
        <v>39</v>
      </c>
      <c r="U449">
        <v>36</v>
      </c>
      <c r="AA449">
        <v>272.80168440800003</v>
      </c>
      <c r="AB449">
        <v>514699.22008599999</v>
      </c>
      <c r="AC449" s="1" t="s">
        <v>245</v>
      </c>
      <c r="AD449" t="s">
        <v>246</v>
      </c>
    </row>
    <row r="450" spans="2:30" x14ac:dyDescent="0.25">
      <c r="B450" s="1" t="s">
        <v>1226</v>
      </c>
      <c r="C450">
        <v>449</v>
      </c>
      <c r="D450" s="1" t="s">
        <v>82</v>
      </c>
      <c r="E450" t="s">
        <v>154</v>
      </c>
      <c r="F450" s="1" t="s">
        <v>1280</v>
      </c>
      <c r="O450" s="1" t="s">
        <v>364</v>
      </c>
      <c r="P450" t="s">
        <v>108</v>
      </c>
      <c r="Q450" s="1" t="s">
        <v>244</v>
      </c>
      <c r="R450">
        <v>7</v>
      </c>
      <c r="S450">
        <v>50</v>
      </c>
      <c r="T450">
        <v>39</v>
      </c>
      <c r="U450">
        <v>28</v>
      </c>
      <c r="AA450">
        <v>1160.0001717299999</v>
      </c>
      <c r="AB450">
        <v>1942912.6239799999</v>
      </c>
      <c r="AC450" s="1" t="s">
        <v>245</v>
      </c>
      <c r="AD450" t="s">
        <v>246</v>
      </c>
    </row>
    <row r="451" spans="2:30" x14ac:dyDescent="0.25">
      <c r="B451" s="1" t="s">
        <v>1226</v>
      </c>
      <c r="C451">
        <v>450</v>
      </c>
      <c r="D451" s="1" t="s">
        <v>82</v>
      </c>
      <c r="E451" t="s">
        <v>154</v>
      </c>
      <c r="F451" s="1" t="s">
        <v>1280</v>
      </c>
      <c r="O451" s="1" t="s">
        <v>393</v>
      </c>
      <c r="P451" t="s">
        <v>108</v>
      </c>
      <c r="Q451" s="1" t="s">
        <v>244</v>
      </c>
      <c r="R451">
        <v>2</v>
      </c>
      <c r="S451">
        <v>50</v>
      </c>
      <c r="T451">
        <v>39</v>
      </c>
      <c r="U451">
        <v>36</v>
      </c>
      <c r="AA451">
        <v>272.80168440800003</v>
      </c>
      <c r="AB451">
        <v>514699.22008599999</v>
      </c>
      <c r="AC451" s="1" t="s">
        <v>245</v>
      </c>
      <c r="AD451" t="s">
        <v>246</v>
      </c>
    </row>
    <row r="452" spans="2:30" x14ac:dyDescent="0.25">
      <c r="B452" s="1" t="s">
        <v>1233</v>
      </c>
      <c r="C452">
        <v>451</v>
      </c>
      <c r="D452" s="1" t="s">
        <v>82</v>
      </c>
      <c r="E452" t="s">
        <v>154</v>
      </c>
      <c r="F452" s="1" t="s">
        <v>1280</v>
      </c>
      <c r="O452" s="1" t="s">
        <v>364</v>
      </c>
      <c r="P452" t="s">
        <v>108</v>
      </c>
      <c r="Q452" s="1" t="s">
        <v>244</v>
      </c>
      <c r="R452">
        <v>8</v>
      </c>
      <c r="S452">
        <v>50</v>
      </c>
      <c r="T452">
        <v>39</v>
      </c>
      <c r="U452">
        <v>28</v>
      </c>
      <c r="AA452">
        <v>1160.0001717299999</v>
      </c>
      <c r="AB452">
        <v>1942912.6239799999</v>
      </c>
      <c r="AC452" s="1" t="s">
        <v>245</v>
      </c>
      <c r="AD452" t="s">
        <v>246</v>
      </c>
    </row>
    <row r="453" spans="2:30" x14ac:dyDescent="0.25">
      <c r="B453" s="1" t="s">
        <v>1233</v>
      </c>
      <c r="C453">
        <v>452</v>
      </c>
      <c r="D453" s="1" t="s">
        <v>82</v>
      </c>
      <c r="E453" t="s">
        <v>154</v>
      </c>
      <c r="F453" s="1" t="s">
        <v>1280</v>
      </c>
      <c r="O453" s="1" t="s">
        <v>393</v>
      </c>
      <c r="P453" t="s">
        <v>108</v>
      </c>
      <c r="Q453" s="1" t="s">
        <v>244</v>
      </c>
      <c r="R453">
        <v>1</v>
      </c>
      <c r="S453">
        <v>50</v>
      </c>
      <c r="T453">
        <v>39</v>
      </c>
      <c r="U453">
        <v>36</v>
      </c>
      <c r="AA453">
        <v>272.80168440800003</v>
      </c>
      <c r="AB453">
        <v>514699.22008599999</v>
      </c>
      <c r="AC453" s="1" t="s">
        <v>245</v>
      </c>
      <c r="AD453" t="s">
        <v>246</v>
      </c>
    </row>
    <row r="454" spans="2:30" x14ac:dyDescent="0.25">
      <c r="B454" s="1" t="s">
        <v>1220</v>
      </c>
      <c r="C454">
        <v>453</v>
      </c>
      <c r="D454" s="1" t="s">
        <v>82</v>
      </c>
      <c r="E454" t="s">
        <v>154</v>
      </c>
      <c r="F454" s="1" t="s">
        <v>1280</v>
      </c>
      <c r="O454" s="1" t="s">
        <v>1166</v>
      </c>
      <c r="P454" t="s">
        <v>108</v>
      </c>
      <c r="Q454" s="1" t="s">
        <v>244</v>
      </c>
      <c r="R454">
        <v>5</v>
      </c>
      <c r="S454">
        <v>50</v>
      </c>
      <c r="T454">
        <v>39</v>
      </c>
      <c r="U454">
        <v>25</v>
      </c>
      <c r="AA454">
        <v>1470.0001727900001</v>
      </c>
      <c r="AB454">
        <v>2353354.8689199998</v>
      </c>
      <c r="AC454" s="1" t="s">
        <v>245</v>
      </c>
      <c r="AD454" t="s">
        <v>246</v>
      </c>
    </row>
    <row r="455" spans="2:30" x14ac:dyDescent="0.25">
      <c r="B455" s="1" t="s">
        <v>1220</v>
      </c>
      <c r="C455">
        <v>454</v>
      </c>
      <c r="D455" s="1" t="s">
        <v>82</v>
      </c>
      <c r="E455" t="s">
        <v>154</v>
      </c>
      <c r="F455" s="1" t="s">
        <v>1280</v>
      </c>
      <c r="O455" s="1" t="s">
        <v>956</v>
      </c>
      <c r="P455" t="s">
        <v>108</v>
      </c>
      <c r="Q455" s="1" t="s">
        <v>244</v>
      </c>
      <c r="R455">
        <v>1</v>
      </c>
      <c r="S455">
        <v>50</v>
      </c>
      <c r="T455">
        <v>39</v>
      </c>
      <c r="U455">
        <v>27</v>
      </c>
      <c r="AA455">
        <v>1260.0001717299999</v>
      </c>
      <c r="AB455">
        <v>2080326.4500899999</v>
      </c>
      <c r="AC455" s="1" t="s">
        <v>245</v>
      </c>
      <c r="AD455" t="s">
        <v>246</v>
      </c>
    </row>
    <row r="456" spans="2:30" x14ac:dyDescent="0.25">
      <c r="B456" s="1" t="s">
        <v>1232</v>
      </c>
      <c r="C456">
        <v>455</v>
      </c>
      <c r="D456" s="1" t="s">
        <v>82</v>
      </c>
      <c r="E456" t="s">
        <v>154</v>
      </c>
      <c r="F456" s="1" t="s">
        <v>1280</v>
      </c>
      <c r="O456" s="1" t="s">
        <v>392</v>
      </c>
      <c r="P456" t="s">
        <v>108</v>
      </c>
      <c r="Q456" s="1" t="s">
        <v>244</v>
      </c>
      <c r="R456">
        <v>2</v>
      </c>
      <c r="S456">
        <v>50</v>
      </c>
      <c r="T456">
        <v>39</v>
      </c>
      <c r="U456">
        <v>28</v>
      </c>
      <c r="AA456">
        <v>1151.77997342</v>
      </c>
      <c r="AB456">
        <v>1931404.57278</v>
      </c>
      <c r="AC456" s="1" t="s">
        <v>245</v>
      </c>
      <c r="AD456" t="s">
        <v>246</v>
      </c>
    </row>
    <row r="457" spans="2:30" x14ac:dyDescent="0.25">
      <c r="B457" s="1" t="s">
        <v>1220</v>
      </c>
      <c r="C457">
        <v>456</v>
      </c>
      <c r="D457" s="1" t="s">
        <v>82</v>
      </c>
      <c r="E457" t="s">
        <v>154</v>
      </c>
      <c r="F457" s="1" t="s">
        <v>1280</v>
      </c>
      <c r="O457" s="1" t="s">
        <v>393</v>
      </c>
      <c r="P457" t="s">
        <v>108</v>
      </c>
      <c r="Q457" s="1" t="s">
        <v>244</v>
      </c>
      <c r="R457">
        <v>1</v>
      </c>
      <c r="S457">
        <v>50</v>
      </c>
      <c r="T457">
        <v>39</v>
      </c>
      <c r="U457">
        <v>36</v>
      </c>
      <c r="AA457">
        <v>272.80168440800003</v>
      </c>
      <c r="AB457">
        <v>514699.22016000003</v>
      </c>
      <c r="AC457" s="1" t="s">
        <v>245</v>
      </c>
      <c r="AD457" t="s">
        <v>246</v>
      </c>
    </row>
    <row r="458" spans="2:30" x14ac:dyDescent="0.25">
      <c r="B458" s="1" t="s">
        <v>1220</v>
      </c>
      <c r="C458">
        <v>457</v>
      </c>
      <c r="D458" s="1" t="s">
        <v>82</v>
      </c>
      <c r="E458" t="s">
        <v>154</v>
      </c>
      <c r="F458" s="1" t="s">
        <v>1280</v>
      </c>
      <c r="O458" s="1" t="s">
        <v>364</v>
      </c>
      <c r="P458" t="s">
        <v>108</v>
      </c>
      <c r="Q458" s="1" t="s">
        <v>244</v>
      </c>
      <c r="R458">
        <v>1</v>
      </c>
      <c r="S458">
        <v>50</v>
      </c>
      <c r="T458">
        <v>39</v>
      </c>
      <c r="U458">
        <v>28</v>
      </c>
      <c r="AA458">
        <v>1160.0001717299999</v>
      </c>
      <c r="AB458">
        <v>1942912.6243</v>
      </c>
      <c r="AC458" s="1" t="s">
        <v>245</v>
      </c>
      <c r="AD458" t="s">
        <v>246</v>
      </c>
    </row>
    <row r="459" spans="2:30" x14ac:dyDescent="0.25">
      <c r="B459" s="1" t="s">
        <v>1225</v>
      </c>
      <c r="C459">
        <v>458</v>
      </c>
      <c r="D459" s="1" t="s">
        <v>82</v>
      </c>
      <c r="E459" t="s">
        <v>154</v>
      </c>
      <c r="F459" s="1" t="s">
        <v>1280</v>
      </c>
      <c r="O459" s="1" t="s">
        <v>392</v>
      </c>
      <c r="P459" t="s">
        <v>108</v>
      </c>
      <c r="Q459" s="1" t="s">
        <v>244</v>
      </c>
      <c r="R459">
        <v>2</v>
      </c>
      <c r="S459">
        <v>50</v>
      </c>
      <c r="T459">
        <v>39</v>
      </c>
      <c r="U459">
        <v>28</v>
      </c>
      <c r="AA459">
        <v>1151.77997342</v>
      </c>
      <c r="AB459">
        <v>1931404.57278</v>
      </c>
      <c r="AC459" s="1" t="s">
        <v>245</v>
      </c>
      <c r="AD459" t="s">
        <v>246</v>
      </c>
    </row>
    <row r="460" spans="2:30" x14ac:dyDescent="0.25">
      <c r="B460" s="1" t="s">
        <v>1225</v>
      </c>
      <c r="C460">
        <v>459</v>
      </c>
      <c r="D460" s="1" t="s">
        <v>82</v>
      </c>
      <c r="E460" t="s">
        <v>154</v>
      </c>
      <c r="F460" s="1" t="s">
        <v>1280</v>
      </c>
      <c r="O460" s="1" t="s">
        <v>944</v>
      </c>
      <c r="P460" t="s">
        <v>108</v>
      </c>
      <c r="Q460" s="1" t="s">
        <v>244</v>
      </c>
      <c r="R460">
        <v>1</v>
      </c>
      <c r="S460">
        <v>50</v>
      </c>
      <c r="T460">
        <v>39</v>
      </c>
      <c r="U460">
        <v>36</v>
      </c>
      <c r="AA460">
        <v>268.80168440800003</v>
      </c>
      <c r="AB460">
        <v>507409.02981099999</v>
      </c>
      <c r="AC460" s="1" t="s">
        <v>245</v>
      </c>
      <c r="AD460" t="s">
        <v>246</v>
      </c>
    </row>
    <row r="461" spans="2:30" x14ac:dyDescent="0.25">
      <c r="B461" s="1" t="s">
        <v>1226</v>
      </c>
      <c r="C461">
        <v>460</v>
      </c>
      <c r="D461" s="1" t="s">
        <v>82</v>
      </c>
      <c r="E461" t="s">
        <v>154</v>
      </c>
      <c r="F461" s="1" t="s">
        <v>1280</v>
      </c>
      <c r="O461" s="1" t="s">
        <v>392</v>
      </c>
      <c r="P461" t="s">
        <v>108</v>
      </c>
      <c r="Q461" s="1" t="s">
        <v>244</v>
      </c>
      <c r="R461">
        <v>2</v>
      </c>
      <c r="S461">
        <v>50</v>
      </c>
      <c r="T461">
        <v>39</v>
      </c>
      <c r="U461">
        <v>28</v>
      </c>
      <c r="AA461">
        <v>1151.77997342</v>
      </c>
      <c r="AB461">
        <v>1931404.57278</v>
      </c>
      <c r="AC461" s="1" t="s">
        <v>245</v>
      </c>
      <c r="AD461" t="s">
        <v>246</v>
      </c>
    </row>
    <row r="462" spans="2:30" x14ac:dyDescent="0.25">
      <c r="B462" s="1" t="s">
        <v>1228</v>
      </c>
      <c r="C462">
        <v>461</v>
      </c>
      <c r="D462" s="1" t="s">
        <v>82</v>
      </c>
      <c r="E462" t="s">
        <v>154</v>
      </c>
      <c r="F462" s="1" t="s">
        <v>1278</v>
      </c>
      <c r="O462" s="1" t="s">
        <v>386</v>
      </c>
      <c r="P462" t="s">
        <v>108</v>
      </c>
      <c r="Q462" s="1" t="s">
        <v>244</v>
      </c>
      <c r="R462">
        <v>1</v>
      </c>
      <c r="S462">
        <v>50</v>
      </c>
      <c r="T462">
        <v>39</v>
      </c>
      <c r="U462">
        <v>28</v>
      </c>
      <c r="AA462">
        <v>1151.78945</v>
      </c>
      <c r="AB462">
        <v>1931423.06825</v>
      </c>
      <c r="AC462" s="1" t="s">
        <v>245</v>
      </c>
      <c r="AD462" t="s">
        <v>246</v>
      </c>
    </row>
    <row r="463" spans="2:30" x14ac:dyDescent="0.25">
      <c r="B463" s="1" t="s">
        <v>1228</v>
      </c>
      <c r="C463">
        <v>462</v>
      </c>
      <c r="D463" s="1" t="s">
        <v>82</v>
      </c>
      <c r="E463" t="s">
        <v>154</v>
      </c>
      <c r="F463" s="1" t="s">
        <v>1278</v>
      </c>
      <c r="O463" s="1" t="s">
        <v>392</v>
      </c>
      <c r="P463" t="s">
        <v>108</v>
      </c>
      <c r="Q463" s="1" t="s">
        <v>244</v>
      </c>
      <c r="R463">
        <v>2</v>
      </c>
      <c r="S463">
        <v>50</v>
      </c>
      <c r="T463">
        <v>39</v>
      </c>
      <c r="U463">
        <v>28</v>
      </c>
      <c r="AA463">
        <v>1151.7799734099999</v>
      </c>
      <c r="AB463">
        <v>1931409.7826700001</v>
      </c>
      <c r="AC463" s="1" t="s">
        <v>245</v>
      </c>
      <c r="AD463" t="s">
        <v>246</v>
      </c>
    </row>
    <row r="464" spans="2:30" x14ac:dyDescent="0.25">
      <c r="B464" s="1" t="s">
        <v>1231</v>
      </c>
      <c r="C464">
        <v>463</v>
      </c>
      <c r="D464" s="1" t="s">
        <v>82</v>
      </c>
      <c r="E464" t="s">
        <v>154</v>
      </c>
      <c r="F464" s="1" t="s">
        <v>1279</v>
      </c>
      <c r="O464" s="1" t="s">
        <v>386</v>
      </c>
      <c r="P464" t="s">
        <v>108</v>
      </c>
      <c r="Q464" s="1" t="s">
        <v>244</v>
      </c>
      <c r="R464">
        <v>1</v>
      </c>
      <c r="S464">
        <v>50</v>
      </c>
      <c r="T464">
        <v>39</v>
      </c>
      <c r="U464">
        <v>28</v>
      </c>
      <c r="AA464">
        <v>1151.78945</v>
      </c>
      <c r="AB464">
        <v>1931423.06868</v>
      </c>
      <c r="AC464" s="1" t="s">
        <v>245</v>
      </c>
      <c r="AD464" t="s">
        <v>246</v>
      </c>
    </row>
    <row r="465" spans="2:30" x14ac:dyDescent="0.25">
      <c r="B465" s="1" t="s">
        <v>1231</v>
      </c>
      <c r="C465">
        <v>464</v>
      </c>
      <c r="D465" s="1" t="s">
        <v>82</v>
      </c>
      <c r="E465" t="s">
        <v>154</v>
      </c>
      <c r="F465" s="1" t="s">
        <v>1279</v>
      </c>
      <c r="O465" s="1" t="s">
        <v>392</v>
      </c>
      <c r="P465" t="s">
        <v>108</v>
      </c>
      <c r="Q465" s="1" t="s">
        <v>244</v>
      </c>
      <c r="R465">
        <v>2</v>
      </c>
      <c r="S465">
        <v>50</v>
      </c>
      <c r="T465">
        <v>39</v>
      </c>
      <c r="U465">
        <v>28</v>
      </c>
      <c r="AA465">
        <v>1151.7799734099999</v>
      </c>
      <c r="AB465">
        <v>1931409.78309</v>
      </c>
      <c r="AC465" s="1" t="s">
        <v>245</v>
      </c>
      <c r="AD465" t="s">
        <v>246</v>
      </c>
    </row>
    <row r="466" spans="2:30" x14ac:dyDescent="0.25">
      <c r="B466" s="1" t="s">
        <v>1233</v>
      </c>
      <c r="C466">
        <v>465</v>
      </c>
      <c r="D466" s="1" t="s">
        <v>82</v>
      </c>
      <c r="E466" t="s">
        <v>154</v>
      </c>
      <c r="F466" s="1" t="s">
        <v>1280</v>
      </c>
      <c r="O466" s="1" t="s">
        <v>386</v>
      </c>
      <c r="P466" t="s">
        <v>108</v>
      </c>
      <c r="Q466" s="1" t="s">
        <v>244</v>
      </c>
      <c r="R466">
        <v>1</v>
      </c>
      <c r="S466">
        <v>50</v>
      </c>
      <c r="T466">
        <v>39</v>
      </c>
      <c r="U466">
        <v>28</v>
      </c>
      <c r="AA466">
        <v>1151.78945</v>
      </c>
      <c r="AB466">
        <v>1931423.0695700001</v>
      </c>
      <c r="AC466" s="1" t="s">
        <v>245</v>
      </c>
      <c r="AD466" t="s">
        <v>246</v>
      </c>
    </row>
    <row r="467" spans="2:30" x14ac:dyDescent="0.25">
      <c r="B467" s="1" t="s">
        <v>1233</v>
      </c>
      <c r="C467">
        <v>466</v>
      </c>
      <c r="D467" s="1" t="s">
        <v>82</v>
      </c>
      <c r="E467" t="s">
        <v>154</v>
      </c>
      <c r="F467" s="1" t="s">
        <v>1280</v>
      </c>
      <c r="O467" s="1" t="s">
        <v>392</v>
      </c>
      <c r="P467" t="s">
        <v>108</v>
      </c>
      <c r="Q467" s="1" t="s">
        <v>244</v>
      </c>
      <c r="R467">
        <v>2</v>
      </c>
      <c r="S467">
        <v>50</v>
      </c>
      <c r="T467">
        <v>39</v>
      </c>
      <c r="U467">
        <v>28</v>
      </c>
      <c r="AA467">
        <v>1151.7799734099999</v>
      </c>
      <c r="AB467">
        <v>1931409.7839800001</v>
      </c>
      <c r="AC467" s="1" t="s">
        <v>245</v>
      </c>
      <c r="AD467" t="s">
        <v>246</v>
      </c>
    </row>
    <row r="468" spans="2:30" x14ac:dyDescent="0.25">
      <c r="B468" s="1" t="s">
        <v>1234</v>
      </c>
      <c r="C468">
        <v>467</v>
      </c>
      <c r="D468" s="1" t="s">
        <v>82</v>
      </c>
      <c r="E468" t="s">
        <v>154</v>
      </c>
      <c r="F468" s="1" t="s">
        <v>1278</v>
      </c>
      <c r="O468" s="1" t="s">
        <v>968</v>
      </c>
      <c r="P468" t="s">
        <v>108</v>
      </c>
      <c r="Q468" s="1" t="s">
        <v>244</v>
      </c>
      <c r="R468">
        <v>1</v>
      </c>
      <c r="S468">
        <v>50</v>
      </c>
      <c r="T468">
        <v>45</v>
      </c>
      <c r="U468">
        <v>39</v>
      </c>
      <c r="AA468">
        <v>590.62362235600006</v>
      </c>
      <c r="AB468">
        <v>1237203.8739799999</v>
      </c>
      <c r="AC468" s="1" t="s">
        <v>245</v>
      </c>
      <c r="AD468" t="s">
        <v>246</v>
      </c>
    </row>
    <row r="469" spans="2:30" x14ac:dyDescent="0.25">
      <c r="B469" s="1" t="s">
        <v>1235</v>
      </c>
      <c r="C469">
        <v>468</v>
      </c>
      <c r="D469" s="1" t="s">
        <v>82</v>
      </c>
      <c r="E469" t="s">
        <v>154</v>
      </c>
      <c r="F469" s="1" t="s">
        <v>1278</v>
      </c>
      <c r="O469" s="1" t="s">
        <v>424</v>
      </c>
      <c r="P469" t="s">
        <v>108</v>
      </c>
      <c r="Q469" s="1" t="s">
        <v>244</v>
      </c>
      <c r="R469">
        <v>1</v>
      </c>
      <c r="S469">
        <v>50</v>
      </c>
      <c r="T469">
        <v>45</v>
      </c>
      <c r="U469">
        <v>39</v>
      </c>
      <c r="AA469">
        <v>590.72088519800002</v>
      </c>
      <c r="AB469">
        <v>1237421.3301599999</v>
      </c>
      <c r="AC469" s="1" t="s">
        <v>245</v>
      </c>
      <c r="AD469" t="s">
        <v>246</v>
      </c>
    </row>
    <row r="470" spans="2:30" x14ac:dyDescent="0.25">
      <c r="B470" s="1" t="s">
        <v>1236</v>
      </c>
      <c r="C470">
        <v>469</v>
      </c>
      <c r="D470" s="1" t="s">
        <v>82</v>
      </c>
      <c r="E470" t="s">
        <v>154</v>
      </c>
      <c r="F470" s="1" t="s">
        <v>1279</v>
      </c>
      <c r="O470" s="1" t="s">
        <v>1281</v>
      </c>
      <c r="P470" t="s">
        <v>108</v>
      </c>
      <c r="Q470" s="1" t="s">
        <v>244</v>
      </c>
      <c r="R470">
        <v>1</v>
      </c>
      <c r="S470">
        <v>50</v>
      </c>
      <c r="T470">
        <v>45</v>
      </c>
      <c r="U470">
        <v>41</v>
      </c>
      <c r="AA470">
        <v>346.63529526000002</v>
      </c>
      <c r="AB470">
        <v>746633.90647000005</v>
      </c>
      <c r="AC470" s="1" t="s">
        <v>245</v>
      </c>
      <c r="AD470" t="s">
        <v>246</v>
      </c>
    </row>
    <row r="471" spans="2:30" x14ac:dyDescent="0.25">
      <c r="B471" s="1" t="s">
        <v>1237</v>
      </c>
      <c r="C471">
        <v>470</v>
      </c>
      <c r="D471" s="1" t="s">
        <v>82</v>
      </c>
      <c r="E471" t="s">
        <v>154</v>
      </c>
      <c r="F471" s="1" t="s">
        <v>1280</v>
      </c>
      <c r="O471" s="1" t="s">
        <v>1281</v>
      </c>
      <c r="P471" t="s">
        <v>108</v>
      </c>
      <c r="Q471" s="1" t="s">
        <v>244</v>
      </c>
      <c r="R471">
        <v>1</v>
      </c>
      <c r="S471">
        <v>50</v>
      </c>
      <c r="T471">
        <v>45</v>
      </c>
      <c r="U471">
        <v>41</v>
      </c>
      <c r="AA471">
        <v>346.63529526000002</v>
      </c>
      <c r="AB471">
        <v>746633.90687399998</v>
      </c>
      <c r="AC471" s="1" t="s">
        <v>245</v>
      </c>
      <c r="AD471" t="s">
        <v>246</v>
      </c>
    </row>
    <row r="472" spans="2:30" x14ac:dyDescent="0.25">
      <c r="B472" s="1" t="s">
        <v>1236</v>
      </c>
      <c r="C472">
        <v>471</v>
      </c>
      <c r="D472" s="1" t="s">
        <v>82</v>
      </c>
      <c r="E472" t="s">
        <v>154</v>
      </c>
      <c r="F472" s="1" t="s">
        <v>1279</v>
      </c>
      <c r="O472" s="1" t="s">
        <v>474</v>
      </c>
      <c r="P472" t="s">
        <v>108</v>
      </c>
      <c r="Q472" s="1" t="s">
        <v>244</v>
      </c>
      <c r="R472">
        <v>1</v>
      </c>
      <c r="S472">
        <v>50</v>
      </c>
      <c r="T472">
        <v>45</v>
      </c>
      <c r="U472">
        <v>39</v>
      </c>
      <c r="AA472">
        <v>592.84195723899995</v>
      </c>
      <c r="AB472">
        <v>1242164.6576</v>
      </c>
      <c r="AC472" s="1" t="s">
        <v>245</v>
      </c>
      <c r="AD472" t="s">
        <v>246</v>
      </c>
    </row>
    <row r="473" spans="2:30" x14ac:dyDescent="0.25">
      <c r="B473" s="1" t="s">
        <v>1237</v>
      </c>
      <c r="C473">
        <v>472</v>
      </c>
      <c r="D473" s="1" t="s">
        <v>82</v>
      </c>
      <c r="E473" t="s">
        <v>154</v>
      </c>
      <c r="F473" s="1" t="s">
        <v>1280</v>
      </c>
      <c r="O473" s="1" t="s">
        <v>474</v>
      </c>
      <c r="P473" t="s">
        <v>108</v>
      </c>
      <c r="Q473" s="1" t="s">
        <v>244</v>
      </c>
      <c r="R473">
        <v>1</v>
      </c>
      <c r="S473">
        <v>50</v>
      </c>
      <c r="T473">
        <v>45</v>
      </c>
      <c r="U473">
        <v>39</v>
      </c>
      <c r="AA473">
        <v>592.84195723899995</v>
      </c>
      <c r="AB473">
        <v>1242164.6582599999</v>
      </c>
      <c r="AC473" s="1" t="s">
        <v>245</v>
      </c>
      <c r="AD473" t="s">
        <v>246</v>
      </c>
    </row>
    <row r="474" spans="2:30" x14ac:dyDescent="0.25">
      <c r="B474" s="1" t="s">
        <v>1238</v>
      </c>
      <c r="C474">
        <v>473</v>
      </c>
      <c r="D474" s="1" t="s">
        <v>82</v>
      </c>
      <c r="E474" t="s">
        <v>154</v>
      </c>
      <c r="F474" s="1" t="s">
        <v>1278</v>
      </c>
      <c r="O474" s="1" t="s">
        <v>941</v>
      </c>
      <c r="P474" t="s">
        <v>108</v>
      </c>
      <c r="Q474" s="1" t="s">
        <v>244</v>
      </c>
      <c r="R474">
        <v>1</v>
      </c>
      <c r="S474">
        <v>50</v>
      </c>
      <c r="T474">
        <v>45</v>
      </c>
      <c r="U474">
        <v>39</v>
      </c>
      <c r="AA474">
        <v>601.85072001900005</v>
      </c>
      <c r="AB474">
        <v>1262334.77663</v>
      </c>
      <c r="AC474" s="1" t="s">
        <v>245</v>
      </c>
      <c r="AD474" t="s">
        <v>246</v>
      </c>
    </row>
    <row r="475" spans="2:30" x14ac:dyDescent="0.25">
      <c r="B475" s="1" t="s">
        <v>1236</v>
      </c>
      <c r="C475">
        <v>474</v>
      </c>
      <c r="D475" s="1" t="s">
        <v>82</v>
      </c>
      <c r="E475" t="s">
        <v>154</v>
      </c>
      <c r="F475" s="1" t="s">
        <v>1279</v>
      </c>
      <c r="O475" s="1" t="s">
        <v>475</v>
      </c>
      <c r="P475" t="s">
        <v>108</v>
      </c>
      <c r="Q475" s="1" t="s">
        <v>244</v>
      </c>
      <c r="R475">
        <v>1</v>
      </c>
      <c r="S475">
        <v>50</v>
      </c>
      <c r="T475">
        <v>45</v>
      </c>
      <c r="U475">
        <v>39</v>
      </c>
      <c r="AA475">
        <v>637.13068893599996</v>
      </c>
      <c r="AB475">
        <v>1341697.6677699999</v>
      </c>
      <c r="AC475" s="1" t="s">
        <v>245</v>
      </c>
      <c r="AD475" t="s">
        <v>246</v>
      </c>
    </row>
    <row r="476" spans="2:30" x14ac:dyDescent="0.25">
      <c r="B476" s="1" t="s">
        <v>1237</v>
      </c>
      <c r="C476">
        <v>475</v>
      </c>
      <c r="D476" s="1" t="s">
        <v>82</v>
      </c>
      <c r="E476" t="s">
        <v>154</v>
      </c>
      <c r="F476" s="1" t="s">
        <v>1280</v>
      </c>
      <c r="O476" s="1" t="s">
        <v>475</v>
      </c>
      <c r="P476" t="s">
        <v>108</v>
      </c>
      <c r="Q476" s="1" t="s">
        <v>244</v>
      </c>
      <c r="R476">
        <v>1</v>
      </c>
      <c r="S476">
        <v>50</v>
      </c>
      <c r="T476">
        <v>45</v>
      </c>
      <c r="U476">
        <v>39</v>
      </c>
      <c r="AA476">
        <v>637.13068893599996</v>
      </c>
      <c r="AB476">
        <v>1341697.66848</v>
      </c>
      <c r="AC476" s="1" t="s">
        <v>245</v>
      </c>
      <c r="AD476" t="s">
        <v>246</v>
      </c>
    </row>
    <row r="477" spans="2:30" x14ac:dyDescent="0.25">
      <c r="B477" s="1" t="s">
        <v>1239</v>
      </c>
      <c r="C477">
        <v>476</v>
      </c>
      <c r="D477" s="1" t="s">
        <v>82</v>
      </c>
      <c r="E477" t="s">
        <v>154</v>
      </c>
      <c r="F477" s="1" t="s">
        <v>1279</v>
      </c>
      <c r="O477" s="1" t="s">
        <v>1282</v>
      </c>
      <c r="P477" t="s">
        <v>108</v>
      </c>
      <c r="Q477" s="1" t="s">
        <v>244</v>
      </c>
      <c r="R477">
        <v>1</v>
      </c>
      <c r="S477">
        <v>50</v>
      </c>
      <c r="T477">
        <v>45</v>
      </c>
      <c r="U477">
        <v>39</v>
      </c>
      <c r="AA477">
        <v>637.22784965100004</v>
      </c>
      <c r="AB477">
        <v>1341917.05299</v>
      </c>
      <c r="AC477" s="1" t="s">
        <v>245</v>
      </c>
      <c r="AD477" t="s">
        <v>246</v>
      </c>
    </row>
    <row r="478" spans="2:30" x14ac:dyDescent="0.25">
      <c r="B478" s="1" t="s">
        <v>1240</v>
      </c>
      <c r="C478">
        <v>477</v>
      </c>
      <c r="D478" s="1" t="s">
        <v>82</v>
      </c>
      <c r="E478" t="s">
        <v>154</v>
      </c>
      <c r="F478" s="1" t="s">
        <v>1280</v>
      </c>
      <c r="O478" s="1" t="s">
        <v>1282</v>
      </c>
      <c r="P478" t="s">
        <v>108</v>
      </c>
      <c r="Q478" s="1" t="s">
        <v>244</v>
      </c>
      <c r="R478">
        <v>1</v>
      </c>
      <c r="S478">
        <v>50</v>
      </c>
      <c r="T478">
        <v>45</v>
      </c>
      <c r="U478">
        <v>39</v>
      </c>
      <c r="AA478">
        <v>637.22784965100004</v>
      </c>
      <c r="AB478">
        <v>1341917.0537099999</v>
      </c>
      <c r="AC478" s="1" t="s">
        <v>245</v>
      </c>
      <c r="AD478" t="s">
        <v>246</v>
      </c>
    </row>
    <row r="479" spans="2:30" x14ac:dyDescent="0.25">
      <c r="B479" s="1" t="s">
        <v>1238</v>
      </c>
      <c r="C479">
        <v>478</v>
      </c>
      <c r="D479" s="1" t="s">
        <v>82</v>
      </c>
      <c r="E479" t="s">
        <v>154</v>
      </c>
      <c r="F479" s="1" t="s">
        <v>1278</v>
      </c>
      <c r="O479" s="1" t="s">
        <v>962</v>
      </c>
      <c r="P479" t="s">
        <v>108</v>
      </c>
      <c r="Q479" s="1" t="s">
        <v>244</v>
      </c>
      <c r="R479">
        <v>1</v>
      </c>
      <c r="S479">
        <v>50</v>
      </c>
      <c r="T479">
        <v>45</v>
      </c>
      <c r="U479">
        <v>39</v>
      </c>
      <c r="AA479">
        <v>638.63270053099995</v>
      </c>
      <c r="AB479">
        <v>1345089.65646</v>
      </c>
      <c r="AC479" s="1" t="s">
        <v>245</v>
      </c>
      <c r="AD479" t="s">
        <v>246</v>
      </c>
    </row>
    <row r="480" spans="2:30" x14ac:dyDescent="0.25">
      <c r="B480" s="1" t="s">
        <v>1238</v>
      </c>
      <c r="C480">
        <v>479</v>
      </c>
      <c r="D480" s="1" t="s">
        <v>82</v>
      </c>
      <c r="E480" t="s">
        <v>154</v>
      </c>
      <c r="F480" s="1" t="s">
        <v>1278</v>
      </c>
      <c r="O480" s="1" t="s">
        <v>942</v>
      </c>
      <c r="P480" t="s">
        <v>108</v>
      </c>
      <c r="Q480" s="1" t="s">
        <v>244</v>
      </c>
      <c r="R480">
        <v>4</v>
      </c>
      <c r="S480">
        <v>50</v>
      </c>
      <c r="T480">
        <v>45</v>
      </c>
      <c r="U480">
        <v>39</v>
      </c>
      <c r="AA480">
        <v>639.01795460200003</v>
      </c>
      <c r="AB480">
        <v>1345959.8483599999</v>
      </c>
      <c r="AC480" s="1" t="s">
        <v>245</v>
      </c>
      <c r="AD480" t="s">
        <v>246</v>
      </c>
    </row>
    <row r="481" spans="2:30" x14ac:dyDescent="0.25">
      <c r="B481" s="1" t="s">
        <v>1235</v>
      </c>
      <c r="C481">
        <v>480</v>
      </c>
      <c r="D481" s="1" t="s">
        <v>82</v>
      </c>
      <c r="E481" t="s">
        <v>154</v>
      </c>
      <c r="F481" s="1" t="s">
        <v>1278</v>
      </c>
      <c r="O481" s="1" t="s">
        <v>448</v>
      </c>
      <c r="P481" t="s">
        <v>108</v>
      </c>
      <c r="Q481" s="1" t="s">
        <v>244</v>
      </c>
      <c r="R481">
        <v>1</v>
      </c>
      <c r="S481">
        <v>50</v>
      </c>
      <c r="T481">
        <v>45</v>
      </c>
      <c r="U481">
        <v>39</v>
      </c>
      <c r="AA481">
        <v>639.24953385000003</v>
      </c>
      <c r="AB481">
        <v>1346482.96165</v>
      </c>
      <c r="AC481" s="1" t="s">
        <v>245</v>
      </c>
      <c r="AD481" t="s">
        <v>246</v>
      </c>
    </row>
    <row r="482" spans="2:30" x14ac:dyDescent="0.25">
      <c r="B482" s="1" t="s">
        <v>1234</v>
      </c>
      <c r="C482">
        <v>481</v>
      </c>
      <c r="D482" s="1" t="s">
        <v>82</v>
      </c>
      <c r="E482" t="s">
        <v>154</v>
      </c>
      <c r="F482" s="1" t="s">
        <v>1278</v>
      </c>
      <c r="O482" s="1" t="s">
        <v>341</v>
      </c>
      <c r="P482" t="s">
        <v>108</v>
      </c>
      <c r="Q482" s="1" t="s">
        <v>244</v>
      </c>
      <c r="R482">
        <v>1</v>
      </c>
      <c r="S482">
        <v>50</v>
      </c>
      <c r="T482">
        <v>45</v>
      </c>
      <c r="U482">
        <v>39</v>
      </c>
      <c r="AA482">
        <v>639.34669456500001</v>
      </c>
      <c r="AB482">
        <v>1346702.44517</v>
      </c>
      <c r="AC482" s="1" t="s">
        <v>245</v>
      </c>
      <c r="AD482" t="s">
        <v>246</v>
      </c>
    </row>
    <row r="483" spans="2:30" x14ac:dyDescent="0.25">
      <c r="B483" s="1" t="s">
        <v>1239</v>
      </c>
      <c r="C483">
        <v>482</v>
      </c>
      <c r="D483" s="1" t="s">
        <v>82</v>
      </c>
      <c r="E483" t="s">
        <v>154</v>
      </c>
      <c r="F483" s="1" t="s">
        <v>1279</v>
      </c>
      <c r="O483" s="1" t="s">
        <v>433</v>
      </c>
      <c r="P483" t="s">
        <v>108</v>
      </c>
      <c r="Q483" s="1" t="s">
        <v>244</v>
      </c>
      <c r="R483">
        <v>1</v>
      </c>
      <c r="S483">
        <v>50</v>
      </c>
      <c r="T483">
        <v>45</v>
      </c>
      <c r="U483">
        <v>41</v>
      </c>
      <c r="AA483">
        <v>395.72332430699998</v>
      </c>
      <c r="AB483">
        <v>857004.14862800005</v>
      </c>
      <c r="AC483" s="1" t="s">
        <v>245</v>
      </c>
      <c r="AD483" t="s">
        <v>246</v>
      </c>
    </row>
    <row r="484" spans="2:30" x14ac:dyDescent="0.25">
      <c r="B484" s="1" t="s">
        <v>1240</v>
      </c>
      <c r="C484">
        <v>483</v>
      </c>
      <c r="D484" s="1" t="s">
        <v>82</v>
      </c>
      <c r="E484" t="s">
        <v>154</v>
      </c>
      <c r="F484" s="1" t="s">
        <v>1280</v>
      </c>
      <c r="O484" s="1" t="s">
        <v>433</v>
      </c>
      <c r="P484" t="s">
        <v>108</v>
      </c>
      <c r="Q484" s="1" t="s">
        <v>244</v>
      </c>
      <c r="R484">
        <v>1</v>
      </c>
      <c r="S484">
        <v>50</v>
      </c>
      <c r="T484">
        <v>45</v>
      </c>
      <c r="U484">
        <v>41</v>
      </c>
      <c r="AA484">
        <v>395.72332430699998</v>
      </c>
      <c r="AB484">
        <v>857004.14909299999</v>
      </c>
      <c r="AC484" s="1" t="s">
        <v>245</v>
      </c>
      <c r="AD484" t="s">
        <v>246</v>
      </c>
    </row>
    <row r="485" spans="2:30" x14ac:dyDescent="0.25">
      <c r="B485" s="1" t="s">
        <v>1239</v>
      </c>
      <c r="C485">
        <v>484</v>
      </c>
      <c r="D485" s="1" t="s">
        <v>82</v>
      </c>
      <c r="E485" t="s">
        <v>154</v>
      </c>
      <c r="F485" s="1" t="s">
        <v>1279</v>
      </c>
      <c r="O485" s="1" t="s">
        <v>482</v>
      </c>
      <c r="P485" t="s">
        <v>108</v>
      </c>
      <c r="Q485" s="1" t="s">
        <v>244</v>
      </c>
      <c r="R485">
        <v>1</v>
      </c>
      <c r="S485">
        <v>50</v>
      </c>
      <c r="T485">
        <v>45</v>
      </c>
      <c r="U485">
        <v>39</v>
      </c>
      <c r="AA485">
        <v>641.73598548899997</v>
      </c>
      <c r="AB485">
        <v>1352101.2095300001</v>
      </c>
      <c r="AC485" s="1" t="s">
        <v>245</v>
      </c>
      <c r="AD485" t="s">
        <v>246</v>
      </c>
    </row>
    <row r="486" spans="2:30" x14ac:dyDescent="0.25">
      <c r="B486" s="1" t="s">
        <v>1240</v>
      </c>
      <c r="C486">
        <v>485</v>
      </c>
      <c r="D486" s="1" t="s">
        <v>82</v>
      </c>
      <c r="E486" t="s">
        <v>154</v>
      </c>
      <c r="F486" s="1" t="s">
        <v>1280</v>
      </c>
      <c r="O486" s="1" t="s">
        <v>482</v>
      </c>
      <c r="P486" t="s">
        <v>108</v>
      </c>
      <c r="Q486" s="1" t="s">
        <v>244</v>
      </c>
      <c r="R486">
        <v>1</v>
      </c>
      <c r="S486">
        <v>50</v>
      </c>
      <c r="T486">
        <v>45</v>
      </c>
      <c r="U486">
        <v>39</v>
      </c>
      <c r="AA486">
        <v>641.73598548899997</v>
      </c>
      <c r="AB486">
        <v>1352101.21025</v>
      </c>
      <c r="AC486" s="1" t="s">
        <v>245</v>
      </c>
      <c r="AD486" t="s">
        <v>246</v>
      </c>
    </row>
    <row r="487" spans="2:30" x14ac:dyDescent="0.25">
      <c r="B487" s="1" t="s">
        <v>1234</v>
      </c>
      <c r="C487">
        <v>486</v>
      </c>
      <c r="D487" s="1" t="s">
        <v>82</v>
      </c>
      <c r="E487" t="s">
        <v>154</v>
      </c>
      <c r="F487" s="1" t="s">
        <v>1278</v>
      </c>
      <c r="O487" s="1" t="s">
        <v>932</v>
      </c>
      <c r="P487" t="s">
        <v>108</v>
      </c>
      <c r="Q487" s="1" t="s">
        <v>244</v>
      </c>
      <c r="R487">
        <v>1</v>
      </c>
      <c r="S487">
        <v>50</v>
      </c>
      <c r="T487">
        <v>46</v>
      </c>
      <c r="U487">
        <v>39</v>
      </c>
      <c r="AA487">
        <v>696.67722437899999</v>
      </c>
      <c r="AB487">
        <v>1476996.56158</v>
      </c>
      <c r="AC487" s="1" t="s">
        <v>245</v>
      </c>
      <c r="AD487" t="s">
        <v>246</v>
      </c>
    </row>
    <row r="488" spans="2:30" x14ac:dyDescent="0.25">
      <c r="B488" s="1" t="s">
        <v>1235</v>
      </c>
      <c r="C488">
        <v>487</v>
      </c>
      <c r="D488" s="1" t="s">
        <v>82</v>
      </c>
      <c r="E488" t="s">
        <v>154</v>
      </c>
      <c r="F488" s="1" t="s">
        <v>1278</v>
      </c>
      <c r="O488" s="1" t="s">
        <v>434</v>
      </c>
      <c r="P488" t="s">
        <v>108</v>
      </c>
      <c r="Q488" s="1" t="s">
        <v>244</v>
      </c>
      <c r="R488">
        <v>1</v>
      </c>
      <c r="S488">
        <v>50</v>
      </c>
      <c r="T488">
        <v>46</v>
      </c>
      <c r="U488">
        <v>39</v>
      </c>
      <c r="AA488">
        <v>696.77448722099996</v>
      </c>
      <c r="AB488">
        <v>1477218.94257</v>
      </c>
      <c r="AC488" s="1" t="s">
        <v>245</v>
      </c>
      <c r="AD488" t="s">
        <v>246</v>
      </c>
    </row>
    <row r="489" spans="2:30" x14ac:dyDescent="0.25">
      <c r="B489" s="1" t="s">
        <v>1239</v>
      </c>
      <c r="C489">
        <v>488</v>
      </c>
      <c r="D489" s="1" t="s">
        <v>82</v>
      </c>
      <c r="E489" t="s">
        <v>154</v>
      </c>
      <c r="F489" s="1" t="s">
        <v>1279</v>
      </c>
      <c r="O489" s="1" t="s">
        <v>481</v>
      </c>
      <c r="P489" t="s">
        <v>108</v>
      </c>
      <c r="Q489" s="1" t="s">
        <v>244</v>
      </c>
      <c r="R489">
        <v>1</v>
      </c>
      <c r="S489">
        <v>50</v>
      </c>
      <c r="T489">
        <v>46</v>
      </c>
      <c r="U489">
        <v>39</v>
      </c>
      <c r="AA489">
        <v>698.79829642000004</v>
      </c>
      <c r="AB489">
        <v>1481847.1890700001</v>
      </c>
      <c r="AC489" s="1" t="s">
        <v>245</v>
      </c>
      <c r="AD489" t="s">
        <v>246</v>
      </c>
    </row>
    <row r="490" spans="2:30" x14ac:dyDescent="0.25">
      <c r="B490" s="1" t="s">
        <v>1240</v>
      </c>
      <c r="C490">
        <v>489</v>
      </c>
      <c r="D490" s="1" t="s">
        <v>82</v>
      </c>
      <c r="E490" t="s">
        <v>154</v>
      </c>
      <c r="F490" s="1" t="s">
        <v>1280</v>
      </c>
      <c r="O490" s="1" t="s">
        <v>481</v>
      </c>
      <c r="P490" t="s">
        <v>108</v>
      </c>
      <c r="Q490" s="1" t="s">
        <v>244</v>
      </c>
      <c r="R490">
        <v>1</v>
      </c>
      <c r="S490">
        <v>50</v>
      </c>
      <c r="T490">
        <v>46</v>
      </c>
      <c r="U490">
        <v>39</v>
      </c>
      <c r="AA490">
        <v>698.79829642000004</v>
      </c>
      <c r="AB490">
        <v>1481847.1898699999</v>
      </c>
      <c r="AC490" s="1" t="s">
        <v>245</v>
      </c>
      <c r="AD490" t="s">
        <v>246</v>
      </c>
    </row>
    <row r="491" spans="2:30" x14ac:dyDescent="0.25">
      <c r="B491" s="1" t="s">
        <v>1236</v>
      </c>
      <c r="C491">
        <v>490</v>
      </c>
      <c r="D491" s="1" t="s">
        <v>82</v>
      </c>
      <c r="E491" t="s">
        <v>154</v>
      </c>
      <c r="F491" s="1" t="s">
        <v>1279</v>
      </c>
      <c r="O491" s="1" t="s">
        <v>473</v>
      </c>
      <c r="P491" t="s">
        <v>108</v>
      </c>
      <c r="Q491" s="1" t="s">
        <v>244</v>
      </c>
      <c r="R491">
        <v>1</v>
      </c>
      <c r="S491">
        <v>50</v>
      </c>
      <c r="T491">
        <v>46</v>
      </c>
      <c r="U491">
        <v>39</v>
      </c>
      <c r="AA491">
        <v>698.89555926100002</v>
      </c>
      <c r="AB491">
        <v>1482069.66857</v>
      </c>
      <c r="AC491" s="1" t="s">
        <v>245</v>
      </c>
      <c r="AD491" t="s">
        <v>246</v>
      </c>
    </row>
    <row r="492" spans="2:30" x14ac:dyDescent="0.25">
      <c r="B492" s="1" t="s">
        <v>1237</v>
      </c>
      <c r="C492">
        <v>491</v>
      </c>
      <c r="D492" s="1" t="s">
        <v>82</v>
      </c>
      <c r="E492" t="s">
        <v>154</v>
      </c>
      <c r="F492" s="1" t="s">
        <v>1280</v>
      </c>
      <c r="O492" s="1" t="s">
        <v>473</v>
      </c>
      <c r="P492" t="s">
        <v>108</v>
      </c>
      <c r="Q492" s="1" t="s">
        <v>244</v>
      </c>
      <c r="R492">
        <v>1</v>
      </c>
      <c r="S492">
        <v>50</v>
      </c>
      <c r="T492">
        <v>46</v>
      </c>
      <c r="U492">
        <v>39</v>
      </c>
      <c r="AA492">
        <v>698.89555926100002</v>
      </c>
      <c r="AB492">
        <v>1482069.66937</v>
      </c>
      <c r="AC492" s="1" t="s">
        <v>245</v>
      </c>
      <c r="AD492" t="s">
        <v>246</v>
      </c>
    </row>
    <row r="493" spans="2:30" x14ac:dyDescent="0.25">
      <c r="B493" s="1" t="s">
        <v>1238</v>
      </c>
      <c r="C493">
        <v>492</v>
      </c>
      <c r="D493" s="1" t="s">
        <v>82</v>
      </c>
      <c r="E493" t="s">
        <v>154</v>
      </c>
      <c r="F493" s="1" t="s">
        <v>1278</v>
      </c>
      <c r="O493" s="1" t="s">
        <v>917</v>
      </c>
      <c r="P493" t="s">
        <v>108</v>
      </c>
      <c r="Q493" s="1" t="s">
        <v>244</v>
      </c>
      <c r="R493">
        <v>1</v>
      </c>
      <c r="S493">
        <v>50</v>
      </c>
      <c r="T493">
        <v>46</v>
      </c>
      <c r="U493">
        <v>39</v>
      </c>
      <c r="AA493">
        <v>707.77227888899995</v>
      </c>
      <c r="AB493">
        <v>1502393.3347</v>
      </c>
      <c r="AC493" s="1" t="s">
        <v>245</v>
      </c>
      <c r="AD493" t="s">
        <v>246</v>
      </c>
    </row>
    <row r="494" spans="2:30" x14ac:dyDescent="0.25">
      <c r="B494" s="1" t="s">
        <v>1236</v>
      </c>
      <c r="C494">
        <v>493</v>
      </c>
      <c r="D494" s="1" t="s">
        <v>82</v>
      </c>
      <c r="E494" t="s">
        <v>154</v>
      </c>
      <c r="F494" s="1" t="s">
        <v>1279</v>
      </c>
      <c r="O494" s="1" t="s">
        <v>458</v>
      </c>
      <c r="P494" t="s">
        <v>108</v>
      </c>
      <c r="Q494" s="1" t="s">
        <v>244</v>
      </c>
      <c r="R494">
        <v>1</v>
      </c>
      <c r="S494">
        <v>50</v>
      </c>
      <c r="T494">
        <v>46</v>
      </c>
      <c r="U494">
        <v>39</v>
      </c>
      <c r="AA494">
        <v>743.07293464099996</v>
      </c>
      <c r="AB494">
        <v>1583588.1254199999</v>
      </c>
      <c r="AC494" s="1" t="s">
        <v>245</v>
      </c>
      <c r="AD494" t="s">
        <v>246</v>
      </c>
    </row>
    <row r="495" spans="2:30" x14ac:dyDescent="0.25">
      <c r="B495" s="1" t="s">
        <v>1237</v>
      </c>
      <c r="C495">
        <v>494</v>
      </c>
      <c r="D495" s="1" t="s">
        <v>82</v>
      </c>
      <c r="E495" t="s">
        <v>154</v>
      </c>
      <c r="F495" s="1" t="s">
        <v>1280</v>
      </c>
      <c r="O495" s="1" t="s">
        <v>458</v>
      </c>
      <c r="P495" t="s">
        <v>108</v>
      </c>
      <c r="Q495" s="1" t="s">
        <v>244</v>
      </c>
      <c r="R495">
        <v>1</v>
      </c>
      <c r="S495">
        <v>50</v>
      </c>
      <c r="T495">
        <v>46</v>
      </c>
      <c r="U495">
        <v>39</v>
      </c>
      <c r="AA495">
        <v>743.07293464099996</v>
      </c>
      <c r="AB495">
        <v>1583588.1262699999</v>
      </c>
      <c r="AC495" s="1" t="s">
        <v>245</v>
      </c>
      <c r="AD495" t="s">
        <v>246</v>
      </c>
    </row>
    <row r="496" spans="2:30" x14ac:dyDescent="0.25">
      <c r="B496" s="1" t="s">
        <v>1239</v>
      </c>
      <c r="C496">
        <v>495</v>
      </c>
      <c r="D496" s="1" t="s">
        <v>82</v>
      </c>
      <c r="E496" t="s">
        <v>154</v>
      </c>
      <c r="F496" s="1" t="s">
        <v>1279</v>
      </c>
      <c r="O496" s="1" t="s">
        <v>1283</v>
      </c>
      <c r="P496" t="s">
        <v>108</v>
      </c>
      <c r="Q496" s="1" t="s">
        <v>244</v>
      </c>
      <c r="R496">
        <v>1</v>
      </c>
      <c r="S496">
        <v>50</v>
      </c>
      <c r="T496">
        <v>46</v>
      </c>
      <c r="U496">
        <v>39</v>
      </c>
      <c r="AA496">
        <v>743.17009535700004</v>
      </c>
      <c r="AB496">
        <v>1583812.42512</v>
      </c>
      <c r="AC496" s="1" t="s">
        <v>245</v>
      </c>
      <c r="AD496" t="s">
        <v>246</v>
      </c>
    </row>
    <row r="497" spans="2:30" x14ac:dyDescent="0.25">
      <c r="B497" s="1" t="s">
        <v>1240</v>
      </c>
      <c r="C497">
        <v>496</v>
      </c>
      <c r="D497" s="1" t="s">
        <v>82</v>
      </c>
      <c r="E497" t="s">
        <v>154</v>
      </c>
      <c r="F497" s="1" t="s">
        <v>1280</v>
      </c>
      <c r="O497" s="1" t="s">
        <v>1283</v>
      </c>
      <c r="P497" t="s">
        <v>108</v>
      </c>
      <c r="Q497" s="1" t="s">
        <v>244</v>
      </c>
      <c r="R497">
        <v>1</v>
      </c>
      <c r="S497">
        <v>50</v>
      </c>
      <c r="T497">
        <v>46</v>
      </c>
      <c r="U497">
        <v>39</v>
      </c>
      <c r="AA497">
        <v>743.17009535700004</v>
      </c>
      <c r="AB497">
        <v>1583812.42597</v>
      </c>
      <c r="AC497" s="1" t="s">
        <v>245</v>
      </c>
      <c r="AD497" t="s">
        <v>246</v>
      </c>
    </row>
    <row r="498" spans="2:30" x14ac:dyDescent="0.25">
      <c r="B498" s="1" t="s">
        <v>1235</v>
      </c>
      <c r="C498">
        <v>497</v>
      </c>
      <c r="D498" s="1" t="s">
        <v>82</v>
      </c>
      <c r="E498" t="s">
        <v>154</v>
      </c>
      <c r="F498" s="1" t="s">
        <v>1278</v>
      </c>
      <c r="O498" s="1" t="s">
        <v>958</v>
      </c>
      <c r="P498" t="s">
        <v>108</v>
      </c>
      <c r="Q498" s="1" t="s">
        <v>244</v>
      </c>
      <c r="R498">
        <v>1</v>
      </c>
      <c r="S498">
        <v>50</v>
      </c>
      <c r="T498">
        <v>46</v>
      </c>
      <c r="U498">
        <v>39</v>
      </c>
      <c r="AA498">
        <v>745.19177955500004</v>
      </c>
      <c r="AB498">
        <v>1588480.5922600001</v>
      </c>
      <c r="AC498" s="1" t="s">
        <v>245</v>
      </c>
      <c r="AD498" t="s">
        <v>246</v>
      </c>
    </row>
    <row r="499" spans="2:30" x14ac:dyDescent="0.25">
      <c r="B499" s="1" t="s">
        <v>1234</v>
      </c>
      <c r="C499">
        <v>498</v>
      </c>
      <c r="D499" s="1" t="s">
        <v>82</v>
      </c>
      <c r="E499" t="s">
        <v>154</v>
      </c>
      <c r="F499" s="1" t="s">
        <v>1278</v>
      </c>
      <c r="O499" s="1" t="s">
        <v>327</v>
      </c>
      <c r="P499" t="s">
        <v>108</v>
      </c>
      <c r="Q499" s="1" t="s">
        <v>244</v>
      </c>
      <c r="R499">
        <v>1</v>
      </c>
      <c r="S499">
        <v>50</v>
      </c>
      <c r="T499">
        <v>46</v>
      </c>
      <c r="U499">
        <v>39</v>
      </c>
      <c r="AA499">
        <v>745.288940271</v>
      </c>
      <c r="AB499">
        <v>1588704.99025</v>
      </c>
      <c r="AC499" s="1" t="s">
        <v>245</v>
      </c>
      <c r="AD499" t="s">
        <v>246</v>
      </c>
    </row>
    <row r="500" spans="2:30" x14ac:dyDescent="0.25">
      <c r="B500" s="1" t="s">
        <v>1234</v>
      </c>
      <c r="C500">
        <v>499</v>
      </c>
      <c r="D500" s="1" t="s">
        <v>82</v>
      </c>
      <c r="E500" t="s">
        <v>154</v>
      </c>
      <c r="F500" s="1" t="s">
        <v>1278</v>
      </c>
      <c r="O500" s="1" t="s">
        <v>323</v>
      </c>
      <c r="P500" t="s">
        <v>108</v>
      </c>
      <c r="Q500" s="1" t="s">
        <v>244</v>
      </c>
      <c r="R500">
        <v>1</v>
      </c>
      <c r="S500">
        <v>50</v>
      </c>
      <c r="T500">
        <v>47</v>
      </c>
      <c r="U500">
        <v>39</v>
      </c>
      <c r="AA500">
        <v>802.73082640200005</v>
      </c>
      <c r="AB500">
        <v>1722159.1727100001</v>
      </c>
      <c r="AC500" s="1" t="s">
        <v>245</v>
      </c>
      <c r="AD500" t="s">
        <v>246</v>
      </c>
    </row>
    <row r="501" spans="2:30" x14ac:dyDescent="0.25">
      <c r="B501" s="1" t="s">
        <v>1235</v>
      </c>
      <c r="C501">
        <v>500</v>
      </c>
      <c r="D501" s="1" t="s">
        <v>82</v>
      </c>
      <c r="E501" t="s">
        <v>154</v>
      </c>
      <c r="F501" s="1" t="s">
        <v>1278</v>
      </c>
      <c r="O501" s="1" t="s">
        <v>938</v>
      </c>
      <c r="P501" t="s">
        <v>108</v>
      </c>
      <c r="Q501" s="1" t="s">
        <v>244</v>
      </c>
      <c r="R501">
        <v>1</v>
      </c>
      <c r="S501">
        <v>50</v>
      </c>
      <c r="T501">
        <v>47</v>
      </c>
      <c r="U501">
        <v>39</v>
      </c>
      <c r="AA501">
        <v>802.82808924400001</v>
      </c>
      <c r="AB501">
        <v>1722386.47851</v>
      </c>
      <c r="AC501" s="1" t="s">
        <v>245</v>
      </c>
      <c r="AD501" t="s">
        <v>246</v>
      </c>
    </row>
    <row r="502" spans="2:30" x14ac:dyDescent="0.25">
      <c r="B502" s="1" t="s">
        <v>1239</v>
      </c>
      <c r="C502">
        <v>501</v>
      </c>
      <c r="D502" s="1" t="s">
        <v>82</v>
      </c>
      <c r="E502" t="s">
        <v>154</v>
      </c>
      <c r="F502" s="1" t="s">
        <v>1279</v>
      </c>
      <c r="O502" s="1" t="s">
        <v>480</v>
      </c>
      <c r="P502" t="s">
        <v>108</v>
      </c>
      <c r="Q502" s="1" t="s">
        <v>244</v>
      </c>
      <c r="R502">
        <v>1</v>
      </c>
      <c r="S502">
        <v>50</v>
      </c>
      <c r="T502">
        <v>47</v>
      </c>
      <c r="U502">
        <v>39</v>
      </c>
      <c r="AA502">
        <v>804.85189844199999</v>
      </c>
      <c r="AB502">
        <v>1727117.1987900001</v>
      </c>
      <c r="AC502" s="1" t="s">
        <v>245</v>
      </c>
      <c r="AD502" t="s">
        <v>246</v>
      </c>
    </row>
    <row r="503" spans="2:30" x14ac:dyDescent="0.25">
      <c r="B503" s="1" t="s">
        <v>1240</v>
      </c>
      <c r="C503">
        <v>502</v>
      </c>
      <c r="D503" s="1" t="s">
        <v>82</v>
      </c>
      <c r="E503" t="s">
        <v>154</v>
      </c>
      <c r="F503" s="1" t="s">
        <v>1280</v>
      </c>
      <c r="O503" s="1" t="s">
        <v>480</v>
      </c>
      <c r="P503" t="s">
        <v>108</v>
      </c>
      <c r="Q503" s="1" t="s">
        <v>244</v>
      </c>
      <c r="R503">
        <v>1</v>
      </c>
      <c r="S503">
        <v>50</v>
      </c>
      <c r="T503">
        <v>47</v>
      </c>
      <c r="U503">
        <v>39</v>
      </c>
      <c r="AA503">
        <v>804.85189844199999</v>
      </c>
      <c r="AB503">
        <v>1727117.1997199999</v>
      </c>
      <c r="AC503" s="1" t="s">
        <v>245</v>
      </c>
      <c r="AD503" t="s">
        <v>246</v>
      </c>
    </row>
    <row r="504" spans="2:30" x14ac:dyDescent="0.25">
      <c r="B504" s="1" t="s">
        <v>1236</v>
      </c>
      <c r="C504">
        <v>503</v>
      </c>
      <c r="D504" s="1" t="s">
        <v>82</v>
      </c>
      <c r="E504" t="s">
        <v>154</v>
      </c>
      <c r="F504" s="1" t="s">
        <v>1279</v>
      </c>
      <c r="O504" s="1" t="s">
        <v>471</v>
      </c>
      <c r="P504" t="s">
        <v>108</v>
      </c>
      <c r="Q504" s="1" t="s">
        <v>244</v>
      </c>
      <c r="R504">
        <v>1</v>
      </c>
      <c r="S504">
        <v>50</v>
      </c>
      <c r="T504">
        <v>47</v>
      </c>
      <c r="U504">
        <v>39</v>
      </c>
      <c r="AA504">
        <v>804.94916128399996</v>
      </c>
      <c r="AB504">
        <v>1727344.6030900001</v>
      </c>
      <c r="AC504" s="1" t="s">
        <v>245</v>
      </c>
      <c r="AD504" t="s">
        <v>246</v>
      </c>
    </row>
    <row r="505" spans="2:30" x14ac:dyDescent="0.25">
      <c r="B505" s="1" t="s">
        <v>1237</v>
      </c>
      <c r="C505">
        <v>504</v>
      </c>
      <c r="D505" s="1" t="s">
        <v>82</v>
      </c>
      <c r="E505" t="s">
        <v>154</v>
      </c>
      <c r="F505" s="1" t="s">
        <v>1280</v>
      </c>
      <c r="O505" s="1" t="s">
        <v>471</v>
      </c>
      <c r="P505" t="s">
        <v>108</v>
      </c>
      <c r="Q505" s="1" t="s">
        <v>244</v>
      </c>
      <c r="R505">
        <v>1</v>
      </c>
      <c r="S505">
        <v>50</v>
      </c>
      <c r="T505">
        <v>47</v>
      </c>
      <c r="U505">
        <v>39</v>
      </c>
      <c r="AA505">
        <v>804.94916128399996</v>
      </c>
      <c r="AB505">
        <v>1727344.60402</v>
      </c>
      <c r="AC505" s="1" t="s">
        <v>245</v>
      </c>
      <c r="AD505" t="s">
        <v>246</v>
      </c>
    </row>
    <row r="506" spans="2:30" x14ac:dyDescent="0.25">
      <c r="B506" s="1" t="s">
        <v>1238</v>
      </c>
      <c r="C506">
        <v>505</v>
      </c>
      <c r="D506" s="1" t="s">
        <v>82</v>
      </c>
      <c r="E506" t="s">
        <v>154</v>
      </c>
      <c r="F506" s="1" t="s">
        <v>1278</v>
      </c>
      <c r="O506" s="1" t="s">
        <v>1284</v>
      </c>
      <c r="P506" t="s">
        <v>108</v>
      </c>
      <c r="Q506" s="1" t="s">
        <v>244</v>
      </c>
      <c r="R506">
        <v>1</v>
      </c>
      <c r="S506">
        <v>50</v>
      </c>
      <c r="T506">
        <v>47</v>
      </c>
      <c r="U506">
        <v>39</v>
      </c>
      <c r="AA506">
        <v>813.69383775999995</v>
      </c>
      <c r="AB506">
        <v>1747808.4528699999</v>
      </c>
      <c r="AC506" s="1" t="s">
        <v>245</v>
      </c>
      <c r="AD506" t="s">
        <v>246</v>
      </c>
    </row>
    <row r="507" spans="2:30" x14ac:dyDescent="0.25">
      <c r="B507" s="1" t="s">
        <v>1236</v>
      </c>
      <c r="C507">
        <v>506</v>
      </c>
      <c r="D507" s="1" t="s">
        <v>82</v>
      </c>
      <c r="E507" t="s">
        <v>154</v>
      </c>
      <c r="F507" s="1" t="s">
        <v>1279</v>
      </c>
      <c r="O507" s="1" t="s">
        <v>476</v>
      </c>
      <c r="P507" t="s">
        <v>108</v>
      </c>
      <c r="Q507" s="1" t="s">
        <v>244</v>
      </c>
      <c r="R507">
        <v>1</v>
      </c>
      <c r="S507">
        <v>50</v>
      </c>
      <c r="T507">
        <v>47</v>
      </c>
      <c r="U507">
        <v>39</v>
      </c>
      <c r="AA507">
        <v>848.37952686599999</v>
      </c>
      <c r="AB507">
        <v>1829337.7615100001</v>
      </c>
      <c r="AC507" s="1" t="s">
        <v>245</v>
      </c>
      <c r="AD507" t="s">
        <v>246</v>
      </c>
    </row>
    <row r="508" spans="2:30" x14ac:dyDescent="0.25">
      <c r="B508" s="1" t="s">
        <v>1237</v>
      </c>
      <c r="C508">
        <v>507</v>
      </c>
      <c r="D508" s="1" t="s">
        <v>82</v>
      </c>
      <c r="E508" t="s">
        <v>154</v>
      </c>
      <c r="F508" s="1" t="s">
        <v>1280</v>
      </c>
      <c r="O508" s="1" t="s">
        <v>476</v>
      </c>
      <c r="P508" t="s">
        <v>108</v>
      </c>
      <c r="Q508" s="1" t="s">
        <v>244</v>
      </c>
      <c r="R508">
        <v>1</v>
      </c>
      <c r="S508">
        <v>50</v>
      </c>
      <c r="T508">
        <v>47</v>
      </c>
      <c r="U508">
        <v>39</v>
      </c>
      <c r="AA508">
        <v>848.37952686599999</v>
      </c>
      <c r="AB508">
        <v>1829337.7625</v>
      </c>
      <c r="AC508" s="1" t="s">
        <v>245</v>
      </c>
      <c r="AD508" t="s">
        <v>246</v>
      </c>
    </row>
    <row r="509" spans="2:30" x14ac:dyDescent="0.25">
      <c r="B509" s="1" t="s">
        <v>1239</v>
      </c>
      <c r="C509">
        <v>508</v>
      </c>
      <c r="D509" s="1" t="s">
        <v>82</v>
      </c>
      <c r="E509" t="s">
        <v>154</v>
      </c>
      <c r="F509" s="1" t="s">
        <v>1279</v>
      </c>
      <c r="O509" s="1" t="s">
        <v>1285</v>
      </c>
      <c r="P509" t="s">
        <v>108</v>
      </c>
      <c r="Q509" s="1" t="s">
        <v>244</v>
      </c>
      <c r="R509">
        <v>1</v>
      </c>
      <c r="S509">
        <v>50</v>
      </c>
      <c r="T509">
        <v>47</v>
      </c>
      <c r="U509">
        <v>39</v>
      </c>
      <c r="AA509">
        <v>849.11234106200004</v>
      </c>
      <c r="AB509">
        <v>1831066.4498699999</v>
      </c>
      <c r="AC509" s="1" t="s">
        <v>245</v>
      </c>
      <c r="AD509" t="s">
        <v>246</v>
      </c>
    </row>
    <row r="510" spans="2:30" x14ac:dyDescent="0.25">
      <c r="B510" s="1" t="s">
        <v>1240</v>
      </c>
      <c r="C510">
        <v>509</v>
      </c>
      <c r="D510" s="1" t="s">
        <v>82</v>
      </c>
      <c r="E510" t="s">
        <v>154</v>
      </c>
      <c r="F510" s="1" t="s">
        <v>1280</v>
      </c>
      <c r="O510" s="1" t="s">
        <v>1285</v>
      </c>
      <c r="P510" t="s">
        <v>108</v>
      </c>
      <c r="Q510" s="1" t="s">
        <v>244</v>
      </c>
      <c r="R510">
        <v>1</v>
      </c>
      <c r="S510">
        <v>50</v>
      </c>
      <c r="T510">
        <v>47</v>
      </c>
      <c r="U510">
        <v>39</v>
      </c>
      <c r="AA510">
        <v>849.11234106200004</v>
      </c>
      <c r="AB510">
        <v>1831066.45086</v>
      </c>
      <c r="AC510" s="1" t="s">
        <v>245</v>
      </c>
      <c r="AD510" t="s">
        <v>246</v>
      </c>
    </row>
    <row r="511" spans="2:30" x14ac:dyDescent="0.25">
      <c r="B511" s="1" t="s">
        <v>1235</v>
      </c>
      <c r="C511">
        <v>510</v>
      </c>
      <c r="D511" s="1" t="s">
        <v>82</v>
      </c>
      <c r="E511" t="s">
        <v>154</v>
      </c>
      <c r="F511" s="1" t="s">
        <v>1278</v>
      </c>
      <c r="O511" s="1" t="s">
        <v>948</v>
      </c>
      <c r="P511" t="s">
        <v>108</v>
      </c>
      <c r="Q511" s="1" t="s">
        <v>244</v>
      </c>
      <c r="R511">
        <v>1</v>
      </c>
      <c r="S511">
        <v>50</v>
      </c>
      <c r="T511">
        <v>47</v>
      </c>
      <c r="U511">
        <v>39</v>
      </c>
      <c r="AA511">
        <v>850.49837177999996</v>
      </c>
      <c r="AB511">
        <v>1834336.7582700001</v>
      </c>
      <c r="AC511" s="1" t="s">
        <v>245</v>
      </c>
      <c r="AD511" t="s">
        <v>246</v>
      </c>
    </row>
    <row r="512" spans="2:30" x14ac:dyDescent="0.25">
      <c r="B512" s="1" t="s">
        <v>1234</v>
      </c>
      <c r="C512">
        <v>511</v>
      </c>
      <c r="D512" s="1" t="s">
        <v>82</v>
      </c>
      <c r="E512" t="s">
        <v>154</v>
      </c>
      <c r="F512" s="1" t="s">
        <v>1278</v>
      </c>
      <c r="O512" s="1" t="s">
        <v>324</v>
      </c>
      <c r="P512" t="s">
        <v>108</v>
      </c>
      <c r="Q512" s="1" t="s">
        <v>244</v>
      </c>
      <c r="R512">
        <v>1</v>
      </c>
      <c r="S512">
        <v>50</v>
      </c>
      <c r="T512">
        <v>47</v>
      </c>
      <c r="U512">
        <v>39</v>
      </c>
      <c r="AA512">
        <v>851.23118597600001</v>
      </c>
      <c r="AB512">
        <v>1836066.1879499999</v>
      </c>
      <c r="AC512" s="1" t="s">
        <v>245</v>
      </c>
      <c r="AD512" t="s">
        <v>246</v>
      </c>
    </row>
    <row r="513" spans="2:30" x14ac:dyDescent="0.25">
      <c r="B513" s="1" t="s">
        <v>1234</v>
      </c>
      <c r="C513">
        <v>512</v>
      </c>
      <c r="D513" s="1" t="s">
        <v>82</v>
      </c>
      <c r="E513" t="s">
        <v>154</v>
      </c>
      <c r="F513" s="1" t="s">
        <v>1278</v>
      </c>
      <c r="O513" s="1" t="s">
        <v>955</v>
      </c>
      <c r="P513" t="s">
        <v>108</v>
      </c>
      <c r="Q513" s="1" t="s">
        <v>244</v>
      </c>
      <c r="R513">
        <v>1</v>
      </c>
      <c r="S513">
        <v>50</v>
      </c>
      <c r="T513">
        <v>48</v>
      </c>
      <c r="U513">
        <v>39</v>
      </c>
      <c r="AA513">
        <v>908.78442842499999</v>
      </c>
      <c r="AB513">
        <v>1972691.70738</v>
      </c>
      <c r="AC513" s="1" t="s">
        <v>245</v>
      </c>
      <c r="AD513" t="s">
        <v>246</v>
      </c>
    </row>
    <row r="514" spans="2:30" x14ac:dyDescent="0.25">
      <c r="B514" s="1" t="s">
        <v>1235</v>
      </c>
      <c r="C514">
        <v>513</v>
      </c>
      <c r="D514" s="1" t="s">
        <v>82</v>
      </c>
      <c r="E514" t="s">
        <v>154</v>
      </c>
      <c r="F514" s="1" t="s">
        <v>1278</v>
      </c>
      <c r="O514" s="1" t="s">
        <v>954</v>
      </c>
      <c r="P514" t="s">
        <v>108</v>
      </c>
      <c r="Q514" s="1" t="s">
        <v>244</v>
      </c>
      <c r="R514">
        <v>1</v>
      </c>
      <c r="S514">
        <v>50</v>
      </c>
      <c r="T514">
        <v>48</v>
      </c>
      <c r="U514">
        <v>39</v>
      </c>
      <c r="AA514">
        <v>908.88169126599996</v>
      </c>
      <c r="AB514">
        <v>1972923.93799</v>
      </c>
      <c r="AC514" s="1" t="s">
        <v>245</v>
      </c>
      <c r="AD514" t="s">
        <v>246</v>
      </c>
    </row>
    <row r="515" spans="2:30" x14ac:dyDescent="0.25">
      <c r="B515" s="1" t="s">
        <v>1239</v>
      </c>
      <c r="C515">
        <v>514</v>
      </c>
      <c r="D515" s="1" t="s">
        <v>82</v>
      </c>
      <c r="E515" t="s">
        <v>154</v>
      </c>
      <c r="F515" s="1" t="s">
        <v>1279</v>
      </c>
      <c r="O515" s="1" t="s">
        <v>420</v>
      </c>
      <c r="P515" t="s">
        <v>108</v>
      </c>
      <c r="Q515" s="1" t="s">
        <v>244</v>
      </c>
      <c r="R515">
        <v>1</v>
      </c>
      <c r="S515">
        <v>50</v>
      </c>
      <c r="T515">
        <v>48</v>
      </c>
      <c r="U515">
        <v>39</v>
      </c>
      <c r="AA515">
        <v>910.90550046500005</v>
      </c>
      <c r="AB515">
        <v>1977757.1320400001</v>
      </c>
      <c r="AC515" s="1" t="s">
        <v>245</v>
      </c>
      <c r="AD515" t="s">
        <v>246</v>
      </c>
    </row>
    <row r="516" spans="2:30" x14ac:dyDescent="0.25">
      <c r="B516" s="1" t="s">
        <v>1240</v>
      </c>
      <c r="C516">
        <v>515</v>
      </c>
      <c r="D516" s="1" t="s">
        <v>82</v>
      </c>
      <c r="E516" t="s">
        <v>154</v>
      </c>
      <c r="F516" s="1" t="s">
        <v>1280</v>
      </c>
      <c r="O516" s="1" t="s">
        <v>420</v>
      </c>
      <c r="P516" t="s">
        <v>108</v>
      </c>
      <c r="Q516" s="1" t="s">
        <v>244</v>
      </c>
      <c r="R516">
        <v>1</v>
      </c>
      <c r="S516">
        <v>50</v>
      </c>
      <c r="T516">
        <v>48</v>
      </c>
      <c r="U516">
        <v>39</v>
      </c>
      <c r="AA516">
        <v>910.90550046500005</v>
      </c>
      <c r="AB516">
        <v>1977757.1331100001</v>
      </c>
      <c r="AC516" s="1" t="s">
        <v>245</v>
      </c>
      <c r="AD516" t="s">
        <v>246</v>
      </c>
    </row>
    <row r="517" spans="2:30" x14ac:dyDescent="0.25">
      <c r="B517" s="1" t="s">
        <v>1236</v>
      </c>
      <c r="C517">
        <v>516</v>
      </c>
      <c r="D517" s="1" t="s">
        <v>82</v>
      </c>
      <c r="E517" t="s">
        <v>154</v>
      </c>
      <c r="F517" s="1" t="s">
        <v>1279</v>
      </c>
      <c r="O517" s="1" t="s">
        <v>1286</v>
      </c>
      <c r="P517" t="s">
        <v>108</v>
      </c>
      <c r="Q517" s="1" t="s">
        <v>244</v>
      </c>
      <c r="R517">
        <v>1</v>
      </c>
      <c r="S517">
        <v>50</v>
      </c>
      <c r="T517">
        <v>48</v>
      </c>
      <c r="U517">
        <v>39</v>
      </c>
      <c r="AA517">
        <v>911.00276330700001</v>
      </c>
      <c r="AB517">
        <v>1977989.46113</v>
      </c>
      <c r="AC517" s="1" t="s">
        <v>245</v>
      </c>
      <c r="AD517" t="s">
        <v>246</v>
      </c>
    </row>
    <row r="518" spans="2:30" x14ac:dyDescent="0.25">
      <c r="B518" s="1" t="s">
        <v>1237</v>
      </c>
      <c r="C518">
        <v>517</v>
      </c>
      <c r="D518" s="1" t="s">
        <v>82</v>
      </c>
      <c r="E518" t="s">
        <v>154</v>
      </c>
      <c r="F518" s="1" t="s">
        <v>1280</v>
      </c>
      <c r="O518" s="1" t="s">
        <v>1286</v>
      </c>
      <c r="P518" t="s">
        <v>108</v>
      </c>
      <c r="Q518" s="1" t="s">
        <v>244</v>
      </c>
      <c r="R518">
        <v>1</v>
      </c>
      <c r="S518">
        <v>50</v>
      </c>
      <c r="T518">
        <v>48</v>
      </c>
      <c r="U518">
        <v>39</v>
      </c>
      <c r="AA518">
        <v>911.00276330700001</v>
      </c>
      <c r="AB518">
        <v>1977989.4622</v>
      </c>
      <c r="AC518" s="1" t="s">
        <v>245</v>
      </c>
      <c r="AD518" t="s">
        <v>246</v>
      </c>
    </row>
    <row r="519" spans="2:30" x14ac:dyDescent="0.25">
      <c r="B519" s="1" t="s">
        <v>1238</v>
      </c>
      <c r="C519">
        <v>518</v>
      </c>
      <c r="D519" s="1" t="s">
        <v>82</v>
      </c>
      <c r="E519" t="s">
        <v>154</v>
      </c>
      <c r="F519" s="1" t="s">
        <v>1278</v>
      </c>
      <c r="O519" s="1" t="s">
        <v>1287</v>
      </c>
      <c r="P519" t="s">
        <v>108</v>
      </c>
      <c r="Q519" s="1" t="s">
        <v>244</v>
      </c>
      <c r="R519">
        <v>1</v>
      </c>
      <c r="S519">
        <v>50</v>
      </c>
      <c r="T519">
        <v>48</v>
      </c>
      <c r="U519">
        <v>39</v>
      </c>
      <c r="AA519">
        <v>919.61539663099995</v>
      </c>
      <c r="AB519">
        <v>1998580.13114</v>
      </c>
      <c r="AC519" s="1" t="s">
        <v>245</v>
      </c>
      <c r="AD519" t="s">
        <v>246</v>
      </c>
    </row>
    <row r="520" spans="2:30" x14ac:dyDescent="0.25">
      <c r="B520" s="1" t="s">
        <v>1235</v>
      </c>
      <c r="C520">
        <v>519</v>
      </c>
      <c r="D520" s="1" t="s">
        <v>82</v>
      </c>
      <c r="E520" t="s">
        <v>154</v>
      </c>
      <c r="F520" s="1" t="s">
        <v>1278</v>
      </c>
      <c r="O520" s="1" t="s">
        <v>325</v>
      </c>
      <c r="P520" t="s">
        <v>108</v>
      </c>
      <c r="Q520" s="1" t="s">
        <v>244</v>
      </c>
      <c r="R520">
        <v>1</v>
      </c>
      <c r="S520">
        <v>50</v>
      </c>
      <c r="T520">
        <v>48</v>
      </c>
      <c r="U520">
        <v>45</v>
      </c>
      <c r="AA520">
        <v>1848.28040218</v>
      </c>
      <c r="AB520">
        <v>4282846.2309299996</v>
      </c>
      <c r="AC520" s="1" t="s">
        <v>245</v>
      </c>
      <c r="AD520" t="s">
        <v>246</v>
      </c>
    </row>
    <row r="521" spans="2:30" x14ac:dyDescent="0.25">
      <c r="B521" s="1" t="s">
        <v>1234</v>
      </c>
      <c r="C521">
        <v>520</v>
      </c>
      <c r="D521" s="1" t="s">
        <v>82</v>
      </c>
      <c r="E521" t="s">
        <v>154</v>
      </c>
      <c r="F521" s="1" t="s">
        <v>1278</v>
      </c>
      <c r="O521" s="1" t="s">
        <v>325</v>
      </c>
      <c r="P521" t="s">
        <v>108</v>
      </c>
      <c r="Q521" s="1" t="s">
        <v>244</v>
      </c>
      <c r="R521">
        <v>1</v>
      </c>
      <c r="S521">
        <v>50</v>
      </c>
      <c r="T521">
        <v>48</v>
      </c>
      <c r="U521">
        <v>45</v>
      </c>
      <c r="AA521">
        <v>1848.28040218</v>
      </c>
      <c r="AB521">
        <v>4282846.2309299996</v>
      </c>
      <c r="AC521" s="1" t="s">
        <v>245</v>
      </c>
      <c r="AD521" t="s">
        <v>246</v>
      </c>
    </row>
    <row r="522" spans="2:30" x14ac:dyDescent="0.25">
      <c r="B522" s="1" t="s">
        <v>1236</v>
      </c>
      <c r="C522">
        <v>521</v>
      </c>
      <c r="D522" s="1" t="s">
        <v>82</v>
      </c>
      <c r="E522" t="s">
        <v>154</v>
      </c>
      <c r="F522" s="1" t="s">
        <v>1279</v>
      </c>
      <c r="O522" s="1" t="s">
        <v>478</v>
      </c>
      <c r="P522" t="s">
        <v>108</v>
      </c>
      <c r="Q522" s="1" t="s">
        <v>244</v>
      </c>
      <c r="R522">
        <v>1</v>
      </c>
      <c r="S522">
        <v>50</v>
      </c>
      <c r="T522">
        <v>48</v>
      </c>
      <c r="U522">
        <v>45</v>
      </c>
      <c r="AA522">
        <v>1744.7337957</v>
      </c>
      <c r="AB522">
        <v>4051855.1769900001</v>
      </c>
      <c r="AC522" s="1" t="s">
        <v>245</v>
      </c>
      <c r="AD522" t="s">
        <v>246</v>
      </c>
    </row>
    <row r="523" spans="2:30" x14ac:dyDescent="0.25">
      <c r="B523" s="1" t="s">
        <v>1239</v>
      </c>
      <c r="C523">
        <v>522</v>
      </c>
      <c r="D523" s="1" t="s">
        <v>82</v>
      </c>
      <c r="E523" t="s">
        <v>154</v>
      </c>
      <c r="F523" s="1" t="s">
        <v>1279</v>
      </c>
      <c r="O523" s="1" t="s">
        <v>1288</v>
      </c>
      <c r="P523" t="s">
        <v>108</v>
      </c>
      <c r="Q523" s="1" t="s">
        <v>244</v>
      </c>
      <c r="R523">
        <v>1</v>
      </c>
      <c r="S523">
        <v>50</v>
      </c>
      <c r="T523">
        <v>48</v>
      </c>
      <c r="U523">
        <v>45</v>
      </c>
      <c r="AA523">
        <v>1677.16750675</v>
      </c>
      <c r="AB523">
        <v>3900556.1519599999</v>
      </c>
      <c r="AC523" s="1" t="s">
        <v>245</v>
      </c>
      <c r="AD523" t="s">
        <v>246</v>
      </c>
    </row>
    <row r="524" spans="2:30" x14ac:dyDescent="0.25">
      <c r="B524" s="1" t="s">
        <v>1237</v>
      </c>
      <c r="C524">
        <v>523</v>
      </c>
      <c r="D524" s="1" t="s">
        <v>82</v>
      </c>
      <c r="E524" t="s">
        <v>154</v>
      </c>
      <c r="F524" s="1" t="s">
        <v>1280</v>
      </c>
      <c r="O524" s="1" t="s">
        <v>478</v>
      </c>
      <c r="P524" t="s">
        <v>108</v>
      </c>
      <c r="Q524" s="1" t="s">
        <v>244</v>
      </c>
      <c r="R524">
        <v>1</v>
      </c>
      <c r="S524">
        <v>50</v>
      </c>
      <c r="T524">
        <v>48</v>
      </c>
      <c r="U524">
        <v>45</v>
      </c>
      <c r="AA524">
        <v>1744.7337957</v>
      </c>
      <c r="AB524">
        <v>4051842.0242400002</v>
      </c>
      <c r="AC524" s="1" t="s">
        <v>245</v>
      </c>
      <c r="AD524" t="s">
        <v>246</v>
      </c>
    </row>
    <row r="525" spans="2:30" x14ac:dyDescent="0.25">
      <c r="B525" s="1" t="s">
        <v>1240</v>
      </c>
      <c r="C525">
        <v>524</v>
      </c>
      <c r="D525" s="1" t="s">
        <v>82</v>
      </c>
      <c r="E525" t="s">
        <v>154</v>
      </c>
      <c r="F525" s="1" t="s">
        <v>1280</v>
      </c>
      <c r="O525" s="1" t="s">
        <v>1288</v>
      </c>
      <c r="P525" t="s">
        <v>108</v>
      </c>
      <c r="Q525" s="1" t="s">
        <v>244</v>
      </c>
      <c r="R525">
        <v>1</v>
      </c>
      <c r="S525">
        <v>50</v>
      </c>
      <c r="T525">
        <v>48</v>
      </c>
      <c r="U525">
        <v>45</v>
      </c>
      <c r="AA525">
        <v>1677.16750675</v>
      </c>
      <c r="AB525">
        <v>3900543.99829</v>
      </c>
      <c r="AC525" s="1" t="s">
        <v>245</v>
      </c>
      <c r="AD525" t="s">
        <v>246</v>
      </c>
    </row>
    <row r="526" spans="2:30" x14ac:dyDescent="0.25">
      <c r="B526" s="1" t="s">
        <v>1236</v>
      </c>
      <c r="C526">
        <v>525</v>
      </c>
      <c r="D526" s="1" t="s">
        <v>82</v>
      </c>
      <c r="E526" t="s">
        <v>154</v>
      </c>
      <c r="F526" s="1" t="s">
        <v>1279</v>
      </c>
      <c r="O526" s="1" t="s">
        <v>472</v>
      </c>
      <c r="P526" t="s">
        <v>108</v>
      </c>
      <c r="Q526" s="1" t="s">
        <v>244</v>
      </c>
      <c r="R526">
        <v>1</v>
      </c>
      <c r="S526">
        <v>50</v>
      </c>
      <c r="T526">
        <v>48</v>
      </c>
      <c r="U526">
        <v>39</v>
      </c>
      <c r="AA526">
        <v>954.321772571</v>
      </c>
      <c r="AB526">
        <v>2081913.37249</v>
      </c>
      <c r="AC526" s="1" t="s">
        <v>245</v>
      </c>
      <c r="AD526" t="s">
        <v>246</v>
      </c>
    </row>
    <row r="527" spans="2:30" x14ac:dyDescent="0.25">
      <c r="B527" s="1" t="s">
        <v>1237</v>
      </c>
      <c r="C527">
        <v>526</v>
      </c>
      <c r="D527" s="1" t="s">
        <v>82</v>
      </c>
      <c r="E527" t="s">
        <v>154</v>
      </c>
      <c r="F527" s="1" t="s">
        <v>1280</v>
      </c>
      <c r="O527" s="1" t="s">
        <v>472</v>
      </c>
      <c r="P527" t="s">
        <v>108</v>
      </c>
      <c r="Q527" s="1" t="s">
        <v>244</v>
      </c>
      <c r="R527">
        <v>1</v>
      </c>
      <c r="S527">
        <v>50</v>
      </c>
      <c r="T527">
        <v>48</v>
      </c>
      <c r="U527">
        <v>39</v>
      </c>
      <c r="AA527">
        <v>954.321772571</v>
      </c>
      <c r="AB527">
        <v>2081913.37362</v>
      </c>
      <c r="AC527" s="1" t="s">
        <v>245</v>
      </c>
      <c r="AD527" t="s">
        <v>246</v>
      </c>
    </row>
    <row r="528" spans="2:30" x14ac:dyDescent="0.25">
      <c r="B528" s="1" t="s">
        <v>1239</v>
      </c>
      <c r="C528">
        <v>527</v>
      </c>
      <c r="D528" s="1" t="s">
        <v>82</v>
      </c>
      <c r="E528" t="s">
        <v>154</v>
      </c>
      <c r="F528" s="1" t="s">
        <v>1279</v>
      </c>
      <c r="O528" s="1" t="s">
        <v>1289</v>
      </c>
      <c r="P528" t="s">
        <v>108</v>
      </c>
      <c r="Q528" s="1" t="s">
        <v>244</v>
      </c>
      <c r="R528">
        <v>1</v>
      </c>
      <c r="S528">
        <v>50</v>
      </c>
      <c r="T528">
        <v>48</v>
      </c>
      <c r="U528">
        <v>39</v>
      </c>
      <c r="AA528">
        <v>955.05458676700005</v>
      </c>
      <c r="AB528">
        <v>2083679.12723</v>
      </c>
      <c r="AC528" s="1" t="s">
        <v>245</v>
      </c>
      <c r="AD528" t="s">
        <v>246</v>
      </c>
    </row>
    <row r="529" spans="2:30" x14ac:dyDescent="0.25">
      <c r="B529" s="1" t="s">
        <v>1240</v>
      </c>
      <c r="C529">
        <v>528</v>
      </c>
      <c r="D529" s="1" t="s">
        <v>82</v>
      </c>
      <c r="E529" t="s">
        <v>154</v>
      </c>
      <c r="F529" s="1" t="s">
        <v>1280</v>
      </c>
      <c r="O529" s="1" t="s">
        <v>1289</v>
      </c>
      <c r="P529" t="s">
        <v>108</v>
      </c>
      <c r="Q529" s="1" t="s">
        <v>244</v>
      </c>
      <c r="R529">
        <v>1</v>
      </c>
      <c r="S529">
        <v>50</v>
      </c>
      <c r="T529">
        <v>48</v>
      </c>
      <c r="U529">
        <v>39</v>
      </c>
      <c r="AA529">
        <v>955.05458676700005</v>
      </c>
      <c r="AB529">
        <v>2083679.12837</v>
      </c>
      <c r="AC529" s="1" t="s">
        <v>245</v>
      </c>
      <c r="AD529" t="s">
        <v>246</v>
      </c>
    </row>
    <row r="530" spans="2:30" x14ac:dyDescent="0.25">
      <c r="B530" s="1" t="s">
        <v>1235</v>
      </c>
      <c r="C530">
        <v>529</v>
      </c>
      <c r="D530" s="1" t="s">
        <v>82</v>
      </c>
      <c r="E530" t="s">
        <v>154</v>
      </c>
      <c r="F530" s="1" t="s">
        <v>1278</v>
      </c>
      <c r="O530" s="1" t="s">
        <v>957</v>
      </c>
      <c r="P530" t="s">
        <v>108</v>
      </c>
      <c r="Q530" s="1" t="s">
        <v>244</v>
      </c>
      <c r="R530">
        <v>1</v>
      </c>
      <c r="S530">
        <v>50</v>
      </c>
      <c r="T530">
        <v>48</v>
      </c>
      <c r="U530">
        <v>39</v>
      </c>
      <c r="AA530">
        <v>956.44061748499996</v>
      </c>
      <c r="AB530">
        <v>2087019.5421899999</v>
      </c>
      <c r="AC530" s="1" t="s">
        <v>245</v>
      </c>
      <c r="AD530" t="s">
        <v>246</v>
      </c>
    </row>
    <row r="531" spans="2:30" x14ac:dyDescent="0.25">
      <c r="B531" s="1" t="s">
        <v>1234</v>
      </c>
      <c r="C531">
        <v>530</v>
      </c>
      <c r="D531" s="1" t="s">
        <v>82</v>
      </c>
      <c r="E531" t="s">
        <v>154</v>
      </c>
      <c r="F531" s="1" t="s">
        <v>1278</v>
      </c>
      <c r="O531" s="1" t="s">
        <v>491</v>
      </c>
      <c r="P531" t="s">
        <v>108</v>
      </c>
      <c r="Q531" s="1" t="s">
        <v>244</v>
      </c>
      <c r="R531">
        <v>1</v>
      </c>
      <c r="S531">
        <v>50</v>
      </c>
      <c r="T531">
        <v>48</v>
      </c>
      <c r="U531">
        <v>39</v>
      </c>
      <c r="AA531">
        <v>957.17343168100001</v>
      </c>
      <c r="AB531">
        <v>2088786.0382600001</v>
      </c>
      <c r="AC531" s="1" t="s">
        <v>245</v>
      </c>
      <c r="AD531" t="s">
        <v>246</v>
      </c>
    </row>
    <row r="532" spans="2:30" x14ac:dyDescent="0.25">
      <c r="B532" s="1" t="s">
        <v>1235</v>
      </c>
      <c r="C532">
        <v>531</v>
      </c>
      <c r="D532" s="1" t="s">
        <v>82</v>
      </c>
      <c r="E532" t="s">
        <v>154</v>
      </c>
      <c r="F532" s="1" t="s">
        <v>1278</v>
      </c>
      <c r="O532" s="1" t="s">
        <v>1290</v>
      </c>
      <c r="P532" t="s">
        <v>108</v>
      </c>
      <c r="Q532" s="1" t="s">
        <v>244</v>
      </c>
      <c r="R532">
        <v>1</v>
      </c>
      <c r="S532">
        <v>50</v>
      </c>
      <c r="T532">
        <v>49</v>
      </c>
      <c r="U532">
        <v>39</v>
      </c>
      <c r="AA532">
        <v>1004.11235285</v>
      </c>
      <c r="AB532">
        <v>2202469.51945</v>
      </c>
      <c r="AC532" s="1" t="s">
        <v>245</v>
      </c>
      <c r="AD532" t="s">
        <v>246</v>
      </c>
    </row>
    <row r="533" spans="2:30" x14ac:dyDescent="0.25">
      <c r="B533" s="1" t="s">
        <v>1234</v>
      </c>
      <c r="C533">
        <v>532</v>
      </c>
      <c r="D533" s="1" t="s">
        <v>82</v>
      </c>
      <c r="E533" t="s">
        <v>154</v>
      </c>
      <c r="F533" s="1" t="s">
        <v>1278</v>
      </c>
      <c r="O533" s="1" t="s">
        <v>1290</v>
      </c>
      <c r="P533" t="s">
        <v>108</v>
      </c>
      <c r="Q533" s="1" t="s">
        <v>244</v>
      </c>
      <c r="R533">
        <v>1</v>
      </c>
      <c r="S533">
        <v>50</v>
      </c>
      <c r="T533">
        <v>49</v>
      </c>
      <c r="U533">
        <v>39</v>
      </c>
      <c r="AA533">
        <v>1004.11235285</v>
      </c>
      <c r="AB533">
        <v>2202469.51945</v>
      </c>
      <c r="AC533" s="1" t="s">
        <v>245</v>
      </c>
      <c r="AD533" t="s">
        <v>246</v>
      </c>
    </row>
    <row r="534" spans="2:30" x14ac:dyDescent="0.25">
      <c r="B534" s="1" t="s">
        <v>1236</v>
      </c>
      <c r="C534">
        <v>533</v>
      </c>
      <c r="D534" s="1" t="s">
        <v>82</v>
      </c>
      <c r="E534" t="s">
        <v>154</v>
      </c>
      <c r="F534" s="1" t="s">
        <v>1279</v>
      </c>
      <c r="O534" s="1" t="s">
        <v>1290</v>
      </c>
      <c r="P534" t="s">
        <v>108</v>
      </c>
      <c r="Q534" s="1" t="s">
        <v>244</v>
      </c>
      <c r="R534">
        <v>1</v>
      </c>
      <c r="S534">
        <v>50</v>
      </c>
      <c r="T534">
        <v>49</v>
      </c>
      <c r="U534">
        <v>39</v>
      </c>
      <c r="AA534">
        <v>1004.11235285</v>
      </c>
      <c r="AB534">
        <v>2202469.5202799998</v>
      </c>
      <c r="AC534" s="1" t="s">
        <v>245</v>
      </c>
      <c r="AD534" t="s">
        <v>246</v>
      </c>
    </row>
    <row r="535" spans="2:30" x14ac:dyDescent="0.25">
      <c r="B535" s="1" t="s">
        <v>1239</v>
      </c>
      <c r="C535">
        <v>534</v>
      </c>
      <c r="D535" s="1" t="s">
        <v>82</v>
      </c>
      <c r="E535" t="s">
        <v>154</v>
      </c>
      <c r="F535" s="1" t="s">
        <v>1279</v>
      </c>
      <c r="O535" s="1" t="s">
        <v>1290</v>
      </c>
      <c r="P535" t="s">
        <v>108</v>
      </c>
      <c r="Q535" s="1" t="s">
        <v>244</v>
      </c>
      <c r="R535">
        <v>1</v>
      </c>
      <c r="S535">
        <v>50</v>
      </c>
      <c r="T535">
        <v>49</v>
      </c>
      <c r="U535">
        <v>39</v>
      </c>
      <c r="AA535">
        <v>1004.11235285</v>
      </c>
      <c r="AB535">
        <v>2202469.5202700002</v>
      </c>
      <c r="AC535" s="1" t="s">
        <v>245</v>
      </c>
      <c r="AD535" t="s">
        <v>246</v>
      </c>
    </row>
    <row r="536" spans="2:30" x14ac:dyDescent="0.25">
      <c r="B536" s="1" t="s">
        <v>1237</v>
      </c>
      <c r="C536">
        <v>535</v>
      </c>
      <c r="D536" s="1" t="s">
        <v>82</v>
      </c>
      <c r="E536" t="s">
        <v>154</v>
      </c>
      <c r="F536" s="1" t="s">
        <v>1280</v>
      </c>
      <c r="O536" s="1" t="s">
        <v>1290</v>
      </c>
      <c r="P536" t="s">
        <v>108</v>
      </c>
      <c r="Q536" s="1" t="s">
        <v>244</v>
      </c>
      <c r="R536">
        <v>1</v>
      </c>
      <c r="S536">
        <v>50</v>
      </c>
      <c r="T536">
        <v>49</v>
      </c>
      <c r="U536">
        <v>39</v>
      </c>
      <c r="AA536">
        <v>1004.11235285</v>
      </c>
      <c r="AB536">
        <v>2202469.5214800001</v>
      </c>
      <c r="AC536" s="1" t="s">
        <v>245</v>
      </c>
      <c r="AD536" t="s">
        <v>246</v>
      </c>
    </row>
    <row r="537" spans="2:30" x14ac:dyDescent="0.25">
      <c r="B537" s="1" t="s">
        <v>1240</v>
      </c>
      <c r="C537">
        <v>536</v>
      </c>
      <c r="D537" s="1" t="s">
        <v>82</v>
      </c>
      <c r="E537" t="s">
        <v>154</v>
      </c>
      <c r="F537" s="1" t="s">
        <v>1280</v>
      </c>
      <c r="O537" s="1" t="s">
        <v>1290</v>
      </c>
      <c r="P537" t="s">
        <v>108</v>
      </c>
      <c r="Q537" s="1" t="s">
        <v>244</v>
      </c>
      <c r="R537">
        <v>1</v>
      </c>
      <c r="S537">
        <v>50</v>
      </c>
      <c r="T537">
        <v>49</v>
      </c>
      <c r="U537">
        <v>39</v>
      </c>
      <c r="AA537">
        <v>1004.11235285</v>
      </c>
      <c r="AB537">
        <v>2202469.5214800001</v>
      </c>
      <c r="AC537" s="1" t="s">
        <v>245</v>
      </c>
      <c r="AD537" t="s">
        <v>246</v>
      </c>
    </row>
    <row r="538" spans="2:30" x14ac:dyDescent="0.25">
      <c r="B538" s="1" t="s">
        <v>1235</v>
      </c>
      <c r="C538">
        <v>537</v>
      </c>
      <c r="D538" s="1" t="s">
        <v>82</v>
      </c>
      <c r="E538" t="s">
        <v>154</v>
      </c>
      <c r="F538" s="1" t="s">
        <v>1278</v>
      </c>
      <c r="O538" s="1" t="s">
        <v>333</v>
      </c>
      <c r="P538" t="s">
        <v>108</v>
      </c>
      <c r="Q538" s="1" t="s">
        <v>244</v>
      </c>
      <c r="R538">
        <v>1</v>
      </c>
      <c r="S538">
        <v>50</v>
      </c>
      <c r="T538">
        <v>49</v>
      </c>
      <c r="U538">
        <v>39</v>
      </c>
      <c r="AA538">
        <v>1014.71771305</v>
      </c>
      <c r="AB538">
        <v>2228300.8026100001</v>
      </c>
      <c r="AC538" s="1" t="s">
        <v>245</v>
      </c>
      <c r="AD538" t="s">
        <v>246</v>
      </c>
    </row>
    <row r="539" spans="2:30" x14ac:dyDescent="0.25">
      <c r="B539" s="1" t="s">
        <v>1234</v>
      </c>
      <c r="C539">
        <v>538</v>
      </c>
      <c r="D539" s="1" t="s">
        <v>82</v>
      </c>
      <c r="E539" t="s">
        <v>154</v>
      </c>
      <c r="F539" s="1" t="s">
        <v>1278</v>
      </c>
      <c r="O539" s="1" t="s">
        <v>333</v>
      </c>
      <c r="P539" t="s">
        <v>108</v>
      </c>
      <c r="Q539" s="1" t="s">
        <v>244</v>
      </c>
      <c r="R539">
        <v>1</v>
      </c>
      <c r="S539">
        <v>50</v>
      </c>
      <c r="T539">
        <v>49</v>
      </c>
      <c r="U539">
        <v>39</v>
      </c>
      <c r="AA539">
        <v>1014.71771305</v>
      </c>
      <c r="AB539">
        <v>2228300.8026200002</v>
      </c>
      <c r="AC539" s="1" t="s">
        <v>245</v>
      </c>
      <c r="AD539" t="s">
        <v>246</v>
      </c>
    </row>
    <row r="540" spans="2:30" x14ac:dyDescent="0.25">
      <c r="B540" s="1" t="s">
        <v>1236</v>
      </c>
      <c r="C540">
        <v>539</v>
      </c>
      <c r="D540" s="1" t="s">
        <v>82</v>
      </c>
      <c r="E540" t="s">
        <v>154</v>
      </c>
      <c r="F540" s="1" t="s">
        <v>1279</v>
      </c>
      <c r="O540" s="1" t="s">
        <v>333</v>
      </c>
      <c r="P540" t="s">
        <v>108</v>
      </c>
      <c r="Q540" s="1" t="s">
        <v>244</v>
      </c>
      <c r="R540">
        <v>1</v>
      </c>
      <c r="S540">
        <v>50</v>
      </c>
      <c r="T540">
        <v>49</v>
      </c>
      <c r="U540">
        <v>39</v>
      </c>
      <c r="AA540">
        <v>1014.71771305</v>
      </c>
      <c r="AB540">
        <v>2228300.80345</v>
      </c>
      <c r="AC540" s="1" t="s">
        <v>245</v>
      </c>
      <c r="AD540" t="s">
        <v>246</v>
      </c>
    </row>
    <row r="541" spans="2:30" x14ac:dyDescent="0.25">
      <c r="B541" s="1" t="s">
        <v>1239</v>
      </c>
      <c r="C541">
        <v>540</v>
      </c>
      <c r="D541" s="1" t="s">
        <v>82</v>
      </c>
      <c r="E541" t="s">
        <v>154</v>
      </c>
      <c r="F541" s="1" t="s">
        <v>1279</v>
      </c>
      <c r="O541" s="1" t="s">
        <v>333</v>
      </c>
      <c r="P541" t="s">
        <v>108</v>
      </c>
      <c r="Q541" s="1" t="s">
        <v>244</v>
      </c>
      <c r="R541">
        <v>1</v>
      </c>
      <c r="S541">
        <v>50</v>
      </c>
      <c r="T541">
        <v>49</v>
      </c>
      <c r="U541">
        <v>39</v>
      </c>
      <c r="AA541">
        <v>1014.71771305</v>
      </c>
      <c r="AB541">
        <v>2228300.80345</v>
      </c>
      <c r="AC541" s="1" t="s">
        <v>245</v>
      </c>
      <c r="AD541" t="s">
        <v>246</v>
      </c>
    </row>
    <row r="542" spans="2:30" x14ac:dyDescent="0.25">
      <c r="B542" s="1" t="s">
        <v>1237</v>
      </c>
      <c r="C542">
        <v>541</v>
      </c>
      <c r="D542" s="1" t="s">
        <v>82</v>
      </c>
      <c r="E542" t="s">
        <v>154</v>
      </c>
      <c r="F542" s="1" t="s">
        <v>1280</v>
      </c>
      <c r="O542" s="1" t="s">
        <v>333</v>
      </c>
      <c r="P542" t="s">
        <v>108</v>
      </c>
      <c r="Q542" s="1" t="s">
        <v>244</v>
      </c>
      <c r="R542">
        <v>1</v>
      </c>
      <c r="S542">
        <v>50</v>
      </c>
      <c r="T542">
        <v>49</v>
      </c>
      <c r="U542">
        <v>39</v>
      </c>
      <c r="AA542">
        <v>1014.71771305</v>
      </c>
      <c r="AB542">
        <v>2228300.80467</v>
      </c>
      <c r="AC542" s="1" t="s">
        <v>245</v>
      </c>
      <c r="AD542" t="s">
        <v>246</v>
      </c>
    </row>
    <row r="543" spans="2:30" x14ac:dyDescent="0.25">
      <c r="B543" s="1" t="s">
        <v>1240</v>
      </c>
      <c r="C543">
        <v>542</v>
      </c>
      <c r="D543" s="1" t="s">
        <v>82</v>
      </c>
      <c r="E543" t="s">
        <v>154</v>
      </c>
      <c r="F543" s="1" t="s">
        <v>1280</v>
      </c>
      <c r="O543" s="1" t="s">
        <v>333</v>
      </c>
      <c r="P543" t="s">
        <v>108</v>
      </c>
      <c r="Q543" s="1" t="s">
        <v>244</v>
      </c>
      <c r="R543">
        <v>1</v>
      </c>
      <c r="S543">
        <v>50</v>
      </c>
      <c r="T543">
        <v>49</v>
      </c>
      <c r="U543">
        <v>39</v>
      </c>
      <c r="AA543">
        <v>1014.71771305</v>
      </c>
      <c r="AB543">
        <v>2228300.80467</v>
      </c>
      <c r="AC543" s="1" t="s">
        <v>245</v>
      </c>
      <c r="AD543" t="s">
        <v>246</v>
      </c>
    </row>
    <row r="544" spans="2:30" x14ac:dyDescent="0.25">
      <c r="B544" s="1" t="s">
        <v>1234</v>
      </c>
      <c r="C544">
        <v>543</v>
      </c>
      <c r="D544" s="1" t="s">
        <v>82</v>
      </c>
      <c r="E544" t="s">
        <v>154</v>
      </c>
      <c r="F544" s="1" t="s">
        <v>1278</v>
      </c>
      <c r="O544" s="1" t="s">
        <v>487</v>
      </c>
      <c r="P544" t="s">
        <v>108</v>
      </c>
      <c r="Q544" s="1" t="s">
        <v>244</v>
      </c>
      <c r="R544">
        <v>1</v>
      </c>
      <c r="S544">
        <v>50</v>
      </c>
      <c r="T544">
        <v>49</v>
      </c>
      <c r="U544">
        <v>45</v>
      </c>
      <c r="AA544">
        <v>2190.7715257899999</v>
      </c>
      <c r="AB544">
        <v>5113354.0692600003</v>
      </c>
      <c r="AC544" s="1" t="s">
        <v>245</v>
      </c>
      <c r="AD544" t="s">
        <v>246</v>
      </c>
    </row>
    <row r="545" spans="2:30" x14ac:dyDescent="0.25">
      <c r="B545" s="1" t="s">
        <v>1235</v>
      </c>
      <c r="C545">
        <v>544</v>
      </c>
      <c r="D545" s="1" t="s">
        <v>82</v>
      </c>
      <c r="E545" t="s">
        <v>154</v>
      </c>
      <c r="F545" s="1" t="s">
        <v>1278</v>
      </c>
      <c r="O545" s="1" t="s">
        <v>487</v>
      </c>
      <c r="P545" t="s">
        <v>108</v>
      </c>
      <c r="Q545" s="1" t="s">
        <v>244</v>
      </c>
      <c r="R545">
        <v>1</v>
      </c>
      <c r="S545">
        <v>50</v>
      </c>
      <c r="T545">
        <v>49</v>
      </c>
      <c r="U545">
        <v>45</v>
      </c>
      <c r="AA545">
        <v>2190.7715257899999</v>
      </c>
      <c r="AB545">
        <v>5113354.0692600003</v>
      </c>
      <c r="AC545" s="1" t="s">
        <v>245</v>
      </c>
      <c r="AD545" t="s">
        <v>246</v>
      </c>
    </row>
    <row r="546" spans="2:30" x14ac:dyDescent="0.25">
      <c r="B546" s="1" t="s">
        <v>1236</v>
      </c>
      <c r="C546">
        <v>545</v>
      </c>
      <c r="D546" s="1" t="s">
        <v>82</v>
      </c>
      <c r="E546" t="s">
        <v>154</v>
      </c>
      <c r="F546" s="1" t="s">
        <v>1279</v>
      </c>
      <c r="O546" s="1" t="s">
        <v>477</v>
      </c>
      <c r="P546" t="s">
        <v>108</v>
      </c>
      <c r="Q546" s="1" t="s">
        <v>244</v>
      </c>
      <c r="R546">
        <v>1</v>
      </c>
      <c r="S546">
        <v>50</v>
      </c>
      <c r="T546">
        <v>49</v>
      </c>
      <c r="U546">
        <v>45</v>
      </c>
      <c r="AA546">
        <v>2087.0871413700002</v>
      </c>
      <c r="AB546">
        <v>4882059.1285399999</v>
      </c>
      <c r="AC546" s="1" t="s">
        <v>245</v>
      </c>
      <c r="AD546" t="s">
        <v>246</v>
      </c>
    </row>
    <row r="547" spans="2:30" x14ac:dyDescent="0.25">
      <c r="B547" s="1" t="s">
        <v>1239</v>
      </c>
      <c r="C547">
        <v>546</v>
      </c>
      <c r="D547" s="1" t="s">
        <v>82</v>
      </c>
      <c r="E547" t="s">
        <v>154</v>
      </c>
      <c r="F547" s="1" t="s">
        <v>1279</v>
      </c>
      <c r="O547" s="1" t="s">
        <v>1291</v>
      </c>
      <c r="P547" t="s">
        <v>108</v>
      </c>
      <c r="Q547" s="1" t="s">
        <v>244</v>
      </c>
      <c r="R547">
        <v>1</v>
      </c>
      <c r="S547">
        <v>50</v>
      </c>
      <c r="T547">
        <v>49</v>
      </c>
      <c r="U547">
        <v>45</v>
      </c>
      <c r="AA547">
        <v>2019.6040244999999</v>
      </c>
      <c r="AB547">
        <v>4730966.5076799998</v>
      </c>
      <c r="AC547" s="1" t="s">
        <v>245</v>
      </c>
      <c r="AD547" t="s">
        <v>246</v>
      </c>
    </row>
    <row r="548" spans="2:30" x14ac:dyDescent="0.25">
      <c r="B548" s="1" t="s">
        <v>1237</v>
      </c>
      <c r="C548">
        <v>547</v>
      </c>
      <c r="D548" s="1" t="s">
        <v>82</v>
      </c>
      <c r="E548" t="s">
        <v>154</v>
      </c>
      <c r="F548" s="1" t="s">
        <v>1280</v>
      </c>
      <c r="O548" s="1" t="s">
        <v>477</v>
      </c>
      <c r="P548" t="s">
        <v>108</v>
      </c>
      <c r="Q548" s="1" t="s">
        <v>244</v>
      </c>
      <c r="R548">
        <v>1</v>
      </c>
      <c r="S548">
        <v>50</v>
      </c>
      <c r="T548">
        <v>49</v>
      </c>
      <c r="U548">
        <v>45</v>
      </c>
      <c r="AA548">
        <v>2087.0871413700002</v>
      </c>
      <c r="AB548">
        <v>4882077.9383199997</v>
      </c>
      <c r="AC548" s="1" t="s">
        <v>245</v>
      </c>
      <c r="AD548" t="s">
        <v>246</v>
      </c>
    </row>
    <row r="549" spans="2:30" x14ac:dyDescent="0.25">
      <c r="B549" s="1" t="s">
        <v>1240</v>
      </c>
      <c r="C549">
        <v>548</v>
      </c>
      <c r="D549" s="1" t="s">
        <v>82</v>
      </c>
      <c r="E549" t="s">
        <v>154</v>
      </c>
      <c r="F549" s="1" t="s">
        <v>1280</v>
      </c>
      <c r="O549" s="1" t="s">
        <v>1291</v>
      </c>
      <c r="P549" t="s">
        <v>108</v>
      </c>
      <c r="Q549" s="1" t="s">
        <v>244</v>
      </c>
      <c r="R549">
        <v>1</v>
      </c>
      <c r="S549">
        <v>50</v>
      </c>
      <c r="T549">
        <v>49</v>
      </c>
      <c r="U549">
        <v>45</v>
      </c>
      <c r="AA549">
        <v>2019.6040244999999</v>
      </c>
      <c r="AB549">
        <v>4730984.1208600001</v>
      </c>
      <c r="AC549" s="1" t="s">
        <v>245</v>
      </c>
      <c r="AD549" t="s">
        <v>246</v>
      </c>
    </row>
    <row r="550" spans="2:30" x14ac:dyDescent="0.25">
      <c r="B550" s="1" t="s">
        <v>1238</v>
      </c>
      <c r="C550">
        <v>549</v>
      </c>
      <c r="D550" s="1" t="s">
        <v>82</v>
      </c>
      <c r="E550" t="s">
        <v>154</v>
      </c>
      <c r="F550" s="1" t="s">
        <v>1278</v>
      </c>
      <c r="O550" s="1" t="s">
        <v>972</v>
      </c>
      <c r="P550" t="s">
        <v>108</v>
      </c>
      <c r="Q550" s="1" t="s">
        <v>244</v>
      </c>
      <c r="R550">
        <v>1</v>
      </c>
      <c r="S550">
        <v>50</v>
      </c>
      <c r="T550">
        <v>49</v>
      </c>
      <c r="U550">
        <v>45</v>
      </c>
      <c r="AA550">
        <v>2099.3129507399999</v>
      </c>
      <c r="AB550">
        <v>4910613.9634199999</v>
      </c>
      <c r="AC550" s="1" t="s">
        <v>245</v>
      </c>
      <c r="AD550" t="s">
        <v>246</v>
      </c>
    </row>
    <row r="551" spans="2:30" x14ac:dyDescent="0.25">
      <c r="B551" s="1" t="s">
        <v>1241</v>
      </c>
      <c r="C551">
        <v>550</v>
      </c>
      <c r="D551" s="1" t="s">
        <v>82</v>
      </c>
      <c r="E551" t="s">
        <v>154</v>
      </c>
      <c r="F551" s="1" t="s">
        <v>1278</v>
      </c>
      <c r="O551" s="1" t="s">
        <v>969</v>
      </c>
      <c r="P551" t="s">
        <v>108</v>
      </c>
      <c r="Q551" s="1" t="s">
        <v>244</v>
      </c>
      <c r="R551">
        <v>1</v>
      </c>
      <c r="S551">
        <v>50</v>
      </c>
      <c r="T551">
        <v>49</v>
      </c>
      <c r="U551">
        <v>39</v>
      </c>
      <c r="AA551">
        <v>1030.6251032299999</v>
      </c>
      <c r="AB551">
        <v>2267146.82308</v>
      </c>
      <c r="AC551" s="1" t="s">
        <v>245</v>
      </c>
      <c r="AD551" t="s">
        <v>246</v>
      </c>
    </row>
    <row r="552" spans="2:30" x14ac:dyDescent="0.25">
      <c r="B552" s="1" t="s">
        <v>1242</v>
      </c>
      <c r="C552">
        <v>551</v>
      </c>
      <c r="D552" s="1" t="s">
        <v>82</v>
      </c>
      <c r="E552" t="s">
        <v>154</v>
      </c>
      <c r="F552" s="1" t="s">
        <v>1279</v>
      </c>
      <c r="O552" s="1" t="s">
        <v>969</v>
      </c>
      <c r="P552" t="s">
        <v>108</v>
      </c>
      <c r="Q552" s="1" t="s">
        <v>244</v>
      </c>
      <c r="R552">
        <v>1</v>
      </c>
      <c r="S552">
        <v>50</v>
      </c>
      <c r="T552">
        <v>49</v>
      </c>
      <c r="U552">
        <v>39</v>
      </c>
      <c r="AA552">
        <v>1030.6251032299999</v>
      </c>
      <c r="AB552">
        <v>2267146.82393</v>
      </c>
      <c r="AC552" s="1" t="s">
        <v>245</v>
      </c>
      <c r="AD552" t="s">
        <v>246</v>
      </c>
    </row>
    <row r="553" spans="2:30" x14ac:dyDescent="0.25">
      <c r="B553" s="1" t="s">
        <v>1243</v>
      </c>
      <c r="C553">
        <v>552</v>
      </c>
      <c r="D553" s="1" t="s">
        <v>82</v>
      </c>
      <c r="E553" t="s">
        <v>154</v>
      </c>
      <c r="F553" s="1" t="s">
        <v>1280</v>
      </c>
      <c r="O553" s="1" t="s">
        <v>969</v>
      </c>
      <c r="P553" t="s">
        <v>108</v>
      </c>
      <c r="Q553" s="1" t="s">
        <v>244</v>
      </c>
      <c r="R553">
        <v>1</v>
      </c>
      <c r="S553">
        <v>50</v>
      </c>
      <c r="T553">
        <v>49</v>
      </c>
      <c r="U553">
        <v>39</v>
      </c>
      <c r="AA553">
        <v>1030.6251032299999</v>
      </c>
      <c r="AB553">
        <v>2267146.8251700001</v>
      </c>
      <c r="AC553" s="1" t="s">
        <v>245</v>
      </c>
      <c r="AD553" t="s">
        <v>246</v>
      </c>
    </row>
    <row r="554" spans="2:30" x14ac:dyDescent="0.25">
      <c r="B554" s="1" t="s">
        <v>1244</v>
      </c>
      <c r="C554">
        <v>553</v>
      </c>
      <c r="D554" s="1" t="s">
        <v>82</v>
      </c>
      <c r="E554" t="s">
        <v>154</v>
      </c>
      <c r="F554" s="1" t="s">
        <v>1278</v>
      </c>
      <c r="O554" s="1" t="s">
        <v>960</v>
      </c>
      <c r="P554" t="s">
        <v>108</v>
      </c>
      <c r="Q554" s="1" t="s">
        <v>244</v>
      </c>
      <c r="R554">
        <v>1</v>
      </c>
      <c r="S554">
        <v>50</v>
      </c>
      <c r="T554">
        <v>49</v>
      </c>
      <c r="U554">
        <v>39</v>
      </c>
      <c r="AA554">
        <v>1031.2620749600001</v>
      </c>
      <c r="AB554">
        <v>2268704.8306999998</v>
      </c>
      <c r="AC554" s="1" t="s">
        <v>245</v>
      </c>
      <c r="AD554" t="s">
        <v>246</v>
      </c>
    </row>
    <row r="555" spans="2:30" x14ac:dyDescent="0.25">
      <c r="B555" s="1" t="s">
        <v>1245</v>
      </c>
      <c r="C555">
        <v>554</v>
      </c>
      <c r="D555" s="1" t="s">
        <v>82</v>
      </c>
      <c r="E555" t="s">
        <v>154</v>
      </c>
      <c r="F555" s="1" t="s">
        <v>1279</v>
      </c>
      <c r="O555" s="1" t="s">
        <v>960</v>
      </c>
      <c r="P555" t="s">
        <v>108</v>
      </c>
      <c r="Q555" s="1" t="s">
        <v>244</v>
      </c>
      <c r="R555">
        <v>1</v>
      </c>
      <c r="S555">
        <v>50</v>
      </c>
      <c r="T555">
        <v>49</v>
      </c>
      <c r="U555">
        <v>39</v>
      </c>
      <c r="AA555">
        <v>1031.2620749600001</v>
      </c>
      <c r="AB555">
        <v>2268704.8315499998</v>
      </c>
      <c r="AC555" s="1" t="s">
        <v>245</v>
      </c>
      <c r="AD555" t="s">
        <v>246</v>
      </c>
    </row>
    <row r="556" spans="2:30" x14ac:dyDescent="0.25">
      <c r="B556" s="1" t="s">
        <v>1246</v>
      </c>
      <c r="C556">
        <v>555</v>
      </c>
      <c r="D556" s="1" t="s">
        <v>82</v>
      </c>
      <c r="E556" t="s">
        <v>154</v>
      </c>
      <c r="F556" s="1" t="s">
        <v>1280</v>
      </c>
      <c r="O556" s="1" t="s">
        <v>960</v>
      </c>
      <c r="P556" t="s">
        <v>108</v>
      </c>
      <c r="Q556" s="1" t="s">
        <v>244</v>
      </c>
      <c r="R556">
        <v>1</v>
      </c>
      <c r="S556">
        <v>50</v>
      </c>
      <c r="T556">
        <v>49</v>
      </c>
      <c r="U556">
        <v>39</v>
      </c>
      <c r="AA556">
        <v>1031.2620749600001</v>
      </c>
      <c r="AB556">
        <v>2268704.8327899999</v>
      </c>
      <c r="AC556" s="1" t="s">
        <v>245</v>
      </c>
      <c r="AD556" t="s">
        <v>246</v>
      </c>
    </row>
    <row r="557" spans="2:30" x14ac:dyDescent="0.25">
      <c r="B557" s="1" t="s">
        <v>1241</v>
      </c>
      <c r="C557">
        <v>556</v>
      </c>
      <c r="D557" s="1" t="s">
        <v>82</v>
      </c>
      <c r="E557" t="s">
        <v>154</v>
      </c>
      <c r="F557" s="1" t="s">
        <v>1278</v>
      </c>
      <c r="O557" s="1" t="s">
        <v>488</v>
      </c>
      <c r="P557" t="s">
        <v>108</v>
      </c>
      <c r="Q557" s="1" t="s">
        <v>244</v>
      </c>
      <c r="R557">
        <v>1</v>
      </c>
      <c r="S557">
        <v>50</v>
      </c>
      <c r="T557">
        <v>49</v>
      </c>
      <c r="U557">
        <v>39</v>
      </c>
      <c r="AA557">
        <v>1041.22932001</v>
      </c>
      <c r="AB557">
        <v>2293109.5486499998</v>
      </c>
      <c r="AC557" s="1" t="s">
        <v>245</v>
      </c>
      <c r="AD557" t="s">
        <v>246</v>
      </c>
    </row>
    <row r="558" spans="2:30" x14ac:dyDescent="0.25">
      <c r="B558" s="1" t="s">
        <v>1242</v>
      </c>
      <c r="C558">
        <v>557</v>
      </c>
      <c r="D558" s="1" t="s">
        <v>82</v>
      </c>
      <c r="E558" t="s">
        <v>154</v>
      </c>
      <c r="F558" s="1" t="s">
        <v>1279</v>
      </c>
      <c r="O558" s="1" t="s">
        <v>488</v>
      </c>
      <c r="P558" t="s">
        <v>108</v>
      </c>
      <c r="Q558" s="1" t="s">
        <v>244</v>
      </c>
      <c r="R558">
        <v>1</v>
      </c>
      <c r="S558">
        <v>50</v>
      </c>
      <c r="T558">
        <v>49</v>
      </c>
      <c r="U558">
        <v>39</v>
      </c>
      <c r="AA558">
        <v>1041.22932001</v>
      </c>
      <c r="AB558">
        <v>2293109.5495099998</v>
      </c>
      <c r="AC558" s="1" t="s">
        <v>245</v>
      </c>
      <c r="AD558" t="s">
        <v>246</v>
      </c>
    </row>
    <row r="559" spans="2:30" x14ac:dyDescent="0.25">
      <c r="B559" s="1" t="s">
        <v>1243</v>
      </c>
      <c r="C559">
        <v>558</v>
      </c>
      <c r="D559" s="1" t="s">
        <v>82</v>
      </c>
      <c r="E559" t="s">
        <v>154</v>
      </c>
      <c r="F559" s="1" t="s">
        <v>1280</v>
      </c>
      <c r="O559" s="1" t="s">
        <v>488</v>
      </c>
      <c r="P559" t="s">
        <v>108</v>
      </c>
      <c r="Q559" s="1" t="s">
        <v>244</v>
      </c>
      <c r="R559">
        <v>1</v>
      </c>
      <c r="S559">
        <v>50</v>
      </c>
      <c r="T559">
        <v>49</v>
      </c>
      <c r="U559">
        <v>39</v>
      </c>
      <c r="AA559">
        <v>1041.22932001</v>
      </c>
      <c r="AB559">
        <v>2293109.55076</v>
      </c>
      <c r="AC559" s="1" t="s">
        <v>245</v>
      </c>
      <c r="AD559" t="s">
        <v>246</v>
      </c>
    </row>
    <row r="560" spans="2:30" x14ac:dyDescent="0.25">
      <c r="B560" s="1" t="s">
        <v>1244</v>
      </c>
      <c r="C560">
        <v>559</v>
      </c>
      <c r="D560" s="1" t="s">
        <v>82</v>
      </c>
      <c r="E560" t="s">
        <v>154</v>
      </c>
      <c r="F560" s="1" t="s">
        <v>1278</v>
      </c>
      <c r="O560" s="1" t="s">
        <v>961</v>
      </c>
      <c r="P560" t="s">
        <v>108</v>
      </c>
      <c r="Q560" s="1" t="s">
        <v>244</v>
      </c>
      <c r="R560">
        <v>1</v>
      </c>
      <c r="S560">
        <v>50</v>
      </c>
      <c r="T560">
        <v>49</v>
      </c>
      <c r="U560">
        <v>39</v>
      </c>
      <c r="AA560">
        <v>1041.8674351699999</v>
      </c>
      <c r="AB560">
        <v>2294673.58391</v>
      </c>
      <c r="AC560" s="1" t="s">
        <v>245</v>
      </c>
      <c r="AD560" t="s">
        <v>246</v>
      </c>
    </row>
    <row r="561" spans="2:30" x14ac:dyDescent="0.25">
      <c r="B561" s="1" t="s">
        <v>1245</v>
      </c>
      <c r="C561">
        <v>560</v>
      </c>
      <c r="D561" s="1" t="s">
        <v>82</v>
      </c>
      <c r="E561" t="s">
        <v>154</v>
      </c>
      <c r="F561" s="1" t="s">
        <v>1279</v>
      </c>
      <c r="O561" s="1" t="s">
        <v>961</v>
      </c>
      <c r="P561" t="s">
        <v>108</v>
      </c>
      <c r="Q561" s="1" t="s">
        <v>244</v>
      </c>
      <c r="R561">
        <v>1</v>
      </c>
      <c r="S561">
        <v>50</v>
      </c>
      <c r="T561">
        <v>49</v>
      </c>
      <c r="U561">
        <v>39</v>
      </c>
      <c r="AA561">
        <v>1041.8674351699999</v>
      </c>
      <c r="AB561">
        <v>2294673.5847700001</v>
      </c>
      <c r="AC561" s="1" t="s">
        <v>245</v>
      </c>
      <c r="AD561" t="s">
        <v>246</v>
      </c>
    </row>
    <row r="562" spans="2:30" x14ac:dyDescent="0.25">
      <c r="B562" s="1" t="s">
        <v>1246</v>
      </c>
      <c r="C562">
        <v>561</v>
      </c>
      <c r="D562" s="1" t="s">
        <v>82</v>
      </c>
      <c r="E562" t="s">
        <v>154</v>
      </c>
      <c r="F562" s="1" t="s">
        <v>1280</v>
      </c>
      <c r="O562" s="1" t="s">
        <v>961</v>
      </c>
      <c r="P562" t="s">
        <v>108</v>
      </c>
      <c r="Q562" s="1" t="s">
        <v>244</v>
      </c>
      <c r="R562">
        <v>1</v>
      </c>
      <c r="S562">
        <v>50</v>
      </c>
      <c r="T562">
        <v>49</v>
      </c>
      <c r="U562">
        <v>39</v>
      </c>
      <c r="AA562">
        <v>1041.8674351699999</v>
      </c>
      <c r="AB562">
        <v>2294673.5860199998</v>
      </c>
      <c r="AC562" s="1" t="s">
        <v>245</v>
      </c>
      <c r="AD562" t="s">
        <v>246</v>
      </c>
    </row>
    <row r="563" spans="2:30" x14ac:dyDescent="0.25">
      <c r="B563" s="1" t="s">
        <v>1241</v>
      </c>
      <c r="C563">
        <v>562</v>
      </c>
      <c r="D563" s="1" t="s">
        <v>82</v>
      </c>
      <c r="E563" t="s">
        <v>154</v>
      </c>
      <c r="F563" s="1" t="s">
        <v>1278</v>
      </c>
      <c r="O563" s="1" t="s">
        <v>963</v>
      </c>
      <c r="P563" t="s">
        <v>108</v>
      </c>
      <c r="Q563" s="1" t="s">
        <v>244</v>
      </c>
      <c r="R563">
        <v>1</v>
      </c>
      <c r="S563">
        <v>50</v>
      </c>
      <c r="T563">
        <v>49</v>
      </c>
      <c r="U563">
        <v>39</v>
      </c>
      <c r="AA563">
        <v>1057.26607044</v>
      </c>
      <c r="AB563">
        <v>2332474.9517100002</v>
      </c>
      <c r="AC563" s="1" t="s">
        <v>245</v>
      </c>
      <c r="AD563" t="s">
        <v>246</v>
      </c>
    </row>
    <row r="564" spans="2:30" x14ac:dyDescent="0.25">
      <c r="B564" s="1" t="s">
        <v>1244</v>
      </c>
      <c r="C564">
        <v>563</v>
      </c>
      <c r="D564" s="1" t="s">
        <v>82</v>
      </c>
      <c r="E564" t="s">
        <v>154</v>
      </c>
      <c r="F564" s="1" t="s">
        <v>1278</v>
      </c>
      <c r="O564" s="1" t="s">
        <v>933</v>
      </c>
      <c r="P564" t="s">
        <v>108</v>
      </c>
      <c r="Q564" s="1" t="s">
        <v>244</v>
      </c>
      <c r="R564">
        <v>1</v>
      </c>
      <c r="S564">
        <v>50</v>
      </c>
      <c r="T564">
        <v>49</v>
      </c>
      <c r="U564">
        <v>39</v>
      </c>
      <c r="AA564">
        <v>1057.35359126</v>
      </c>
      <c r="AB564">
        <v>2332690.12592</v>
      </c>
      <c r="AC564" s="1" t="s">
        <v>245</v>
      </c>
      <c r="AD564" t="s">
        <v>246</v>
      </c>
    </row>
    <row r="565" spans="2:30" x14ac:dyDescent="0.25">
      <c r="B565" s="1" t="s">
        <v>1245</v>
      </c>
      <c r="C565">
        <v>564</v>
      </c>
      <c r="D565" s="1" t="s">
        <v>82</v>
      </c>
      <c r="E565" t="s">
        <v>154</v>
      </c>
      <c r="F565" s="1" t="s">
        <v>1279</v>
      </c>
      <c r="O565" s="1" t="s">
        <v>933</v>
      </c>
      <c r="P565" t="s">
        <v>108</v>
      </c>
      <c r="Q565" s="1" t="s">
        <v>244</v>
      </c>
      <c r="R565">
        <v>1</v>
      </c>
      <c r="S565">
        <v>50</v>
      </c>
      <c r="T565">
        <v>49</v>
      </c>
      <c r="U565">
        <v>39</v>
      </c>
      <c r="AA565">
        <v>1057.35359126</v>
      </c>
      <c r="AB565">
        <v>2332690.1268000002</v>
      </c>
      <c r="AC565" s="1" t="s">
        <v>245</v>
      </c>
      <c r="AD565" t="s">
        <v>246</v>
      </c>
    </row>
    <row r="566" spans="2:30" x14ac:dyDescent="0.25">
      <c r="B566" s="1" t="s">
        <v>1246</v>
      </c>
      <c r="C566">
        <v>565</v>
      </c>
      <c r="D566" s="1" t="s">
        <v>82</v>
      </c>
      <c r="E566" t="s">
        <v>154</v>
      </c>
      <c r="F566" s="1" t="s">
        <v>1280</v>
      </c>
      <c r="O566" s="1" t="s">
        <v>933</v>
      </c>
      <c r="P566" t="s">
        <v>108</v>
      </c>
      <c r="Q566" s="1" t="s">
        <v>244</v>
      </c>
      <c r="R566">
        <v>1</v>
      </c>
      <c r="S566">
        <v>50</v>
      </c>
      <c r="T566">
        <v>49</v>
      </c>
      <c r="U566">
        <v>39</v>
      </c>
      <c r="AA566">
        <v>1057.35359126</v>
      </c>
      <c r="AB566">
        <v>2332690.1280800002</v>
      </c>
      <c r="AC566" s="1" t="s">
        <v>245</v>
      </c>
      <c r="AD566" t="s">
        <v>246</v>
      </c>
    </row>
    <row r="567" spans="2:30" x14ac:dyDescent="0.25">
      <c r="B567" s="1" t="s">
        <v>1242</v>
      </c>
      <c r="C567">
        <v>566</v>
      </c>
      <c r="D567" s="1" t="s">
        <v>82</v>
      </c>
      <c r="E567" t="s">
        <v>154</v>
      </c>
      <c r="F567" s="1" t="s">
        <v>1279</v>
      </c>
      <c r="O567" s="1" t="s">
        <v>1292</v>
      </c>
      <c r="P567" t="s">
        <v>108</v>
      </c>
      <c r="Q567" s="1" t="s">
        <v>244</v>
      </c>
      <c r="R567">
        <v>1</v>
      </c>
      <c r="S567">
        <v>50</v>
      </c>
      <c r="T567">
        <v>49</v>
      </c>
      <c r="U567">
        <v>39</v>
      </c>
      <c r="AA567">
        <v>1059.3845495999999</v>
      </c>
      <c r="AB567">
        <v>2337684.3637299999</v>
      </c>
      <c r="AC567" s="1" t="s">
        <v>245</v>
      </c>
      <c r="AD567" t="s">
        <v>246</v>
      </c>
    </row>
    <row r="568" spans="2:30" x14ac:dyDescent="0.25">
      <c r="B568" s="1" t="s">
        <v>1243</v>
      </c>
      <c r="C568">
        <v>567</v>
      </c>
      <c r="D568" s="1" t="s">
        <v>82</v>
      </c>
      <c r="E568" t="s">
        <v>154</v>
      </c>
      <c r="F568" s="1" t="s">
        <v>1280</v>
      </c>
      <c r="O568" s="1" t="s">
        <v>1292</v>
      </c>
      <c r="P568" t="s">
        <v>108</v>
      </c>
      <c r="Q568" s="1" t="s">
        <v>244</v>
      </c>
      <c r="R568">
        <v>1</v>
      </c>
      <c r="S568">
        <v>50</v>
      </c>
      <c r="T568">
        <v>49</v>
      </c>
      <c r="U568">
        <v>39</v>
      </c>
      <c r="AA568">
        <v>1059.3845495999999</v>
      </c>
      <c r="AB568">
        <v>2337684.3650099998</v>
      </c>
      <c r="AC568" s="1" t="s">
        <v>245</v>
      </c>
      <c r="AD568" t="s">
        <v>246</v>
      </c>
    </row>
    <row r="569" spans="2:30" x14ac:dyDescent="0.25">
      <c r="B569" s="1" t="s">
        <v>1235</v>
      </c>
      <c r="C569">
        <v>568</v>
      </c>
      <c r="D569" s="1" t="s">
        <v>82</v>
      </c>
      <c r="E569" t="s">
        <v>154</v>
      </c>
      <c r="F569" s="1" t="s">
        <v>1278</v>
      </c>
      <c r="O569" s="1" t="s">
        <v>922</v>
      </c>
      <c r="P569" t="s">
        <v>108</v>
      </c>
      <c r="Q569" s="1" t="s">
        <v>244</v>
      </c>
      <c r="R569">
        <v>1</v>
      </c>
      <c r="S569">
        <v>50</v>
      </c>
      <c r="T569">
        <v>49</v>
      </c>
      <c r="U569">
        <v>39</v>
      </c>
      <c r="AA569">
        <v>1074.7149154700001</v>
      </c>
      <c r="AB569">
        <v>2375446.1020999998</v>
      </c>
      <c r="AC569" s="1" t="s">
        <v>245</v>
      </c>
      <c r="AD569" t="s">
        <v>246</v>
      </c>
    </row>
    <row r="570" spans="2:30" x14ac:dyDescent="0.25">
      <c r="B570" s="1" t="s">
        <v>1234</v>
      </c>
      <c r="C570">
        <v>569</v>
      </c>
      <c r="D570" s="1" t="s">
        <v>82</v>
      </c>
      <c r="E570" t="s">
        <v>154</v>
      </c>
      <c r="F570" s="1" t="s">
        <v>1278</v>
      </c>
      <c r="O570" s="1" t="s">
        <v>922</v>
      </c>
      <c r="P570" t="s">
        <v>108</v>
      </c>
      <c r="Q570" s="1" t="s">
        <v>244</v>
      </c>
      <c r="R570">
        <v>1</v>
      </c>
      <c r="S570">
        <v>50</v>
      </c>
      <c r="T570">
        <v>49</v>
      </c>
      <c r="U570">
        <v>39</v>
      </c>
      <c r="AA570">
        <v>1074.7149154700001</v>
      </c>
      <c r="AB570">
        <v>2375446.1020999998</v>
      </c>
      <c r="AC570" s="1" t="s">
        <v>245</v>
      </c>
      <c r="AD570" t="s">
        <v>246</v>
      </c>
    </row>
    <row r="571" spans="2:30" x14ac:dyDescent="0.25">
      <c r="B571" s="1" t="s">
        <v>1236</v>
      </c>
      <c r="C571">
        <v>570</v>
      </c>
      <c r="D571" s="1" t="s">
        <v>82</v>
      </c>
      <c r="E571" t="s">
        <v>154</v>
      </c>
      <c r="F571" s="1" t="s">
        <v>1279</v>
      </c>
      <c r="O571" s="1" t="s">
        <v>922</v>
      </c>
      <c r="P571" t="s">
        <v>108</v>
      </c>
      <c r="Q571" s="1" t="s">
        <v>244</v>
      </c>
      <c r="R571">
        <v>1</v>
      </c>
      <c r="S571">
        <v>50</v>
      </c>
      <c r="T571">
        <v>49</v>
      </c>
      <c r="U571">
        <v>39</v>
      </c>
      <c r="AA571">
        <v>1074.7149154700001</v>
      </c>
      <c r="AB571">
        <v>2375446.10299</v>
      </c>
      <c r="AC571" s="1" t="s">
        <v>245</v>
      </c>
      <c r="AD571" t="s">
        <v>246</v>
      </c>
    </row>
    <row r="572" spans="2:30" x14ac:dyDescent="0.25">
      <c r="B572" s="1" t="s">
        <v>1239</v>
      </c>
      <c r="C572">
        <v>571</v>
      </c>
      <c r="D572" s="1" t="s">
        <v>82</v>
      </c>
      <c r="E572" t="s">
        <v>154</v>
      </c>
      <c r="F572" s="1" t="s">
        <v>1279</v>
      </c>
      <c r="O572" s="1" t="s">
        <v>922</v>
      </c>
      <c r="P572" t="s">
        <v>108</v>
      </c>
      <c r="Q572" s="1" t="s">
        <v>244</v>
      </c>
      <c r="R572">
        <v>1</v>
      </c>
      <c r="S572">
        <v>50</v>
      </c>
      <c r="T572">
        <v>49</v>
      </c>
      <c r="U572">
        <v>39</v>
      </c>
      <c r="AA572">
        <v>1074.7149154700001</v>
      </c>
      <c r="AB572">
        <v>2375446.10299</v>
      </c>
      <c r="AC572" s="1" t="s">
        <v>245</v>
      </c>
      <c r="AD572" t="s">
        <v>246</v>
      </c>
    </row>
    <row r="573" spans="2:30" x14ac:dyDescent="0.25">
      <c r="B573" s="1" t="s">
        <v>1237</v>
      </c>
      <c r="C573">
        <v>572</v>
      </c>
      <c r="D573" s="1" t="s">
        <v>82</v>
      </c>
      <c r="E573" t="s">
        <v>154</v>
      </c>
      <c r="F573" s="1" t="s">
        <v>1280</v>
      </c>
      <c r="O573" s="1" t="s">
        <v>922</v>
      </c>
      <c r="P573" t="s">
        <v>108</v>
      </c>
      <c r="Q573" s="1" t="s">
        <v>244</v>
      </c>
      <c r="R573">
        <v>1</v>
      </c>
      <c r="S573">
        <v>50</v>
      </c>
      <c r="T573">
        <v>49</v>
      </c>
      <c r="U573">
        <v>39</v>
      </c>
      <c r="AA573">
        <v>1074.7149154700001</v>
      </c>
      <c r="AB573">
        <v>2375446.1042900002</v>
      </c>
      <c r="AC573" s="1" t="s">
        <v>245</v>
      </c>
      <c r="AD573" t="s">
        <v>246</v>
      </c>
    </row>
    <row r="574" spans="2:30" x14ac:dyDescent="0.25">
      <c r="B574" s="1" t="s">
        <v>1240</v>
      </c>
      <c r="C574">
        <v>573</v>
      </c>
      <c r="D574" s="1" t="s">
        <v>82</v>
      </c>
      <c r="E574" t="s">
        <v>154</v>
      </c>
      <c r="F574" s="1" t="s">
        <v>1280</v>
      </c>
      <c r="O574" s="1" t="s">
        <v>922</v>
      </c>
      <c r="P574" t="s">
        <v>108</v>
      </c>
      <c r="Q574" s="1" t="s">
        <v>244</v>
      </c>
      <c r="R574">
        <v>1</v>
      </c>
      <c r="S574">
        <v>50</v>
      </c>
      <c r="T574">
        <v>49</v>
      </c>
      <c r="U574">
        <v>39</v>
      </c>
      <c r="AA574">
        <v>1074.7149154700001</v>
      </c>
      <c r="AB574">
        <v>2375446.1042900002</v>
      </c>
      <c r="AC574" s="1" t="s">
        <v>245</v>
      </c>
      <c r="AD574" t="s">
        <v>246</v>
      </c>
    </row>
    <row r="575" spans="2:30" x14ac:dyDescent="0.25">
      <c r="B575" s="1" t="s">
        <v>1238</v>
      </c>
      <c r="C575">
        <v>574</v>
      </c>
      <c r="D575" s="1" t="s">
        <v>82</v>
      </c>
      <c r="E575" t="s">
        <v>154</v>
      </c>
      <c r="F575" s="1" t="s">
        <v>1278</v>
      </c>
      <c r="O575" s="1" t="s">
        <v>459</v>
      </c>
      <c r="P575" t="s">
        <v>108</v>
      </c>
      <c r="Q575" s="1" t="s">
        <v>244</v>
      </c>
      <c r="R575">
        <v>1</v>
      </c>
      <c r="S575">
        <v>50</v>
      </c>
      <c r="T575">
        <v>49</v>
      </c>
      <c r="U575">
        <v>39</v>
      </c>
      <c r="AA575">
        <v>1075.8975758199999</v>
      </c>
      <c r="AB575">
        <v>2378363.8917200002</v>
      </c>
      <c r="AC575" s="1" t="s">
        <v>245</v>
      </c>
      <c r="AD575" t="s">
        <v>246</v>
      </c>
    </row>
    <row r="576" spans="2:30" x14ac:dyDescent="0.25">
      <c r="B576" s="1" t="s">
        <v>1247</v>
      </c>
      <c r="C576">
        <v>575</v>
      </c>
      <c r="D576" s="1" t="s">
        <v>82</v>
      </c>
      <c r="E576" t="s">
        <v>154</v>
      </c>
      <c r="F576" s="1" t="s">
        <v>1278</v>
      </c>
      <c r="O576" s="1" t="s">
        <v>501</v>
      </c>
      <c r="P576" t="s">
        <v>108</v>
      </c>
      <c r="Q576" s="1" t="s">
        <v>244</v>
      </c>
      <c r="R576">
        <v>1</v>
      </c>
      <c r="S576">
        <v>50</v>
      </c>
      <c r="T576">
        <v>49</v>
      </c>
      <c r="U576">
        <v>39</v>
      </c>
      <c r="AA576">
        <v>1082.29114622</v>
      </c>
      <c r="AB576">
        <v>2394149.2938799998</v>
      </c>
      <c r="AC576" s="1" t="s">
        <v>245</v>
      </c>
      <c r="AD576" t="s">
        <v>246</v>
      </c>
    </row>
    <row r="577" spans="2:30" x14ac:dyDescent="0.25">
      <c r="B577" s="1" t="s">
        <v>1248</v>
      </c>
      <c r="C577">
        <v>576</v>
      </c>
      <c r="D577" s="1" t="s">
        <v>82</v>
      </c>
      <c r="E577" t="s">
        <v>154</v>
      </c>
      <c r="F577" s="1" t="s">
        <v>1279</v>
      </c>
      <c r="O577" s="1" t="s">
        <v>501</v>
      </c>
      <c r="P577" t="s">
        <v>108</v>
      </c>
      <c r="Q577" s="1" t="s">
        <v>244</v>
      </c>
      <c r="R577">
        <v>1</v>
      </c>
      <c r="S577">
        <v>50</v>
      </c>
      <c r="T577">
        <v>49</v>
      </c>
      <c r="U577">
        <v>39</v>
      </c>
      <c r="AA577">
        <v>1082.29114622</v>
      </c>
      <c r="AB577">
        <v>2394149.2947800001</v>
      </c>
      <c r="AC577" s="1" t="s">
        <v>245</v>
      </c>
      <c r="AD577" t="s">
        <v>246</v>
      </c>
    </row>
    <row r="578" spans="2:30" x14ac:dyDescent="0.25">
      <c r="B578" s="1" t="s">
        <v>1249</v>
      </c>
      <c r="C578">
        <v>577</v>
      </c>
      <c r="D578" s="1" t="s">
        <v>82</v>
      </c>
      <c r="E578" t="s">
        <v>154</v>
      </c>
      <c r="F578" s="1" t="s">
        <v>1280</v>
      </c>
      <c r="O578" s="1" t="s">
        <v>501</v>
      </c>
      <c r="P578" t="s">
        <v>108</v>
      </c>
      <c r="Q578" s="1" t="s">
        <v>244</v>
      </c>
      <c r="R578">
        <v>1</v>
      </c>
      <c r="S578">
        <v>50</v>
      </c>
      <c r="T578">
        <v>49</v>
      </c>
      <c r="U578">
        <v>39</v>
      </c>
      <c r="AA578">
        <v>1082.29114622</v>
      </c>
      <c r="AB578">
        <v>2394149.2960899998</v>
      </c>
      <c r="AC578" s="1" t="s">
        <v>245</v>
      </c>
      <c r="AD578" t="s">
        <v>246</v>
      </c>
    </row>
    <row r="579" spans="2:30" x14ac:dyDescent="0.25">
      <c r="B579" s="1" t="s">
        <v>1238</v>
      </c>
      <c r="C579">
        <v>578</v>
      </c>
      <c r="D579" s="1" t="s">
        <v>82</v>
      </c>
      <c r="E579" t="s">
        <v>154</v>
      </c>
      <c r="F579" s="1" t="s">
        <v>1278</v>
      </c>
      <c r="O579" s="1" t="s">
        <v>421</v>
      </c>
      <c r="P579" t="s">
        <v>108</v>
      </c>
      <c r="Q579" s="1" t="s">
        <v>244</v>
      </c>
      <c r="R579">
        <v>1</v>
      </c>
      <c r="S579">
        <v>50</v>
      </c>
      <c r="T579">
        <v>49</v>
      </c>
      <c r="U579">
        <v>39</v>
      </c>
      <c r="AA579">
        <v>1084.79556256</v>
      </c>
      <c r="AB579">
        <v>2400337.8905199999</v>
      </c>
      <c r="AC579" s="1" t="s">
        <v>245</v>
      </c>
      <c r="AD579" t="s">
        <v>246</v>
      </c>
    </row>
    <row r="580" spans="2:30" x14ac:dyDescent="0.25">
      <c r="B580" s="1" t="s">
        <v>1235</v>
      </c>
      <c r="C580">
        <v>579</v>
      </c>
      <c r="D580" s="1" t="s">
        <v>82</v>
      </c>
      <c r="E580" t="s">
        <v>154</v>
      </c>
      <c r="F580" s="1" t="s">
        <v>1278</v>
      </c>
      <c r="O580" s="1" t="s">
        <v>332</v>
      </c>
      <c r="P580" t="s">
        <v>108</v>
      </c>
      <c r="Q580" s="1" t="s">
        <v>244</v>
      </c>
      <c r="R580">
        <v>1</v>
      </c>
      <c r="S580">
        <v>50</v>
      </c>
      <c r="T580">
        <v>49</v>
      </c>
      <c r="U580">
        <v>39</v>
      </c>
      <c r="AA580">
        <v>1085.3091400400001</v>
      </c>
      <c r="AB580">
        <v>2401607.3482499998</v>
      </c>
      <c r="AC580" s="1" t="s">
        <v>245</v>
      </c>
      <c r="AD580" t="s">
        <v>246</v>
      </c>
    </row>
    <row r="581" spans="2:30" x14ac:dyDescent="0.25">
      <c r="B581" s="1" t="s">
        <v>1234</v>
      </c>
      <c r="C581">
        <v>580</v>
      </c>
      <c r="D581" s="1" t="s">
        <v>82</v>
      </c>
      <c r="E581" t="s">
        <v>154</v>
      </c>
      <c r="F581" s="1" t="s">
        <v>1278</v>
      </c>
      <c r="O581" s="1" t="s">
        <v>332</v>
      </c>
      <c r="P581" t="s">
        <v>108</v>
      </c>
      <c r="Q581" s="1" t="s">
        <v>244</v>
      </c>
      <c r="R581">
        <v>1</v>
      </c>
      <c r="S581">
        <v>50</v>
      </c>
      <c r="T581">
        <v>49</v>
      </c>
      <c r="U581">
        <v>39</v>
      </c>
      <c r="AA581">
        <v>1085.3091400400001</v>
      </c>
      <c r="AB581">
        <v>2401607.3482499998</v>
      </c>
      <c r="AC581" s="1" t="s">
        <v>245</v>
      </c>
      <c r="AD581" t="s">
        <v>246</v>
      </c>
    </row>
    <row r="582" spans="2:30" x14ac:dyDescent="0.25">
      <c r="B582" s="1" t="s">
        <v>1236</v>
      </c>
      <c r="C582">
        <v>581</v>
      </c>
      <c r="D582" s="1" t="s">
        <v>82</v>
      </c>
      <c r="E582" t="s">
        <v>154</v>
      </c>
      <c r="F582" s="1" t="s">
        <v>1279</v>
      </c>
      <c r="O582" s="1" t="s">
        <v>332</v>
      </c>
      <c r="P582" t="s">
        <v>108</v>
      </c>
      <c r="Q582" s="1" t="s">
        <v>244</v>
      </c>
      <c r="R582">
        <v>1</v>
      </c>
      <c r="S582">
        <v>50</v>
      </c>
      <c r="T582">
        <v>49</v>
      </c>
      <c r="U582">
        <v>39</v>
      </c>
      <c r="AA582">
        <v>1085.3091400400001</v>
      </c>
      <c r="AB582">
        <v>2401607.3491600002</v>
      </c>
      <c r="AC582" s="1" t="s">
        <v>245</v>
      </c>
      <c r="AD582" t="s">
        <v>246</v>
      </c>
    </row>
    <row r="583" spans="2:30" x14ac:dyDescent="0.25">
      <c r="B583" s="1" t="s">
        <v>1239</v>
      </c>
      <c r="C583">
        <v>582</v>
      </c>
      <c r="D583" s="1" t="s">
        <v>82</v>
      </c>
      <c r="E583" t="s">
        <v>154</v>
      </c>
      <c r="F583" s="1" t="s">
        <v>1279</v>
      </c>
      <c r="O583" s="1" t="s">
        <v>332</v>
      </c>
      <c r="P583" t="s">
        <v>108</v>
      </c>
      <c r="Q583" s="1" t="s">
        <v>244</v>
      </c>
      <c r="R583">
        <v>1</v>
      </c>
      <c r="S583">
        <v>50</v>
      </c>
      <c r="T583">
        <v>49</v>
      </c>
      <c r="U583">
        <v>39</v>
      </c>
      <c r="AA583">
        <v>1085.3091400400001</v>
      </c>
      <c r="AB583">
        <v>2401607.3491600002</v>
      </c>
      <c r="AC583" s="1" t="s">
        <v>245</v>
      </c>
      <c r="AD583" t="s">
        <v>246</v>
      </c>
    </row>
    <row r="584" spans="2:30" x14ac:dyDescent="0.25">
      <c r="B584" s="1" t="s">
        <v>1237</v>
      </c>
      <c r="C584">
        <v>583</v>
      </c>
      <c r="D584" s="1" t="s">
        <v>82</v>
      </c>
      <c r="E584" t="s">
        <v>154</v>
      </c>
      <c r="F584" s="1" t="s">
        <v>1280</v>
      </c>
      <c r="O584" s="1" t="s">
        <v>332</v>
      </c>
      <c r="P584" t="s">
        <v>108</v>
      </c>
      <c r="Q584" s="1" t="s">
        <v>244</v>
      </c>
      <c r="R584">
        <v>1</v>
      </c>
      <c r="S584">
        <v>50</v>
      </c>
      <c r="T584">
        <v>49</v>
      </c>
      <c r="U584">
        <v>39</v>
      </c>
      <c r="AA584">
        <v>1085.3091400400001</v>
      </c>
      <c r="AB584">
        <v>2401607.3504699999</v>
      </c>
      <c r="AC584" s="1" t="s">
        <v>245</v>
      </c>
      <c r="AD584" t="s">
        <v>246</v>
      </c>
    </row>
    <row r="585" spans="2:30" x14ac:dyDescent="0.25">
      <c r="B585" s="1" t="s">
        <v>1240</v>
      </c>
      <c r="C585">
        <v>584</v>
      </c>
      <c r="D585" s="1" t="s">
        <v>82</v>
      </c>
      <c r="E585" t="s">
        <v>154</v>
      </c>
      <c r="F585" s="1" t="s">
        <v>1280</v>
      </c>
      <c r="O585" s="1" t="s">
        <v>332</v>
      </c>
      <c r="P585" t="s">
        <v>108</v>
      </c>
      <c r="Q585" s="1" t="s">
        <v>244</v>
      </c>
      <c r="R585">
        <v>1</v>
      </c>
      <c r="S585">
        <v>50</v>
      </c>
      <c r="T585">
        <v>49</v>
      </c>
      <c r="U585">
        <v>39</v>
      </c>
      <c r="AA585">
        <v>1085.3091400400001</v>
      </c>
      <c r="AB585">
        <v>2401607.3504699999</v>
      </c>
      <c r="AC585" s="1" t="s">
        <v>245</v>
      </c>
      <c r="AD585" t="s">
        <v>246</v>
      </c>
    </row>
    <row r="586" spans="2:30" x14ac:dyDescent="0.25">
      <c r="B586" s="1" t="s">
        <v>1247</v>
      </c>
      <c r="C586">
        <v>585</v>
      </c>
      <c r="D586" s="1" t="s">
        <v>82</v>
      </c>
      <c r="E586" t="s">
        <v>154</v>
      </c>
      <c r="F586" s="1" t="s">
        <v>1278</v>
      </c>
      <c r="O586" s="1" t="s">
        <v>449</v>
      </c>
      <c r="P586" t="s">
        <v>108</v>
      </c>
      <c r="Q586" s="1" t="s">
        <v>244</v>
      </c>
      <c r="R586">
        <v>1</v>
      </c>
      <c r="S586">
        <v>50</v>
      </c>
      <c r="T586">
        <v>50</v>
      </c>
      <c r="U586">
        <v>39</v>
      </c>
      <c r="AA586">
        <v>1099.0134949000001</v>
      </c>
      <c r="AB586">
        <v>2435528.2042800002</v>
      </c>
      <c r="AC586" s="1" t="s">
        <v>245</v>
      </c>
      <c r="AD586" t="s">
        <v>246</v>
      </c>
    </row>
    <row r="587" spans="2:30" x14ac:dyDescent="0.25">
      <c r="B587" s="1" t="s">
        <v>1248</v>
      </c>
      <c r="C587">
        <v>586</v>
      </c>
      <c r="D587" s="1" t="s">
        <v>82</v>
      </c>
      <c r="E587" t="s">
        <v>154</v>
      </c>
      <c r="F587" s="1" t="s">
        <v>1279</v>
      </c>
      <c r="O587" s="1" t="s">
        <v>449</v>
      </c>
      <c r="P587" t="s">
        <v>108</v>
      </c>
      <c r="Q587" s="1" t="s">
        <v>244</v>
      </c>
      <c r="R587">
        <v>1</v>
      </c>
      <c r="S587">
        <v>50</v>
      </c>
      <c r="T587">
        <v>50</v>
      </c>
      <c r="U587">
        <v>39</v>
      </c>
      <c r="AA587">
        <v>1099.0134949000001</v>
      </c>
      <c r="AB587">
        <v>2435528.2052000002</v>
      </c>
      <c r="AC587" s="1" t="s">
        <v>245</v>
      </c>
      <c r="AD587" t="s">
        <v>246</v>
      </c>
    </row>
    <row r="588" spans="2:30" x14ac:dyDescent="0.25">
      <c r="B588" s="1" t="s">
        <v>1249</v>
      </c>
      <c r="C588">
        <v>587</v>
      </c>
      <c r="D588" s="1" t="s">
        <v>82</v>
      </c>
      <c r="E588" t="s">
        <v>154</v>
      </c>
      <c r="F588" s="1" t="s">
        <v>1280</v>
      </c>
      <c r="O588" s="1" t="s">
        <v>449</v>
      </c>
      <c r="P588" t="s">
        <v>108</v>
      </c>
      <c r="Q588" s="1" t="s">
        <v>244</v>
      </c>
      <c r="R588">
        <v>1</v>
      </c>
      <c r="S588">
        <v>50</v>
      </c>
      <c r="T588">
        <v>50</v>
      </c>
      <c r="U588">
        <v>39</v>
      </c>
      <c r="AA588">
        <v>1099.0134949000001</v>
      </c>
      <c r="AB588">
        <v>2435528.2065400002</v>
      </c>
      <c r="AC588" s="1" t="s">
        <v>245</v>
      </c>
      <c r="AD588" t="s">
        <v>246</v>
      </c>
    </row>
    <row r="589" spans="2:30" x14ac:dyDescent="0.25">
      <c r="B589" s="1" t="s">
        <v>1241</v>
      </c>
      <c r="C589">
        <v>588</v>
      </c>
      <c r="D589" s="1" t="s">
        <v>82</v>
      </c>
      <c r="E589" t="s">
        <v>154</v>
      </c>
      <c r="F589" s="1" t="s">
        <v>1278</v>
      </c>
      <c r="O589" s="1" t="s">
        <v>490</v>
      </c>
      <c r="P589" t="s">
        <v>108</v>
      </c>
      <c r="Q589" s="1" t="s">
        <v>244</v>
      </c>
      <c r="R589">
        <v>1</v>
      </c>
      <c r="S589">
        <v>50</v>
      </c>
      <c r="T589">
        <v>50</v>
      </c>
      <c r="U589">
        <v>39</v>
      </c>
      <c r="AA589">
        <v>1101.8392699200001</v>
      </c>
      <c r="AB589">
        <v>2442533.6795999999</v>
      </c>
      <c r="AC589" s="1" t="s">
        <v>245</v>
      </c>
      <c r="AD589" t="s">
        <v>246</v>
      </c>
    </row>
    <row r="590" spans="2:30" x14ac:dyDescent="0.25">
      <c r="B590" s="1" t="s">
        <v>1242</v>
      </c>
      <c r="C590">
        <v>589</v>
      </c>
      <c r="D590" s="1" t="s">
        <v>82</v>
      </c>
      <c r="E590" t="s">
        <v>154</v>
      </c>
      <c r="F590" s="1" t="s">
        <v>1279</v>
      </c>
      <c r="O590" s="1" t="s">
        <v>490</v>
      </c>
      <c r="P590" t="s">
        <v>108</v>
      </c>
      <c r="Q590" s="1" t="s">
        <v>244</v>
      </c>
      <c r="R590">
        <v>1</v>
      </c>
      <c r="S590">
        <v>50</v>
      </c>
      <c r="T590">
        <v>50</v>
      </c>
      <c r="U590">
        <v>39</v>
      </c>
      <c r="AA590">
        <v>1101.8392699200001</v>
      </c>
      <c r="AB590">
        <v>2442533.68053</v>
      </c>
      <c r="AC590" s="1" t="s">
        <v>245</v>
      </c>
      <c r="AD590" t="s">
        <v>246</v>
      </c>
    </row>
    <row r="591" spans="2:30" x14ac:dyDescent="0.25">
      <c r="B591" s="1" t="s">
        <v>1243</v>
      </c>
      <c r="C591">
        <v>590</v>
      </c>
      <c r="D591" s="1" t="s">
        <v>82</v>
      </c>
      <c r="E591" t="s">
        <v>154</v>
      </c>
      <c r="F591" s="1" t="s">
        <v>1280</v>
      </c>
      <c r="O591" s="1" t="s">
        <v>490</v>
      </c>
      <c r="P591" t="s">
        <v>108</v>
      </c>
      <c r="Q591" s="1" t="s">
        <v>244</v>
      </c>
      <c r="R591">
        <v>1</v>
      </c>
      <c r="S591">
        <v>50</v>
      </c>
      <c r="T591">
        <v>50</v>
      </c>
      <c r="U591">
        <v>39</v>
      </c>
      <c r="AA591">
        <v>1101.8392699200001</v>
      </c>
      <c r="AB591">
        <v>2442533.68187</v>
      </c>
      <c r="AC591" s="1" t="s">
        <v>245</v>
      </c>
      <c r="AD591" t="s">
        <v>246</v>
      </c>
    </row>
    <row r="592" spans="2:30" x14ac:dyDescent="0.25">
      <c r="B592" s="1" t="s">
        <v>1244</v>
      </c>
      <c r="C592">
        <v>591</v>
      </c>
      <c r="D592" s="1" t="s">
        <v>82</v>
      </c>
      <c r="E592" t="s">
        <v>154</v>
      </c>
      <c r="F592" s="1" t="s">
        <v>1278</v>
      </c>
      <c r="O592" s="1" t="s">
        <v>959</v>
      </c>
      <c r="P592" t="s">
        <v>108</v>
      </c>
      <c r="Q592" s="1" t="s">
        <v>244</v>
      </c>
      <c r="R592">
        <v>1</v>
      </c>
      <c r="S592">
        <v>50</v>
      </c>
      <c r="T592">
        <v>50</v>
      </c>
      <c r="U592">
        <v>39</v>
      </c>
      <c r="AA592">
        <v>1103.0134949000001</v>
      </c>
      <c r="AB592">
        <v>2445445.8620600002</v>
      </c>
      <c r="AC592" s="1" t="s">
        <v>245</v>
      </c>
      <c r="AD592" t="s">
        <v>246</v>
      </c>
    </row>
    <row r="593" spans="2:30" x14ac:dyDescent="0.25">
      <c r="B593" s="1" t="s">
        <v>1245</v>
      </c>
      <c r="C593">
        <v>592</v>
      </c>
      <c r="D593" s="1" t="s">
        <v>82</v>
      </c>
      <c r="E593" t="s">
        <v>154</v>
      </c>
      <c r="F593" s="1" t="s">
        <v>1279</v>
      </c>
      <c r="O593" s="1" t="s">
        <v>959</v>
      </c>
      <c r="P593" t="s">
        <v>108</v>
      </c>
      <c r="Q593" s="1" t="s">
        <v>244</v>
      </c>
      <c r="R593">
        <v>1</v>
      </c>
      <c r="S593">
        <v>50</v>
      </c>
      <c r="T593">
        <v>50</v>
      </c>
      <c r="U593">
        <v>39</v>
      </c>
      <c r="AA593">
        <v>1103.0134949000001</v>
      </c>
      <c r="AB593">
        <v>2445445.8629899998</v>
      </c>
      <c r="AC593" s="1" t="s">
        <v>245</v>
      </c>
      <c r="AD593" t="s">
        <v>246</v>
      </c>
    </row>
    <row r="594" spans="2:30" x14ac:dyDescent="0.25">
      <c r="B594" s="1" t="s">
        <v>1246</v>
      </c>
      <c r="C594">
        <v>593</v>
      </c>
      <c r="D594" s="1" t="s">
        <v>82</v>
      </c>
      <c r="E594" t="s">
        <v>154</v>
      </c>
      <c r="F594" s="1" t="s">
        <v>1280</v>
      </c>
      <c r="O594" s="1" t="s">
        <v>959</v>
      </c>
      <c r="P594" t="s">
        <v>108</v>
      </c>
      <c r="Q594" s="1" t="s">
        <v>244</v>
      </c>
      <c r="R594">
        <v>1</v>
      </c>
      <c r="S594">
        <v>50</v>
      </c>
      <c r="T594">
        <v>50</v>
      </c>
      <c r="U594">
        <v>39</v>
      </c>
      <c r="AA594">
        <v>1103.0134949000001</v>
      </c>
      <c r="AB594">
        <v>2445445.8643299998</v>
      </c>
      <c r="AC594" s="1" t="s">
        <v>245</v>
      </c>
      <c r="AD594" t="s">
        <v>246</v>
      </c>
    </row>
    <row r="595" spans="2:30" x14ac:dyDescent="0.25">
      <c r="B595" s="1" t="s">
        <v>1242</v>
      </c>
      <c r="C595">
        <v>594</v>
      </c>
      <c r="D595" s="1" t="s">
        <v>82</v>
      </c>
      <c r="E595" t="s">
        <v>154</v>
      </c>
      <c r="F595" s="1" t="s">
        <v>1279</v>
      </c>
      <c r="O595" s="1" t="s">
        <v>479</v>
      </c>
      <c r="P595" t="s">
        <v>108</v>
      </c>
      <c r="Q595" s="1" t="s">
        <v>244</v>
      </c>
      <c r="R595">
        <v>1</v>
      </c>
      <c r="S595">
        <v>50</v>
      </c>
      <c r="T595">
        <v>50</v>
      </c>
      <c r="U595">
        <v>39</v>
      </c>
      <c r="AA595">
        <v>1103.28421757</v>
      </c>
      <c r="AB595">
        <v>2446117.3727099998</v>
      </c>
      <c r="AC595" s="1" t="s">
        <v>245</v>
      </c>
      <c r="AD595" t="s">
        <v>246</v>
      </c>
    </row>
    <row r="596" spans="2:30" x14ac:dyDescent="0.25">
      <c r="B596" s="1" t="s">
        <v>1243</v>
      </c>
      <c r="C596">
        <v>595</v>
      </c>
      <c r="D596" s="1" t="s">
        <v>82</v>
      </c>
      <c r="E596" t="s">
        <v>154</v>
      </c>
      <c r="F596" s="1" t="s">
        <v>1280</v>
      </c>
      <c r="O596" s="1" t="s">
        <v>479</v>
      </c>
      <c r="P596" t="s">
        <v>108</v>
      </c>
      <c r="Q596" s="1" t="s">
        <v>244</v>
      </c>
      <c r="R596">
        <v>1</v>
      </c>
      <c r="S596">
        <v>50</v>
      </c>
      <c r="T596">
        <v>50</v>
      </c>
      <c r="U596">
        <v>39</v>
      </c>
      <c r="AA596">
        <v>1103.28421757</v>
      </c>
      <c r="AB596">
        <v>2446117.3740500002</v>
      </c>
      <c r="AC596" s="1" t="s">
        <v>245</v>
      </c>
      <c r="AD596" t="s">
        <v>246</v>
      </c>
    </row>
    <row r="597" spans="2:30" x14ac:dyDescent="0.25">
      <c r="B597" s="1" t="s">
        <v>1245</v>
      </c>
      <c r="C597">
        <v>596</v>
      </c>
      <c r="D597" s="1" t="s">
        <v>82</v>
      </c>
      <c r="E597" t="s">
        <v>154</v>
      </c>
      <c r="F597" s="1" t="s">
        <v>1279</v>
      </c>
      <c r="O597" s="1" t="s">
        <v>432</v>
      </c>
      <c r="P597" t="s">
        <v>108</v>
      </c>
      <c r="Q597" s="1" t="s">
        <v>244</v>
      </c>
      <c r="R597">
        <v>1</v>
      </c>
      <c r="S597">
        <v>50</v>
      </c>
      <c r="T597">
        <v>50</v>
      </c>
      <c r="U597">
        <v>39</v>
      </c>
      <c r="AA597">
        <v>1104.43151848</v>
      </c>
      <c r="AB597">
        <v>2448968.5621799999</v>
      </c>
      <c r="AC597" s="1" t="s">
        <v>245</v>
      </c>
      <c r="AD597" t="s">
        <v>246</v>
      </c>
    </row>
    <row r="598" spans="2:30" x14ac:dyDescent="0.25">
      <c r="B598" s="1" t="s">
        <v>1246</v>
      </c>
      <c r="C598">
        <v>597</v>
      </c>
      <c r="D598" s="1" t="s">
        <v>82</v>
      </c>
      <c r="E598" t="s">
        <v>154</v>
      </c>
      <c r="F598" s="1" t="s">
        <v>1280</v>
      </c>
      <c r="O598" s="1" t="s">
        <v>432</v>
      </c>
      <c r="P598" t="s">
        <v>108</v>
      </c>
      <c r="Q598" s="1" t="s">
        <v>244</v>
      </c>
      <c r="R598">
        <v>1</v>
      </c>
      <c r="S598">
        <v>50</v>
      </c>
      <c r="T598">
        <v>50</v>
      </c>
      <c r="U598">
        <v>39</v>
      </c>
      <c r="AA598">
        <v>1104.43151848</v>
      </c>
      <c r="AB598">
        <v>2448968.5635299999</v>
      </c>
      <c r="AC598" s="1" t="s">
        <v>245</v>
      </c>
      <c r="AD598" t="s">
        <v>246</v>
      </c>
    </row>
    <row r="599" spans="2:30" x14ac:dyDescent="0.25">
      <c r="B599" s="1" t="s">
        <v>1241</v>
      </c>
      <c r="C599">
        <v>598</v>
      </c>
      <c r="D599" s="1" t="s">
        <v>82</v>
      </c>
      <c r="E599" t="s">
        <v>154</v>
      </c>
      <c r="F599" s="1" t="s">
        <v>1278</v>
      </c>
      <c r="O599" s="1" t="s">
        <v>951</v>
      </c>
      <c r="P599" t="s">
        <v>108</v>
      </c>
      <c r="Q599" s="1" t="s">
        <v>244</v>
      </c>
      <c r="R599">
        <v>1</v>
      </c>
      <c r="S599">
        <v>50</v>
      </c>
      <c r="T599">
        <v>50</v>
      </c>
      <c r="U599">
        <v>39</v>
      </c>
      <c r="AA599">
        <v>1105.40264875</v>
      </c>
      <c r="AB599">
        <v>2451373.2086100001</v>
      </c>
      <c r="AC599" s="1" t="s">
        <v>245</v>
      </c>
      <c r="AD599" t="s">
        <v>246</v>
      </c>
    </row>
    <row r="600" spans="2:30" x14ac:dyDescent="0.25">
      <c r="B600" s="1" t="s">
        <v>1244</v>
      </c>
      <c r="C600">
        <v>599</v>
      </c>
      <c r="D600" s="1" t="s">
        <v>82</v>
      </c>
      <c r="E600" t="s">
        <v>154</v>
      </c>
      <c r="F600" s="1" t="s">
        <v>1278</v>
      </c>
      <c r="O600" s="1" t="s">
        <v>418</v>
      </c>
      <c r="P600" t="s">
        <v>108</v>
      </c>
      <c r="Q600" s="1" t="s">
        <v>244</v>
      </c>
      <c r="R600">
        <v>1</v>
      </c>
      <c r="S600">
        <v>50</v>
      </c>
      <c r="T600">
        <v>50</v>
      </c>
      <c r="U600">
        <v>39</v>
      </c>
      <c r="AA600">
        <v>1106.54994966</v>
      </c>
      <c r="AB600">
        <v>2454225.5680800001</v>
      </c>
      <c r="AC600" s="1" t="s">
        <v>245</v>
      </c>
      <c r="AD600" t="s">
        <v>246</v>
      </c>
    </row>
    <row r="601" spans="2:30" x14ac:dyDescent="0.25">
      <c r="B601" s="1" t="s">
        <v>1247</v>
      </c>
      <c r="C601">
        <v>600</v>
      </c>
      <c r="D601" s="1" t="s">
        <v>82</v>
      </c>
      <c r="E601" t="s">
        <v>154</v>
      </c>
      <c r="F601" s="1" t="s">
        <v>1278</v>
      </c>
      <c r="O601" s="1" t="s">
        <v>450</v>
      </c>
      <c r="P601" t="s">
        <v>108</v>
      </c>
      <c r="Q601" s="1" t="s">
        <v>244</v>
      </c>
      <c r="R601">
        <v>1</v>
      </c>
      <c r="S601">
        <v>50</v>
      </c>
      <c r="T601">
        <v>50</v>
      </c>
      <c r="U601">
        <v>39</v>
      </c>
      <c r="AA601">
        <v>1109.6056507799999</v>
      </c>
      <c r="AB601">
        <v>2461807.2171999998</v>
      </c>
      <c r="AC601" s="1" t="s">
        <v>245</v>
      </c>
      <c r="AD601" t="s">
        <v>246</v>
      </c>
    </row>
    <row r="602" spans="2:30" x14ac:dyDescent="0.25">
      <c r="B602" s="1" t="s">
        <v>1248</v>
      </c>
      <c r="C602">
        <v>601</v>
      </c>
      <c r="D602" s="1" t="s">
        <v>82</v>
      </c>
      <c r="E602" t="s">
        <v>154</v>
      </c>
      <c r="F602" s="1" t="s">
        <v>1279</v>
      </c>
      <c r="O602" s="1" t="s">
        <v>450</v>
      </c>
      <c r="P602" t="s">
        <v>108</v>
      </c>
      <c r="Q602" s="1" t="s">
        <v>244</v>
      </c>
      <c r="R602">
        <v>1</v>
      </c>
      <c r="S602">
        <v>50</v>
      </c>
      <c r="T602">
        <v>50</v>
      </c>
      <c r="U602">
        <v>39</v>
      </c>
      <c r="AA602">
        <v>1109.6056507799999</v>
      </c>
      <c r="AB602">
        <v>2461807.21814</v>
      </c>
      <c r="AC602" s="1" t="s">
        <v>245</v>
      </c>
      <c r="AD602" t="s">
        <v>246</v>
      </c>
    </row>
    <row r="603" spans="2:30" x14ac:dyDescent="0.25">
      <c r="B603" s="1" t="s">
        <v>1249</v>
      </c>
      <c r="C603">
        <v>602</v>
      </c>
      <c r="D603" s="1" t="s">
        <v>82</v>
      </c>
      <c r="E603" t="s">
        <v>154</v>
      </c>
      <c r="F603" s="1" t="s">
        <v>1280</v>
      </c>
      <c r="O603" s="1" t="s">
        <v>450</v>
      </c>
      <c r="P603" t="s">
        <v>108</v>
      </c>
      <c r="Q603" s="1" t="s">
        <v>244</v>
      </c>
      <c r="R603">
        <v>1</v>
      </c>
      <c r="S603">
        <v>50</v>
      </c>
      <c r="T603">
        <v>50</v>
      </c>
      <c r="U603">
        <v>39</v>
      </c>
      <c r="AA603">
        <v>1109.6056507799999</v>
      </c>
      <c r="AB603">
        <v>2461807.21948</v>
      </c>
      <c r="AC603" s="1" t="s">
        <v>245</v>
      </c>
      <c r="AD603" t="s">
        <v>246</v>
      </c>
    </row>
    <row r="604" spans="2:30" x14ac:dyDescent="0.25">
      <c r="B604" s="1" t="s">
        <v>1241</v>
      </c>
      <c r="C604">
        <v>603</v>
      </c>
      <c r="D604" s="1" t="s">
        <v>82</v>
      </c>
      <c r="E604" t="s">
        <v>154</v>
      </c>
      <c r="F604" s="1" t="s">
        <v>1278</v>
      </c>
      <c r="O604" s="1" t="s">
        <v>489</v>
      </c>
      <c r="P604" t="s">
        <v>108</v>
      </c>
      <c r="Q604" s="1" t="s">
        <v>244</v>
      </c>
      <c r="R604">
        <v>1</v>
      </c>
      <c r="S604">
        <v>50</v>
      </c>
      <c r="T604">
        <v>50</v>
      </c>
      <c r="U604">
        <v>39</v>
      </c>
      <c r="AA604">
        <v>1112.4334944899999</v>
      </c>
      <c r="AB604">
        <v>2468832.1231499999</v>
      </c>
      <c r="AC604" s="1" t="s">
        <v>245</v>
      </c>
      <c r="AD604" t="s">
        <v>246</v>
      </c>
    </row>
    <row r="605" spans="2:30" x14ac:dyDescent="0.25">
      <c r="B605" s="1" t="s">
        <v>1242</v>
      </c>
      <c r="C605">
        <v>604</v>
      </c>
      <c r="D605" s="1" t="s">
        <v>82</v>
      </c>
      <c r="E605" t="s">
        <v>154</v>
      </c>
      <c r="F605" s="1" t="s">
        <v>1279</v>
      </c>
      <c r="O605" s="1" t="s">
        <v>489</v>
      </c>
      <c r="P605" t="s">
        <v>108</v>
      </c>
      <c r="Q605" s="1" t="s">
        <v>244</v>
      </c>
      <c r="R605">
        <v>1</v>
      </c>
      <c r="S605">
        <v>50</v>
      </c>
      <c r="T605">
        <v>50</v>
      </c>
      <c r="U605">
        <v>39</v>
      </c>
      <c r="AA605">
        <v>1112.4334944899999</v>
      </c>
      <c r="AB605">
        <v>2468832.1240900001</v>
      </c>
      <c r="AC605" s="1" t="s">
        <v>245</v>
      </c>
      <c r="AD605" t="s">
        <v>246</v>
      </c>
    </row>
    <row r="606" spans="2:30" x14ac:dyDescent="0.25">
      <c r="B606" s="1" t="s">
        <v>1243</v>
      </c>
      <c r="C606">
        <v>605</v>
      </c>
      <c r="D606" s="1" t="s">
        <v>82</v>
      </c>
      <c r="E606" t="s">
        <v>154</v>
      </c>
      <c r="F606" s="1" t="s">
        <v>1280</v>
      </c>
      <c r="O606" s="1" t="s">
        <v>489</v>
      </c>
      <c r="P606" t="s">
        <v>108</v>
      </c>
      <c r="Q606" s="1" t="s">
        <v>244</v>
      </c>
      <c r="R606">
        <v>1</v>
      </c>
      <c r="S606">
        <v>50</v>
      </c>
      <c r="T606">
        <v>50</v>
      </c>
      <c r="U606">
        <v>39</v>
      </c>
      <c r="AA606">
        <v>1112.4334944899999</v>
      </c>
      <c r="AB606">
        <v>2468832.1254400001</v>
      </c>
      <c r="AC606" s="1" t="s">
        <v>245</v>
      </c>
      <c r="AD606" t="s">
        <v>246</v>
      </c>
    </row>
    <row r="607" spans="2:30" x14ac:dyDescent="0.25">
      <c r="B607" s="1" t="s">
        <v>1244</v>
      </c>
      <c r="C607">
        <v>606</v>
      </c>
      <c r="D607" s="1" t="s">
        <v>82</v>
      </c>
      <c r="E607" t="s">
        <v>154</v>
      </c>
      <c r="F607" s="1" t="s">
        <v>1278</v>
      </c>
      <c r="O607" s="1" t="s">
        <v>452</v>
      </c>
      <c r="P607" t="s">
        <v>108</v>
      </c>
      <c r="Q607" s="1" t="s">
        <v>244</v>
      </c>
      <c r="R607">
        <v>1</v>
      </c>
      <c r="S607">
        <v>50</v>
      </c>
      <c r="T607">
        <v>50</v>
      </c>
      <c r="U607">
        <v>39</v>
      </c>
      <c r="AA607">
        <v>1113.6056507799999</v>
      </c>
      <c r="AB607">
        <v>2471745.1033899998</v>
      </c>
      <c r="AC607" s="1" t="s">
        <v>245</v>
      </c>
      <c r="AD607" t="s">
        <v>246</v>
      </c>
    </row>
    <row r="608" spans="2:30" x14ac:dyDescent="0.25">
      <c r="B608" s="1" t="s">
        <v>1245</v>
      </c>
      <c r="C608">
        <v>607</v>
      </c>
      <c r="D608" s="1" t="s">
        <v>82</v>
      </c>
      <c r="E608" t="s">
        <v>154</v>
      </c>
      <c r="F608" s="1" t="s">
        <v>1279</v>
      </c>
      <c r="O608" s="1" t="s">
        <v>452</v>
      </c>
      <c r="P608" t="s">
        <v>108</v>
      </c>
      <c r="Q608" s="1" t="s">
        <v>244</v>
      </c>
      <c r="R608">
        <v>1</v>
      </c>
      <c r="S608">
        <v>50</v>
      </c>
      <c r="T608">
        <v>50</v>
      </c>
      <c r="U608">
        <v>39</v>
      </c>
      <c r="AA608">
        <v>1113.6056507799999</v>
      </c>
      <c r="AB608">
        <v>2471745.1043199999</v>
      </c>
      <c r="AC608" s="1" t="s">
        <v>245</v>
      </c>
      <c r="AD608" t="s">
        <v>246</v>
      </c>
    </row>
    <row r="609" spans="2:30" x14ac:dyDescent="0.25">
      <c r="B609" s="1" t="s">
        <v>1246</v>
      </c>
      <c r="C609">
        <v>608</v>
      </c>
      <c r="D609" s="1" t="s">
        <v>82</v>
      </c>
      <c r="E609" t="s">
        <v>154</v>
      </c>
      <c r="F609" s="1" t="s">
        <v>1280</v>
      </c>
      <c r="O609" s="1" t="s">
        <v>452</v>
      </c>
      <c r="P609" t="s">
        <v>108</v>
      </c>
      <c r="Q609" s="1" t="s">
        <v>244</v>
      </c>
      <c r="R609">
        <v>1</v>
      </c>
      <c r="S609">
        <v>50</v>
      </c>
      <c r="T609">
        <v>50</v>
      </c>
      <c r="U609">
        <v>39</v>
      </c>
      <c r="AA609">
        <v>1113.6056507799999</v>
      </c>
      <c r="AB609">
        <v>2471745.10568</v>
      </c>
      <c r="AC609" s="1" t="s">
        <v>245</v>
      </c>
      <c r="AD609" t="s">
        <v>246</v>
      </c>
    </row>
    <row r="610" spans="2:30" x14ac:dyDescent="0.25">
      <c r="B610" s="1" t="s">
        <v>1247</v>
      </c>
      <c r="C610">
        <v>609</v>
      </c>
      <c r="D610" s="1" t="s">
        <v>82</v>
      </c>
      <c r="E610" t="s">
        <v>154</v>
      </c>
      <c r="F610" s="1" t="s">
        <v>1278</v>
      </c>
      <c r="O610" s="1" t="s">
        <v>358</v>
      </c>
      <c r="P610" t="s">
        <v>108</v>
      </c>
      <c r="Q610" s="1" t="s">
        <v>244</v>
      </c>
      <c r="R610">
        <v>1</v>
      </c>
      <c r="S610">
        <v>50</v>
      </c>
      <c r="T610">
        <v>50</v>
      </c>
      <c r="U610">
        <v>39</v>
      </c>
      <c r="AA610">
        <v>1150.0809438900001</v>
      </c>
      <c r="AB610">
        <v>2562719.3638499998</v>
      </c>
      <c r="AC610" s="1" t="s">
        <v>245</v>
      </c>
      <c r="AD610" t="s">
        <v>246</v>
      </c>
    </row>
    <row r="611" spans="2:30" x14ac:dyDescent="0.25">
      <c r="B611" s="1" t="s">
        <v>1248</v>
      </c>
      <c r="C611">
        <v>610</v>
      </c>
      <c r="D611" s="1" t="s">
        <v>82</v>
      </c>
      <c r="E611" t="s">
        <v>154</v>
      </c>
      <c r="F611" s="1" t="s">
        <v>1279</v>
      </c>
      <c r="O611" s="1" t="s">
        <v>358</v>
      </c>
      <c r="P611" t="s">
        <v>108</v>
      </c>
      <c r="Q611" s="1" t="s">
        <v>244</v>
      </c>
      <c r="R611">
        <v>1</v>
      </c>
      <c r="S611">
        <v>50</v>
      </c>
      <c r="T611">
        <v>50</v>
      </c>
      <c r="U611">
        <v>39</v>
      </c>
      <c r="AA611">
        <v>1150.0809438900001</v>
      </c>
      <c r="AB611">
        <v>2562719.3648299999</v>
      </c>
      <c r="AC611" s="1" t="s">
        <v>245</v>
      </c>
      <c r="AD611" t="s">
        <v>246</v>
      </c>
    </row>
    <row r="612" spans="2:30" x14ac:dyDescent="0.25">
      <c r="B612" s="1" t="s">
        <v>1249</v>
      </c>
      <c r="C612">
        <v>611</v>
      </c>
      <c r="D612" s="1" t="s">
        <v>82</v>
      </c>
      <c r="E612" t="s">
        <v>154</v>
      </c>
      <c r="F612" s="1" t="s">
        <v>1280</v>
      </c>
      <c r="O612" s="1" t="s">
        <v>358</v>
      </c>
      <c r="P612" t="s">
        <v>108</v>
      </c>
      <c r="Q612" s="1" t="s">
        <v>244</v>
      </c>
      <c r="R612">
        <v>1</v>
      </c>
      <c r="S612">
        <v>50</v>
      </c>
      <c r="T612">
        <v>50</v>
      </c>
      <c r="U612">
        <v>39</v>
      </c>
      <c r="AA612">
        <v>1150.0809438900001</v>
      </c>
      <c r="AB612">
        <v>2562719.3662399999</v>
      </c>
      <c r="AC612" s="1" t="s">
        <v>245</v>
      </c>
      <c r="AD612" t="s">
        <v>246</v>
      </c>
    </row>
    <row r="613" spans="2:30" x14ac:dyDescent="0.25">
      <c r="B613" s="1" t="s">
        <v>1241</v>
      </c>
      <c r="C613">
        <v>612</v>
      </c>
      <c r="D613" s="1" t="s">
        <v>82</v>
      </c>
      <c r="E613" t="s">
        <v>154</v>
      </c>
      <c r="F613" s="1" t="s">
        <v>1278</v>
      </c>
      <c r="O613" s="1" t="s">
        <v>934</v>
      </c>
      <c r="P613" t="s">
        <v>108</v>
      </c>
      <c r="Q613" s="1" t="s">
        <v>244</v>
      </c>
      <c r="R613">
        <v>1</v>
      </c>
      <c r="S613">
        <v>50</v>
      </c>
      <c r="T613">
        <v>50</v>
      </c>
      <c r="U613">
        <v>39</v>
      </c>
      <c r="AA613">
        <v>1163.1900286499999</v>
      </c>
      <c r="AB613">
        <v>2595570.3437399999</v>
      </c>
      <c r="AC613" s="1" t="s">
        <v>245</v>
      </c>
      <c r="AD613" t="s">
        <v>246</v>
      </c>
    </row>
    <row r="614" spans="2:30" x14ac:dyDescent="0.25">
      <c r="B614" s="1" t="s">
        <v>1244</v>
      </c>
      <c r="C614">
        <v>613</v>
      </c>
      <c r="D614" s="1" t="s">
        <v>82</v>
      </c>
      <c r="E614" t="s">
        <v>154</v>
      </c>
      <c r="F614" s="1" t="s">
        <v>1278</v>
      </c>
      <c r="O614" s="1" t="s">
        <v>950</v>
      </c>
      <c r="P614" t="s">
        <v>108</v>
      </c>
      <c r="Q614" s="1" t="s">
        <v>244</v>
      </c>
      <c r="R614">
        <v>1</v>
      </c>
      <c r="S614">
        <v>50</v>
      </c>
      <c r="T614">
        <v>50</v>
      </c>
      <c r="U614">
        <v>39</v>
      </c>
      <c r="AA614">
        <v>1163.4071932899999</v>
      </c>
      <c r="AB614">
        <v>2596115.2427599998</v>
      </c>
      <c r="AC614" s="1" t="s">
        <v>245</v>
      </c>
      <c r="AD614" t="s">
        <v>246</v>
      </c>
    </row>
    <row r="615" spans="2:30" x14ac:dyDescent="0.25">
      <c r="B615" s="1" t="s">
        <v>1245</v>
      </c>
      <c r="C615">
        <v>614</v>
      </c>
      <c r="D615" s="1" t="s">
        <v>82</v>
      </c>
      <c r="E615" t="s">
        <v>154</v>
      </c>
      <c r="F615" s="1" t="s">
        <v>1279</v>
      </c>
      <c r="O615" s="1" t="s">
        <v>950</v>
      </c>
      <c r="P615" t="s">
        <v>108</v>
      </c>
      <c r="Q615" s="1" t="s">
        <v>244</v>
      </c>
      <c r="R615">
        <v>1</v>
      </c>
      <c r="S615">
        <v>50</v>
      </c>
      <c r="T615">
        <v>50</v>
      </c>
      <c r="U615">
        <v>39</v>
      </c>
      <c r="AA615">
        <v>1163.4071932899999</v>
      </c>
      <c r="AB615">
        <v>2596115.2437499999</v>
      </c>
      <c r="AC615" s="1" t="s">
        <v>245</v>
      </c>
      <c r="AD615" t="s">
        <v>246</v>
      </c>
    </row>
    <row r="616" spans="2:30" x14ac:dyDescent="0.25">
      <c r="B616" s="1" t="s">
        <v>1246</v>
      </c>
      <c r="C616">
        <v>615</v>
      </c>
      <c r="D616" s="1" t="s">
        <v>82</v>
      </c>
      <c r="E616" t="s">
        <v>154</v>
      </c>
      <c r="F616" s="1" t="s">
        <v>1280</v>
      </c>
      <c r="O616" s="1" t="s">
        <v>950</v>
      </c>
      <c r="P616" t="s">
        <v>108</v>
      </c>
      <c r="Q616" s="1" t="s">
        <v>244</v>
      </c>
      <c r="R616">
        <v>1</v>
      </c>
      <c r="S616">
        <v>50</v>
      </c>
      <c r="T616">
        <v>50</v>
      </c>
      <c r="U616">
        <v>39</v>
      </c>
      <c r="AA616">
        <v>1163.4071932899999</v>
      </c>
      <c r="AB616">
        <v>2596115.24517</v>
      </c>
      <c r="AC616" s="1" t="s">
        <v>245</v>
      </c>
      <c r="AD616" t="s">
        <v>246</v>
      </c>
    </row>
    <row r="617" spans="2:30" x14ac:dyDescent="0.25">
      <c r="B617" s="1" t="s">
        <v>1242</v>
      </c>
      <c r="C617">
        <v>616</v>
      </c>
      <c r="D617" s="1" t="s">
        <v>82</v>
      </c>
      <c r="E617" t="s">
        <v>154</v>
      </c>
      <c r="F617" s="1" t="s">
        <v>1279</v>
      </c>
      <c r="O617" s="1" t="s">
        <v>1293</v>
      </c>
      <c r="P617" t="s">
        <v>108</v>
      </c>
      <c r="Q617" s="1" t="s">
        <v>244</v>
      </c>
      <c r="R617">
        <v>1</v>
      </c>
      <c r="S617">
        <v>50</v>
      </c>
      <c r="T617">
        <v>50</v>
      </c>
      <c r="U617">
        <v>39</v>
      </c>
      <c r="AA617">
        <v>1165.3085078199999</v>
      </c>
      <c r="AB617">
        <v>2600886.8919600002</v>
      </c>
      <c r="AC617" s="1" t="s">
        <v>245</v>
      </c>
      <c r="AD617" t="s">
        <v>246</v>
      </c>
    </row>
    <row r="618" spans="2:30" x14ac:dyDescent="0.25">
      <c r="B618" s="1" t="s">
        <v>1243</v>
      </c>
      <c r="C618">
        <v>617</v>
      </c>
      <c r="D618" s="1" t="s">
        <v>82</v>
      </c>
      <c r="E618" t="s">
        <v>154</v>
      </c>
      <c r="F618" s="1" t="s">
        <v>1280</v>
      </c>
      <c r="O618" s="1" t="s">
        <v>1293</v>
      </c>
      <c r="P618" t="s">
        <v>108</v>
      </c>
      <c r="Q618" s="1" t="s">
        <v>244</v>
      </c>
      <c r="R618">
        <v>1</v>
      </c>
      <c r="S618">
        <v>50</v>
      </c>
      <c r="T618">
        <v>50</v>
      </c>
      <c r="U618">
        <v>39</v>
      </c>
      <c r="AA618">
        <v>1165.3085078199999</v>
      </c>
      <c r="AB618">
        <v>2600886.8933899999</v>
      </c>
      <c r="AC618" s="1" t="s">
        <v>245</v>
      </c>
      <c r="AD618" t="s">
        <v>246</v>
      </c>
    </row>
    <row r="619" spans="2:30" x14ac:dyDescent="0.25">
      <c r="B619" s="1" t="s">
        <v>1242</v>
      </c>
      <c r="C619">
        <v>618</v>
      </c>
      <c r="D619" s="1" t="s">
        <v>82</v>
      </c>
      <c r="E619" t="s">
        <v>154</v>
      </c>
      <c r="F619" s="1" t="s">
        <v>1279</v>
      </c>
      <c r="O619" s="1" t="s">
        <v>1294</v>
      </c>
      <c r="P619" t="s">
        <v>108</v>
      </c>
      <c r="Q619" s="1" t="s">
        <v>244</v>
      </c>
      <c r="R619">
        <v>1</v>
      </c>
      <c r="S619">
        <v>50</v>
      </c>
      <c r="T619">
        <v>51</v>
      </c>
      <c r="U619">
        <v>39</v>
      </c>
      <c r="AA619">
        <v>1209.2057764399999</v>
      </c>
      <c r="AB619">
        <v>2711533.9287800002</v>
      </c>
      <c r="AC619" s="1" t="s">
        <v>245</v>
      </c>
      <c r="AD619" t="s">
        <v>246</v>
      </c>
    </row>
    <row r="620" spans="2:30" x14ac:dyDescent="0.25">
      <c r="B620" s="1" t="s">
        <v>1243</v>
      </c>
      <c r="C620">
        <v>619</v>
      </c>
      <c r="D620" s="1" t="s">
        <v>82</v>
      </c>
      <c r="E620" t="s">
        <v>154</v>
      </c>
      <c r="F620" s="1" t="s">
        <v>1280</v>
      </c>
      <c r="O620" s="1" t="s">
        <v>1294</v>
      </c>
      <c r="P620" t="s">
        <v>108</v>
      </c>
      <c r="Q620" s="1" t="s">
        <v>244</v>
      </c>
      <c r="R620">
        <v>1</v>
      </c>
      <c r="S620">
        <v>50</v>
      </c>
      <c r="T620">
        <v>51</v>
      </c>
      <c r="U620">
        <v>39</v>
      </c>
      <c r="AA620">
        <v>1209.2057764399999</v>
      </c>
      <c r="AB620">
        <v>2711533.93028</v>
      </c>
      <c r="AC620" s="1" t="s">
        <v>245</v>
      </c>
      <c r="AD620" t="s">
        <v>246</v>
      </c>
    </row>
    <row r="621" spans="2:30" x14ac:dyDescent="0.25">
      <c r="B621" s="1" t="s">
        <v>1245</v>
      </c>
      <c r="C621">
        <v>620</v>
      </c>
      <c r="D621" s="1" t="s">
        <v>82</v>
      </c>
      <c r="E621" t="s">
        <v>154</v>
      </c>
      <c r="F621" s="1" t="s">
        <v>1279</v>
      </c>
      <c r="O621" s="1" t="s">
        <v>469</v>
      </c>
      <c r="P621" t="s">
        <v>108</v>
      </c>
      <c r="Q621" s="1" t="s">
        <v>244</v>
      </c>
      <c r="R621">
        <v>1</v>
      </c>
      <c r="S621">
        <v>50</v>
      </c>
      <c r="T621">
        <v>51</v>
      </c>
      <c r="U621">
        <v>39</v>
      </c>
      <c r="AA621">
        <v>1210.3530773499999</v>
      </c>
      <c r="AB621">
        <v>2714443.6176700001</v>
      </c>
      <c r="AC621" s="1" t="s">
        <v>245</v>
      </c>
      <c r="AD621" t="s">
        <v>246</v>
      </c>
    </row>
    <row r="622" spans="2:30" x14ac:dyDescent="0.25">
      <c r="B622" s="1" t="s">
        <v>1246</v>
      </c>
      <c r="C622">
        <v>621</v>
      </c>
      <c r="D622" s="1" t="s">
        <v>82</v>
      </c>
      <c r="E622" t="s">
        <v>154</v>
      </c>
      <c r="F622" s="1" t="s">
        <v>1280</v>
      </c>
      <c r="O622" s="1" t="s">
        <v>469</v>
      </c>
      <c r="P622" t="s">
        <v>108</v>
      </c>
      <c r="Q622" s="1" t="s">
        <v>244</v>
      </c>
      <c r="R622">
        <v>1</v>
      </c>
      <c r="S622">
        <v>50</v>
      </c>
      <c r="T622">
        <v>51</v>
      </c>
      <c r="U622">
        <v>39</v>
      </c>
      <c r="AA622">
        <v>1210.3530773499999</v>
      </c>
      <c r="AB622">
        <v>2714443.6191699998</v>
      </c>
      <c r="AC622" s="1" t="s">
        <v>245</v>
      </c>
      <c r="AD622" t="s">
        <v>246</v>
      </c>
    </row>
    <row r="623" spans="2:30" x14ac:dyDescent="0.25">
      <c r="B623" s="1" t="s">
        <v>1241</v>
      </c>
      <c r="C623">
        <v>622</v>
      </c>
      <c r="D623" s="1" t="s">
        <v>82</v>
      </c>
      <c r="E623" t="s">
        <v>154</v>
      </c>
      <c r="F623" s="1" t="s">
        <v>1278</v>
      </c>
      <c r="O623" s="1" t="s">
        <v>970</v>
      </c>
      <c r="P623" t="s">
        <v>108</v>
      </c>
      <c r="Q623" s="1" t="s">
        <v>244</v>
      </c>
      <c r="R623">
        <v>1</v>
      </c>
      <c r="S623">
        <v>50</v>
      </c>
      <c r="T623">
        <v>51</v>
      </c>
      <c r="U623">
        <v>39</v>
      </c>
      <c r="AA623">
        <v>1211.3242076199999</v>
      </c>
      <c r="AB623">
        <v>2716896.8957699998</v>
      </c>
      <c r="AC623" s="1" t="s">
        <v>245</v>
      </c>
      <c r="AD623" t="s">
        <v>246</v>
      </c>
    </row>
    <row r="624" spans="2:30" x14ac:dyDescent="0.25">
      <c r="B624" s="1" t="s">
        <v>1244</v>
      </c>
      <c r="C624">
        <v>623</v>
      </c>
      <c r="D624" s="1" t="s">
        <v>82</v>
      </c>
      <c r="E624" t="s">
        <v>154</v>
      </c>
      <c r="F624" s="1" t="s">
        <v>1278</v>
      </c>
      <c r="O624" s="1" t="s">
        <v>460</v>
      </c>
      <c r="P624" t="s">
        <v>108</v>
      </c>
      <c r="Q624" s="1" t="s">
        <v>244</v>
      </c>
      <c r="R624">
        <v>1</v>
      </c>
      <c r="S624">
        <v>50</v>
      </c>
      <c r="T624">
        <v>51</v>
      </c>
      <c r="U624">
        <v>39</v>
      </c>
      <c r="AA624">
        <v>1212.4715085299999</v>
      </c>
      <c r="AB624">
        <v>2719807.7546399999</v>
      </c>
      <c r="AC624" s="1" t="s">
        <v>245</v>
      </c>
      <c r="AD624" t="s">
        <v>246</v>
      </c>
    </row>
    <row r="625" spans="2:30" x14ac:dyDescent="0.25">
      <c r="B625" s="1" t="s">
        <v>1247</v>
      </c>
      <c r="C625">
        <v>624</v>
      </c>
      <c r="D625" s="1" t="s">
        <v>82</v>
      </c>
      <c r="E625" t="s">
        <v>154</v>
      </c>
      <c r="F625" s="1" t="s">
        <v>1278</v>
      </c>
      <c r="O625" s="1" t="s">
        <v>500</v>
      </c>
      <c r="P625" t="s">
        <v>108</v>
      </c>
      <c r="Q625" s="1" t="s">
        <v>244</v>
      </c>
      <c r="R625">
        <v>1</v>
      </c>
      <c r="S625">
        <v>50</v>
      </c>
      <c r="T625">
        <v>51</v>
      </c>
      <c r="U625">
        <v>39</v>
      </c>
      <c r="AA625">
        <v>1256.00250276</v>
      </c>
      <c r="AB625">
        <v>2830502.4774799999</v>
      </c>
      <c r="AC625" s="1" t="s">
        <v>245</v>
      </c>
      <c r="AD625" t="s">
        <v>246</v>
      </c>
    </row>
    <row r="626" spans="2:30" x14ac:dyDescent="0.25">
      <c r="B626" s="1" t="s">
        <v>1248</v>
      </c>
      <c r="C626">
        <v>625</v>
      </c>
      <c r="D626" s="1" t="s">
        <v>82</v>
      </c>
      <c r="E626" t="s">
        <v>154</v>
      </c>
      <c r="F626" s="1" t="s">
        <v>1279</v>
      </c>
      <c r="O626" s="1" t="s">
        <v>500</v>
      </c>
      <c r="P626" t="s">
        <v>108</v>
      </c>
      <c r="Q626" s="1" t="s">
        <v>244</v>
      </c>
      <c r="R626">
        <v>1</v>
      </c>
      <c r="S626">
        <v>50</v>
      </c>
      <c r="T626">
        <v>51</v>
      </c>
      <c r="U626">
        <v>39</v>
      </c>
      <c r="AA626">
        <v>1256.00250276</v>
      </c>
      <c r="AB626">
        <v>2830502.4785699998</v>
      </c>
      <c r="AC626" s="1" t="s">
        <v>245</v>
      </c>
      <c r="AD626" t="s">
        <v>246</v>
      </c>
    </row>
    <row r="627" spans="2:30" x14ac:dyDescent="0.25">
      <c r="B627" s="1" t="s">
        <v>1249</v>
      </c>
      <c r="C627">
        <v>626</v>
      </c>
      <c r="D627" s="1" t="s">
        <v>82</v>
      </c>
      <c r="E627" t="s">
        <v>154</v>
      </c>
      <c r="F627" s="1" t="s">
        <v>1280</v>
      </c>
      <c r="O627" s="1" t="s">
        <v>500</v>
      </c>
      <c r="P627" t="s">
        <v>108</v>
      </c>
      <c r="Q627" s="1" t="s">
        <v>244</v>
      </c>
      <c r="R627">
        <v>1</v>
      </c>
      <c r="S627">
        <v>50</v>
      </c>
      <c r="T627">
        <v>51</v>
      </c>
      <c r="U627">
        <v>39</v>
      </c>
      <c r="AA627">
        <v>1256.00250276</v>
      </c>
      <c r="AB627">
        <v>2830502.4801400001</v>
      </c>
      <c r="AC627" s="1" t="s">
        <v>245</v>
      </c>
      <c r="AD627" t="s">
        <v>246</v>
      </c>
    </row>
    <row r="628" spans="2:30" x14ac:dyDescent="0.25">
      <c r="B628" s="1" t="s">
        <v>1241</v>
      </c>
      <c r="C628">
        <v>627</v>
      </c>
      <c r="D628" s="1" t="s">
        <v>82</v>
      </c>
      <c r="E628" t="s">
        <v>154</v>
      </c>
      <c r="F628" s="1" t="s">
        <v>1278</v>
      </c>
      <c r="O628" s="1" t="s">
        <v>1295</v>
      </c>
      <c r="P628" t="s">
        <v>108</v>
      </c>
      <c r="Q628" s="1" t="s">
        <v>244</v>
      </c>
      <c r="R628">
        <v>1</v>
      </c>
      <c r="S628">
        <v>50</v>
      </c>
      <c r="T628">
        <v>51</v>
      </c>
      <c r="U628">
        <v>39</v>
      </c>
      <c r="AA628">
        <v>1268.4713352700001</v>
      </c>
      <c r="AB628">
        <v>2862377.6597799999</v>
      </c>
      <c r="AC628" s="1" t="s">
        <v>245</v>
      </c>
      <c r="AD628" t="s">
        <v>246</v>
      </c>
    </row>
    <row r="629" spans="2:30" x14ac:dyDescent="0.25">
      <c r="B629" s="1" t="s">
        <v>1244</v>
      </c>
      <c r="C629">
        <v>628</v>
      </c>
      <c r="D629" s="1" t="s">
        <v>82</v>
      </c>
      <c r="E629" t="s">
        <v>154</v>
      </c>
      <c r="F629" s="1" t="s">
        <v>1278</v>
      </c>
      <c r="O629" s="1" t="s">
        <v>967</v>
      </c>
      <c r="P629" t="s">
        <v>108</v>
      </c>
      <c r="Q629" s="1" t="s">
        <v>244</v>
      </c>
      <c r="R629">
        <v>1</v>
      </c>
      <c r="S629">
        <v>50</v>
      </c>
      <c r="T629">
        <v>51</v>
      </c>
      <c r="U629">
        <v>39</v>
      </c>
      <c r="AA629">
        <v>1269.4607953100001</v>
      </c>
      <c r="AB629">
        <v>2864910.2831299999</v>
      </c>
      <c r="AC629" s="1" t="s">
        <v>245</v>
      </c>
      <c r="AD629" t="s">
        <v>246</v>
      </c>
    </row>
    <row r="630" spans="2:30" x14ac:dyDescent="0.25">
      <c r="B630" s="1" t="s">
        <v>1245</v>
      </c>
      <c r="C630">
        <v>629</v>
      </c>
      <c r="D630" s="1" t="s">
        <v>82</v>
      </c>
      <c r="E630" t="s">
        <v>154</v>
      </c>
      <c r="F630" s="1" t="s">
        <v>1279</v>
      </c>
      <c r="O630" s="1" t="s">
        <v>967</v>
      </c>
      <c r="P630" t="s">
        <v>108</v>
      </c>
      <c r="Q630" s="1" t="s">
        <v>244</v>
      </c>
      <c r="R630">
        <v>1</v>
      </c>
      <c r="S630">
        <v>50</v>
      </c>
      <c r="T630">
        <v>51</v>
      </c>
      <c r="U630">
        <v>39</v>
      </c>
      <c r="AA630">
        <v>1269.4607953100001</v>
      </c>
      <c r="AB630">
        <v>2864910.2842299999</v>
      </c>
      <c r="AC630" s="1" t="s">
        <v>245</v>
      </c>
      <c r="AD630" t="s">
        <v>246</v>
      </c>
    </row>
    <row r="631" spans="2:30" x14ac:dyDescent="0.25">
      <c r="B631" s="1" t="s">
        <v>1246</v>
      </c>
      <c r="C631">
        <v>630</v>
      </c>
      <c r="D631" s="1" t="s">
        <v>82</v>
      </c>
      <c r="E631" t="s">
        <v>154</v>
      </c>
      <c r="F631" s="1" t="s">
        <v>1280</v>
      </c>
      <c r="O631" s="1" t="s">
        <v>967</v>
      </c>
      <c r="P631" t="s">
        <v>108</v>
      </c>
      <c r="Q631" s="1" t="s">
        <v>244</v>
      </c>
      <c r="R631">
        <v>1</v>
      </c>
      <c r="S631">
        <v>50</v>
      </c>
      <c r="T631">
        <v>51</v>
      </c>
      <c r="U631">
        <v>39</v>
      </c>
      <c r="AA631">
        <v>1269.4607953100001</v>
      </c>
      <c r="AB631">
        <v>2864910.2858199999</v>
      </c>
      <c r="AC631" s="1" t="s">
        <v>245</v>
      </c>
      <c r="AD631" t="s">
        <v>246</v>
      </c>
    </row>
    <row r="632" spans="2:30" x14ac:dyDescent="0.25">
      <c r="B632" s="1" t="s">
        <v>1242</v>
      </c>
      <c r="C632">
        <v>631</v>
      </c>
      <c r="D632" s="1" t="s">
        <v>82</v>
      </c>
      <c r="E632" t="s">
        <v>154</v>
      </c>
      <c r="F632" s="1" t="s">
        <v>1279</v>
      </c>
      <c r="O632" s="1" t="s">
        <v>1296</v>
      </c>
      <c r="P632" t="s">
        <v>108</v>
      </c>
      <c r="Q632" s="1" t="s">
        <v>244</v>
      </c>
      <c r="R632">
        <v>1</v>
      </c>
      <c r="S632">
        <v>50</v>
      </c>
      <c r="T632">
        <v>51</v>
      </c>
      <c r="U632">
        <v>39</v>
      </c>
      <c r="AA632">
        <v>1270.5898144299999</v>
      </c>
      <c r="AB632">
        <v>2867800.69417</v>
      </c>
      <c r="AC632" s="1" t="s">
        <v>245</v>
      </c>
      <c r="AD632" t="s">
        <v>246</v>
      </c>
    </row>
    <row r="633" spans="2:30" x14ac:dyDescent="0.25">
      <c r="B633" s="1" t="s">
        <v>1243</v>
      </c>
      <c r="C633">
        <v>632</v>
      </c>
      <c r="D633" s="1" t="s">
        <v>82</v>
      </c>
      <c r="E633" t="s">
        <v>154</v>
      </c>
      <c r="F633" s="1" t="s">
        <v>1280</v>
      </c>
      <c r="O633" s="1" t="s">
        <v>1296</v>
      </c>
      <c r="P633" t="s">
        <v>108</v>
      </c>
      <c r="Q633" s="1" t="s">
        <v>244</v>
      </c>
      <c r="R633">
        <v>1</v>
      </c>
      <c r="S633">
        <v>50</v>
      </c>
      <c r="T633">
        <v>51</v>
      </c>
      <c r="U633">
        <v>39</v>
      </c>
      <c r="AA633">
        <v>1270.5898144299999</v>
      </c>
      <c r="AB633">
        <v>2867800.69576</v>
      </c>
      <c r="AC633" s="1" t="s">
        <v>245</v>
      </c>
      <c r="AD633" t="s">
        <v>246</v>
      </c>
    </row>
    <row r="634" spans="2:30" x14ac:dyDescent="0.25">
      <c r="B634" s="1" t="s">
        <v>1248</v>
      </c>
      <c r="C634">
        <v>633</v>
      </c>
      <c r="D634" s="1" t="s">
        <v>82</v>
      </c>
      <c r="E634" t="s">
        <v>154</v>
      </c>
      <c r="F634" s="1" t="s">
        <v>1279</v>
      </c>
      <c r="O634" s="1" t="s">
        <v>1297</v>
      </c>
      <c r="P634" t="s">
        <v>108</v>
      </c>
      <c r="Q634" s="1" t="s">
        <v>244</v>
      </c>
      <c r="R634">
        <v>1</v>
      </c>
      <c r="S634">
        <v>50</v>
      </c>
      <c r="T634">
        <v>51</v>
      </c>
      <c r="U634">
        <v>39</v>
      </c>
      <c r="AA634">
        <v>1292.64179975</v>
      </c>
      <c r="AB634">
        <v>2924378.1697999998</v>
      </c>
      <c r="AC634" s="1" t="s">
        <v>245</v>
      </c>
      <c r="AD634" t="s">
        <v>246</v>
      </c>
    </row>
    <row r="635" spans="2:30" x14ac:dyDescent="0.25">
      <c r="B635" s="1" t="s">
        <v>1249</v>
      </c>
      <c r="C635">
        <v>634</v>
      </c>
      <c r="D635" s="1" t="s">
        <v>82</v>
      </c>
      <c r="E635" t="s">
        <v>154</v>
      </c>
      <c r="F635" s="1" t="s">
        <v>1280</v>
      </c>
      <c r="O635" s="1" t="s">
        <v>1297</v>
      </c>
      <c r="P635" t="s">
        <v>108</v>
      </c>
      <c r="Q635" s="1" t="s">
        <v>244</v>
      </c>
      <c r="R635">
        <v>1</v>
      </c>
      <c r="S635">
        <v>50</v>
      </c>
      <c r="T635">
        <v>51</v>
      </c>
      <c r="U635">
        <v>39</v>
      </c>
      <c r="AA635">
        <v>1292.64179975</v>
      </c>
      <c r="AB635">
        <v>2924378.17142</v>
      </c>
      <c r="AC635" s="1" t="s">
        <v>245</v>
      </c>
      <c r="AD635" t="s">
        <v>246</v>
      </c>
    </row>
    <row r="636" spans="2:30" x14ac:dyDescent="0.25">
      <c r="B636" s="1" t="s">
        <v>1242</v>
      </c>
      <c r="C636">
        <v>635</v>
      </c>
      <c r="D636" s="1" t="s">
        <v>82</v>
      </c>
      <c r="E636" t="s">
        <v>154</v>
      </c>
      <c r="F636" s="1" t="s">
        <v>1279</v>
      </c>
      <c r="O636" s="1" t="s">
        <v>422</v>
      </c>
      <c r="P636" t="s">
        <v>108</v>
      </c>
      <c r="Q636" s="1" t="s">
        <v>244</v>
      </c>
      <c r="R636">
        <v>1</v>
      </c>
      <c r="S636">
        <v>50</v>
      </c>
      <c r="T636">
        <v>52</v>
      </c>
      <c r="U636">
        <v>39</v>
      </c>
      <c r="AA636">
        <v>1315.12733531</v>
      </c>
      <c r="AB636">
        <v>2982307.0449600001</v>
      </c>
      <c r="AC636" s="1" t="s">
        <v>245</v>
      </c>
      <c r="AD636" t="s">
        <v>246</v>
      </c>
    </row>
    <row r="637" spans="2:30" x14ac:dyDescent="0.25">
      <c r="B637" s="1" t="s">
        <v>1243</v>
      </c>
      <c r="C637">
        <v>636</v>
      </c>
      <c r="D637" s="1" t="s">
        <v>82</v>
      </c>
      <c r="E637" t="s">
        <v>154</v>
      </c>
      <c r="F637" s="1" t="s">
        <v>1280</v>
      </c>
      <c r="O637" s="1" t="s">
        <v>422</v>
      </c>
      <c r="P637" t="s">
        <v>108</v>
      </c>
      <c r="Q637" s="1" t="s">
        <v>244</v>
      </c>
      <c r="R637">
        <v>1</v>
      </c>
      <c r="S637">
        <v>50</v>
      </c>
      <c r="T637">
        <v>52</v>
      </c>
      <c r="U637">
        <v>39</v>
      </c>
      <c r="AA637">
        <v>1315.12733531</v>
      </c>
      <c r="AB637">
        <v>2982307.0466200002</v>
      </c>
      <c r="AC637" s="1" t="s">
        <v>245</v>
      </c>
      <c r="AD637" t="s">
        <v>246</v>
      </c>
    </row>
    <row r="638" spans="2:30" x14ac:dyDescent="0.25">
      <c r="B638" s="1" t="s">
        <v>1245</v>
      </c>
      <c r="C638">
        <v>637</v>
      </c>
      <c r="D638" s="1" t="s">
        <v>82</v>
      </c>
      <c r="E638" t="s">
        <v>154</v>
      </c>
      <c r="F638" s="1" t="s">
        <v>1279</v>
      </c>
      <c r="O638" s="1" t="s">
        <v>1298</v>
      </c>
      <c r="P638" t="s">
        <v>108</v>
      </c>
      <c r="Q638" s="1" t="s">
        <v>244</v>
      </c>
      <c r="R638">
        <v>1</v>
      </c>
      <c r="S638">
        <v>50</v>
      </c>
      <c r="T638">
        <v>52</v>
      </c>
      <c r="U638">
        <v>39</v>
      </c>
      <c r="AA638">
        <v>1316.27463622</v>
      </c>
      <c r="AB638">
        <v>2985275.23325</v>
      </c>
      <c r="AC638" s="1" t="s">
        <v>245</v>
      </c>
      <c r="AD638" t="s">
        <v>246</v>
      </c>
    </row>
    <row r="639" spans="2:30" x14ac:dyDescent="0.25">
      <c r="B639" s="1" t="s">
        <v>1246</v>
      </c>
      <c r="C639">
        <v>638</v>
      </c>
      <c r="D639" s="1" t="s">
        <v>82</v>
      </c>
      <c r="E639" t="s">
        <v>154</v>
      </c>
      <c r="F639" s="1" t="s">
        <v>1280</v>
      </c>
      <c r="O639" s="1" t="s">
        <v>1298</v>
      </c>
      <c r="P639" t="s">
        <v>108</v>
      </c>
      <c r="Q639" s="1" t="s">
        <v>244</v>
      </c>
      <c r="R639">
        <v>1</v>
      </c>
      <c r="S639">
        <v>50</v>
      </c>
      <c r="T639">
        <v>52</v>
      </c>
      <c r="U639">
        <v>39</v>
      </c>
      <c r="AA639">
        <v>1316.27463622</v>
      </c>
      <c r="AB639">
        <v>2985275.2349100001</v>
      </c>
      <c r="AC639" s="1" t="s">
        <v>245</v>
      </c>
      <c r="AD639" t="s">
        <v>246</v>
      </c>
    </row>
    <row r="640" spans="2:30" x14ac:dyDescent="0.25">
      <c r="B640" s="1" t="s">
        <v>1241</v>
      </c>
      <c r="C640">
        <v>639</v>
      </c>
      <c r="D640" s="1" t="s">
        <v>82</v>
      </c>
      <c r="E640" t="s">
        <v>154</v>
      </c>
      <c r="F640" s="1" t="s">
        <v>1278</v>
      </c>
      <c r="O640" s="1" t="s">
        <v>952</v>
      </c>
      <c r="P640" t="s">
        <v>108</v>
      </c>
      <c r="Q640" s="1" t="s">
        <v>244</v>
      </c>
      <c r="R640">
        <v>1</v>
      </c>
      <c r="S640">
        <v>50</v>
      </c>
      <c r="T640">
        <v>52</v>
      </c>
      <c r="U640">
        <v>39</v>
      </c>
      <c r="AA640">
        <v>1317.2457664900001</v>
      </c>
      <c r="AB640">
        <v>2987777.1430299999</v>
      </c>
      <c r="AC640" s="1" t="s">
        <v>245</v>
      </c>
      <c r="AD640" t="s">
        <v>246</v>
      </c>
    </row>
    <row r="641" spans="2:30" x14ac:dyDescent="0.25">
      <c r="B641" s="1" t="s">
        <v>1244</v>
      </c>
      <c r="C641">
        <v>640</v>
      </c>
      <c r="D641" s="1" t="s">
        <v>82</v>
      </c>
      <c r="E641" t="s">
        <v>154</v>
      </c>
      <c r="F641" s="1" t="s">
        <v>1278</v>
      </c>
      <c r="O641" s="1" t="s">
        <v>461</v>
      </c>
      <c r="P641" t="s">
        <v>108</v>
      </c>
      <c r="Q641" s="1" t="s">
        <v>244</v>
      </c>
      <c r="R641">
        <v>1</v>
      </c>
      <c r="S641">
        <v>50</v>
      </c>
      <c r="T641">
        <v>52</v>
      </c>
      <c r="U641">
        <v>39</v>
      </c>
      <c r="AA641">
        <v>1318.3930674000001</v>
      </c>
      <c r="AB641">
        <v>2990746.5013100002</v>
      </c>
      <c r="AC641" s="1" t="s">
        <v>245</v>
      </c>
      <c r="AD641" t="s">
        <v>246</v>
      </c>
    </row>
    <row r="642" spans="2:30" x14ac:dyDescent="0.25">
      <c r="B642" s="1" t="s">
        <v>1247</v>
      </c>
      <c r="C642">
        <v>641</v>
      </c>
      <c r="D642" s="1" t="s">
        <v>82</v>
      </c>
      <c r="E642" t="s">
        <v>154</v>
      </c>
      <c r="F642" s="1" t="s">
        <v>1278</v>
      </c>
      <c r="O642" s="1" t="s">
        <v>359</v>
      </c>
      <c r="P642" t="s">
        <v>108</v>
      </c>
      <c r="Q642" s="1" t="s">
        <v>244</v>
      </c>
      <c r="R642">
        <v>1</v>
      </c>
      <c r="S642">
        <v>50</v>
      </c>
      <c r="T642">
        <v>52</v>
      </c>
      <c r="U642">
        <v>39</v>
      </c>
      <c r="AA642">
        <v>1361.9240616300001</v>
      </c>
      <c r="AB642">
        <v>3103642.1512000002</v>
      </c>
      <c r="AC642" s="1" t="s">
        <v>245</v>
      </c>
      <c r="AD642" t="s">
        <v>246</v>
      </c>
    </row>
    <row r="643" spans="2:30" x14ac:dyDescent="0.25">
      <c r="B643" s="1" t="s">
        <v>1248</v>
      </c>
      <c r="C643">
        <v>642</v>
      </c>
      <c r="D643" s="1" t="s">
        <v>82</v>
      </c>
      <c r="E643" t="s">
        <v>154</v>
      </c>
      <c r="F643" s="1" t="s">
        <v>1279</v>
      </c>
      <c r="O643" s="1" t="s">
        <v>359</v>
      </c>
      <c r="P643" t="s">
        <v>108</v>
      </c>
      <c r="Q643" s="1" t="s">
        <v>244</v>
      </c>
      <c r="R643">
        <v>1</v>
      </c>
      <c r="S643">
        <v>50</v>
      </c>
      <c r="T643">
        <v>52</v>
      </c>
      <c r="U643">
        <v>39</v>
      </c>
      <c r="AA643">
        <v>1361.9240616300001</v>
      </c>
      <c r="AB643">
        <v>3103642.1524200002</v>
      </c>
      <c r="AC643" s="1" t="s">
        <v>245</v>
      </c>
      <c r="AD643" t="s">
        <v>246</v>
      </c>
    </row>
    <row r="644" spans="2:30" x14ac:dyDescent="0.25">
      <c r="B644" s="1" t="s">
        <v>1249</v>
      </c>
      <c r="C644">
        <v>643</v>
      </c>
      <c r="D644" s="1" t="s">
        <v>82</v>
      </c>
      <c r="E644" t="s">
        <v>154</v>
      </c>
      <c r="F644" s="1" t="s">
        <v>1280</v>
      </c>
      <c r="O644" s="1" t="s">
        <v>359</v>
      </c>
      <c r="P644" t="s">
        <v>108</v>
      </c>
      <c r="Q644" s="1" t="s">
        <v>244</v>
      </c>
      <c r="R644">
        <v>1</v>
      </c>
      <c r="S644">
        <v>50</v>
      </c>
      <c r="T644">
        <v>52</v>
      </c>
      <c r="U644">
        <v>39</v>
      </c>
      <c r="AA644">
        <v>1361.9240616300001</v>
      </c>
      <c r="AB644">
        <v>3103642.1541499998</v>
      </c>
      <c r="AC644" s="1" t="s">
        <v>245</v>
      </c>
      <c r="AD644" t="s">
        <v>246</v>
      </c>
    </row>
    <row r="645" spans="2:30" x14ac:dyDescent="0.25">
      <c r="B645" s="1" t="s">
        <v>1241</v>
      </c>
      <c r="C645">
        <v>644</v>
      </c>
      <c r="D645" s="1" t="s">
        <v>82</v>
      </c>
      <c r="E645" t="s">
        <v>154</v>
      </c>
      <c r="F645" s="1" t="s">
        <v>1278</v>
      </c>
      <c r="O645" s="1" t="s">
        <v>931</v>
      </c>
      <c r="P645" t="s">
        <v>108</v>
      </c>
      <c r="Q645" s="1" t="s">
        <v>244</v>
      </c>
      <c r="R645">
        <v>1</v>
      </c>
      <c r="S645">
        <v>50</v>
      </c>
      <c r="T645">
        <v>52</v>
      </c>
      <c r="U645">
        <v>39</v>
      </c>
      <c r="AA645">
        <v>1374.3952934900001</v>
      </c>
      <c r="AB645">
        <v>3136154.1571</v>
      </c>
      <c r="AC645" s="1" t="s">
        <v>245</v>
      </c>
      <c r="AD645" t="s">
        <v>246</v>
      </c>
    </row>
    <row r="646" spans="2:30" x14ac:dyDescent="0.25">
      <c r="B646" s="1" t="s">
        <v>1244</v>
      </c>
      <c r="C646">
        <v>645</v>
      </c>
      <c r="D646" s="1" t="s">
        <v>82</v>
      </c>
      <c r="E646" t="s">
        <v>154</v>
      </c>
      <c r="F646" s="1" t="s">
        <v>1278</v>
      </c>
      <c r="O646" s="1" t="s">
        <v>419</v>
      </c>
      <c r="P646" t="s">
        <v>108</v>
      </c>
      <c r="Q646" s="1" t="s">
        <v>244</v>
      </c>
      <c r="R646">
        <v>1</v>
      </c>
      <c r="S646">
        <v>50</v>
      </c>
      <c r="T646">
        <v>52</v>
      </c>
      <c r="U646">
        <v>39</v>
      </c>
      <c r="AA646">
        <v>1375.5143973300001</v>
      </c>
      <c r="AB646">
        <v>3139075.2470399998</v>
      </c>
      <c r="AC646" s="1" t="s">
        <v>245</v>
      </c>
      <c r="AD646" t="s">
        <v>246</v>
      </c>
    </row>
    <row r="647" spans="2:30" x14ac:dyDescent="0.25">
      <c r="B647" s="1" t="s">
        <v>1245</v>
      </c>
      <c r="C647">
        <v>646</v>
      </c>
      <c r="D647" s="1" t="s">
        <v>82</v>
      </c>
      <c r="E647" t="s">
        <v>154</v>
      </c>
      <c r="F647" s="1" t="s">
        <v>1279</v>
      </c>
      <c r="O647" s="1" t="s">
        <v>419</v>
      </c>
      <c r="P647" t="s">
        <v>108</v>
      </c>
      <c r="Q647" s="1" t="s">
        <v>244</v>
      </c>
      <c r="R647">
        <v>1</v>
      </c>
      <c r="S647">
        <v>50</v>
      </c>
      <c r="T647">
        <v>52</v>
      </c>
      <c r="U647">
        <v>39</v>
      </c>
      <c r="AA647">
        <v>1375.5143973300001</v>
      </c>
      <c r="AB647">
        <v>3139075.2482599998</v>
      </c>
      <c r="AC647" s="1" t="s">
        <v>245</v>
      </c>
      <c r="AD647" t="s">
        <v>246</v>
      </c>
    </row>
    <row r="648" spans="2:30" x14ac:dyDescent="0.25">
      <c r="B648" s="1" t="s">
        <v>1246</v>
      </c>
      <c r="C648">
        <v>647</v>
      </c>
      <c r="D648" s="1" t="s">
        <v>82</v>
      </c>
      <c r="E648" t="s">
        <v>154</v>
      </c>
      <c r="F648" s="1" t="s">
        <v>1280</v>
      </c>
      <c r="O648" s="1" t="s">
        <v>419</v>
      </c>
      <c r="P648" t="s">
        <v>108</v>
      </c>
      <c r="Q648" s="1" t="s">
        <v>244</v>
      </c>
      <c r="R648">
        <v>1</v>
      </c>
      <c r="S648">
        <v>50</v>
      </c>
      <c r="T648">
        <v>52</v>
      </c>
      <c r="U648">
        <v>39</v>
      </c>
      <c r="AA648">
        <v>1375.5143973300001</v>
      </c>
      <c r="AB648">
        <v>3139075.2500100001</v>
      </c>
      <c r="AC648" s="1" t="s">
        <v>245</v>
      </c>
      <c r="AD648" t="s">
        <v>246</v>
      </c>
    </row>
    <row r="649" spans="2:30" x14ac:dyDescent="0.25">
      <c r="B649" s="1" t="s">
        <v>1242</v>
      </c>
      <c r="C649">
        <v>648</v>
      </c>
      <c r="D649" s="1" t="s">
        <v>82</v>
      </c>
      <c r="E649" t="s">
        <v>154</v>
      </c>
      <c r="F649" s="1" t="s">
        <v>1279</v>
      </c>
      <c r="O649" s="1" t="s">
        <v>451</v>
      </c>
      <c r="P649" t="s">
        <v>108</v>
      </c>
      <c r="Q649" s="1" t="s">
        <v>244</v>
      </c>
      <c r="R649">
        <v>1</v>
      </c>
      <c r="S649">
        <v>50</v>
      </c>
      <c r="T649">
        <v>52</v>
      </c>
      <c r="U649">
        <v>39</v>
      </c>
      <c r="AA649">
        <v>1376.51377265</v>
      </c>
      <c r="AB649">
        <v>3141684.3276800001</v>
      </c>
      <c r="AC649" s="1" t="s">
        <v>245</v>
      </c>
      <c r="AD649" t="s">
        <v>246</v>
      </c>
    </row>
    <row r="650" spans="2:30" x14ac:dyDescent="0.25">
      <c r="B650" s="1" t="s">
        <v>1243</v>
      </c>
      <c r="C650">
        <v>649</v>
      </c>
      <c r="D650" s="1" t="s">
        <v>82</v>
      </c>
      <c r="E650" t="s">
        <v>154</v>
      </c>
      <c r="F650" s="1" t="s">
        <v>1280</v>
      </c>
      <c r="O650" s="1" t="s">
        <v>451</v>
      </c>
      <c r="P650" t="s">
        <v>108</v>
      </c>
      <c r="Q650" s="1" t="s">
        <v>244</v>
      </c>
      <c r="R650">
        <v>1</v>
      </c>
      <c r="S650">
        <v>50</v>
      </c>
      <c r="T650">
        <v>52</v>
      </c>
      <c r="U650">
        <v>39</v>
      </c>
      <c r="AA650">
        <v>1376.51377265</v>
      </c>
      <c r="AB650">
        <v>3141684.32944</v>
      </c>
      <c r="AC650" s="1" t="s">
        <v>245</v>
      </c>
      <c r="AD650" t="s">
        <v>246</v>
      </c>
    </row>
    <row r="651" spans="2:30" x14ac:dyDescent="0.25">
      <c r="B651" s="1" t="s">
        <v>1242</v>
      </c>
      <c r="C651">
        <v>650</v>
      </c>
      <c r="D651" s="1" t="s">
        <v>82</v>
      </c>
      <c r="E651" t="s">
        <v>154</v>
      </c>
      <c r="F651" s="1" t="s">
        <v>1279</v>
      </c>
      <c r="O651" s="1" t="s">
        <v>1299</v>
      </c>
      <c r="P651" t="s">
        <v>108</v>
      </c>
      <c r="Q651" s="1" t="s">
        <v>244</v>
      </c>
      <c r="R651">
        <v>1</v>
      </c>
      <c r="S651">
        <v>50</v>
      </c>
      <c r="T651">
        <v>53</v>
      </c>
      <c r="U651">
        <v>49</v>
      </c>
      <c r="AA651">
        <v>2019.5552758399999</v>
      </c>
      <c r="AB651">
        <v>5114085.3399099996</v>
      </c>
      <c r="AC651" s="1" t="s">
        <v>245</v>
      </c>
      <c r="AD651" t="s">
        <v>246</v>
      </c>
    </row>
    <row r="652" spans="2:30" x14ac:dyDescent="0.25">
      <c r="B652" s="1" t="s">
        <v>1243</v>
      </c>
      <c r="C652">
        <v>651</v>
      </c>
      <c r="D652" s="1" t="s">
        <v>82</v>
      </c>
      <c r="E652" t="s">
        <v>154</v>
      </c>
      <c r="F652" s="1" t="s">
        <v>1280</v>
      </c>
      <c r="O652" s="1" t="s">
        <v>1299</v>
      </c>
      <c r="P652" t="s">
        <v>108</v>
      </c>
      <c r="Q652" s="1" t="s">
        <v>244</v>
      </c>
      <c r="R652">
        <v>1</v>
      </c>
      <c r="S652">
        <v>50</v>
      </c>
      <c r="T652">
        <v>53</v>
      </c>
      <c r="U652">
        <v>49</v>
      </c>
      <c r="AA652">
        <v>2019.5552758399999</v>
      </c>
      <c r="AB652">
        <v>5114085.3428800004</v>
      </c>
      <c r="AC652" s="1" t="s">
        <v>245</v>
      </c>
      <c r="AD652" t="s">
        <v>246</v>
      </c>
    </row>
    <row r="653" spans="2:30" x14ac:dyDescent="0.25">
      <c r="B653" s="1" t="s">
        <v>1242</v>
      </c>
      <c r="C653">
        <v>652</v>
      </c>
      <c r="D653" s="1" t="s">
        <v>82</v>
      </c>
      <c r="E653" t="s">
        <v>154</v>
      </c>
      <c r="F653" s="1" t="s">
        <v>1279</v>
      </c>
      <c r="O653" s="1" t="s">
        <v>1300</v>
      </c>
      <c r="P653" t="s">
        <v>108</v>
      </c>
      <c r="Q653" s="1" t="s">
        <v>244</v>
      </c>
      <c r="R653">
        <v>1</v>
      </c>
      <c r="S653">
        <v>50</v>
      </c>
      <c r="T653">
        <v>53</v>
      </c>
      <c r="U653">
        <v>49</v>
      </c>
      <c r="AA653">
        <v>1676.2410049499999</v>
      </c>
      <c r="AB653">
        <v>4273200.1985900002</v>
      </c>
      <c r="AC653" s="1" t="s">
        <v>245</v>
      </c>
      <c r="AD653" t="s">
        <v>246</v>
      </c>
    </row>
    <row r="654" spans="2:30" x14ac:dyDescent="0.25">
      <c r="B654" s="1" t="s">
        <v>1243</v>
      </c>
      <c r="C654">
        <v>653</v>
      </c>
      <c r="D654" s="1" t="s">
        <v>82</v>
      </c>
      <c r="E654" t="s">
        <v>154</v>
      </c>
      <c r="F654" s="1" t="s">
        <v>1280</v>
      </c>
      <c r="O654" s="1" t="s">
        <v>1300</v>
      </c>
      <c r="P654" t="s">
        <v>108</v>
      </c>
      <c r="Q654" s="1" t="s">
        <v>244</v>
      </c>
      <c r="R654">
        <v>1</v>
      </c>
      <c r="S654">
        <v>50</v>
      </c>
      <c r="T654">
        <v>53</v>
      </c>
      <c r="U654">
        <v>49</v>
      </c>
      <c r="AA654">
        <v>1676.2410049499999</v>
      </c>
      <c r="AB654">
        <v>4273212.33036</v>
      </c>
      <c r="AC654" s="1" t="s">
        <v>245</v>
      </c>
      <c r="AD654" t="s">
        <v>246</v>
      </c>
    </row>
    <row r="655" spans="2:30" x14ac:dyDescent="0.25">
      <c r="B655" s="1" t="s">
        <v>1245</v>
      </c>
      <c r="C655">
        <v>654</v>
      </c>
      <c r="D655" s="1" t="s">
        <v>82</v>
      </c>
      <c r="E655" t="s">
        <v>154</v>
      </c>
      <c r="F655" s="1" t="s">
        <v>1279</v>
      </c>
      <c r="O655" s="1" t="s">
        <v>1301</v>
      </c>
      <c r="P655" t="s">
        <v>108</v>
      </c>
      <c r="Q655" s="1" t="s">
        <v>244</v>
      </c>
      <c r="R655">
        <v>1</v>
      </c>
      <c r="S655">
        <v>50</v>
      </c>
      <c r="T655">
        <v>53</v>
      </c>
      <c r="U655">
        <v>49</v>
      </c>
      <c r="AA655">
        <v>2019.6612255299999</v>
      </c>
      <c r="AB655">
        <v>5115209.9446200002</v>
      </c>
      <c r="AC655" s="1" t="s">
        <v>245</v>
      </c>
      <c r="AD655" t="s">
        <v>246</v>
      </c>
    </row>
    <row r="656" spans="2:30" x14ac:dyDescent="0.25">
      <c r="B656" s="1" t="s">
        <v>1246</v>
      </c>
      <c r="C656">
        <v>655</v>
      </c>
      <c r="D656" s="1" t="s">
        <v>82</v>
      </c>
      <c r="E656" t="s">
        <v>154</v>
      </c>
      <c r="F656" s="1" t="s">
        <v>1280</v>
      </c>
      <c r="O656" s="1" t="s">
        <v>1301</v>
      </c>
      <c r="P656" t="s">
        <v>108</v>
      </c>
      <c r="Q656" s="1" t="s">
        <v>244</v>
      </c>
      <c r="R656">
        <v>1</v>
      </c>
      <c r="S656">
        <v>50</v>
      </c>
      <c r="T656">
        <v>53</v>
      </c>
      <c r="U656">
        <v>49</v>
      </c>
      <c r="AA656">
        <v>2019.6612255299999</v>
      </c>
      <c r="AB656">
        <v>5115209.9475999996</v>
      </c>
      <c r="AC656" s="1" t="s">
        <v>245</v>
      </c>
      <c r="AD656" t="s">
        <v>246</v>
      </c>
    </row>
    <row r="657" spans="2:30" x14ac:dyDescent="0.25">
      <c r="B657" s="1" t="s">
        <v>1245</v>
      </c>
      <c r="C657">
        <v>656</v>
      </c>
      <c r="D657" s="1" t="s">
        <v>82</v>
      </c>
      <c r="E657" t="s">
        <v>154</v>
      </c>
      <c r="F657" s="1" t="s">
        <v>1279</v>
      </c>
      <c r="O657" s="1" t="s">
        <v>1302</v>
      </c>
      <c r="P657" t="s">
        <v>108</v>
      </c>
      <c r="Q657" s="1" t="s">
        <v>244</v>
      </c>
      <c r="R657">
        <v>1</v>
      </c>
      <c r="S657">
        <v>50</v>
      </c>
      <c r="T657">
        <v>53</v>
      </c>
      <c r="U657">
        <v>49</v>
      </c>
      <c r="AA657">
        <v>1673.9810836900001</v>
      </c>
      <c r="AB657">
        <v>4268550.7100900002</v>
      </c>
      <c r="AC657" s="1" t="s">
        <v>245</v>
      </c>
      <c r="AD657" t="s">
        <v>246</v>
      </c>
    </row>
    <row r="658" spans="2:30" x14ac:dyDescent="0.25">
      <c r="B658" s="1" t="s">
        <v>1246</v>
      </c>
      <c r="C658">
        <v>657</v>
      </c>
      <c r="D658" s="1" t="s">
        <v>82</v>
      </c>
      <c r="E658" t="s">
        <v>154</v>
      </c>
      <c r="F658" s="1" t="s">
        <v>1280</v>
      </c>
      <c r="O658" s="1" t="s">
        <v>1302</v>
      </c>
      <c r="P658" t="s">
        <v>108</v>
      </c>
      <c r="Q658" s="1" t="s">
        <v>244</v>
      </c>
      <c r="R658">
        <v>1</v>
      </c>
      <c r="S658">
        <v>50</v>
      </c>
      <c r="T658">
        <v>53</v>
      </c>
      <c r="U658">
        <v>49</v>
      </c>
      <c r="AA658">
        <v>1673.9810836900001</v>
      </c>
      <c r="AB658">
        <v>4268574.9057600005</v>
      </c>
      <c r="AC658" s="1" t="s">
        <v>245</v>
      </c>
      <c r="AD658" t="s">
        <v>246</v>
      </c>
    </row>
    <row r="659" spans="2:30" x14ac:dyDescent="0.25">
      <c r="B659" s="1" t="s">
        <v>1241</v>
      </c>
      <c r="C659">
        <v>658</v>
      </c>
      <c r="D659" s="1" t="s">
        <v>82</v>
      </c>
      <c r="E659" t="s">
        <v>154</v>
      </c>
      <c r="F659" s="1" t="s">
        <v>1278</v>
      </c>
      <c r="O659" s="1" t="s">
        <v>927</v>
      </c>
      <c r="P659" t="s">
        <v>108</v>
      </c>
      <c r="Q659" s="1" t="s">
        <v>244</v>
      </c>
      <c r="R659">
        <v>1</v>
      </c>
      <c r="S659">
        <v>50</v>
      </c>
      <c r="T659">
        <v>53</v>
      </c>
      <c r="U659">
        <v>39</v>
      </c>
      <c r="AA659">
        <v>1423.1673253599999</v>
      </c>
      <c r="AB659">
        <v>3264013.9504</v>
      </c>
      <c r="AC659" s="1" t="s">
        <v>245</v>
      </c>
      <c r="AD659" t="s">
        <v>246</v>
      </c>
    </row>
    <row r="660" spans="2:30" x14ac:dyDescent="0.25">
      <c r="B660" s="1" t="s">
        <v>1244</v>
      </c>
      <c r="C660">
        <v>659</v>
      </c>
      <c r="D660" s="1" t="s">
        <v>82</v>
      </c>
      <c r="E660" t="s">
        <v>154</v>
      </c>
      <c r="F660" s="1" t="s">
        <v>1278</v>
      </c>
      <c r="O660" s="1" t="s">
        <v>447</v>
      </c>
      <c r="P660" t="s">
        <v>108</v>
      </c>
      <c r="Q660" s="1" t="s">
        <v>244</v>
      </c>
      <c r="R660">
        <v>1</v>
      </c>
      <c r="S660">
        <v>50</v>
      </c>
      <c r="T660">
        <v>53</v>
      </c>
      <c r="U660">
        <v>39</v>
      </c>
      <c r="AA660">
        <v>1424.3240708999999</v>
      </c>
      <c r="AB660">
        <v>3267060.2387999999</v>
      </c>
      <c r="AC660" s="1" t="s">
        <v>245</v>
      </c>
      <c r="AD660" t="s">
        <v>246</v>
      </c>
    </row>
    <row r="661" spans="2:30" x14ac:dyDescent="0.25">
      <c r="B661" s="1" t="s">
        <v>1241</v>
      </c>
      <c r="C661">
        <v>660</v>
      </c>
      <c r="D661" s="1" t="s">
        <v>82</v>
      </c>
      <c r="E661" t="s">
        <v>154</v>
      </c>
      <c r="F661" s="1" t="s">
        <v>1278</v>
      </c>
      <c r="O661" s="1" t="s">
        <v>964</v>
      </c>
      <c r="P661" t="s">
        <v>108</v>
      </c>
      <c r="Q661" s="1" t="s">
        <v>244</v>
      </c>
      <c r="R661">
        <v>1</v>
      </c>
      <c r="S661">
        <v>50</v>
      </c>
      <c r="T661">
        <v>53</v>
      </c>
      <c r="U661">
        <v>49</v>
      </c>
      <c r="AA661">
        <v>2183.7573567999998</v>
      </c>
      <c r="AB661">
        <v>5547633.3283000002</v>
      </c>
      <c r="AC661" s="1" t="s">
        <v>245</v>
      </c>
      <c r="AD661" t="s">
        <v>246</v>
      </c>
    </row>
    <row r="662" spans="2:30" x14ac:dyDescent="0.25">
      <c r="B662" s="1" t="s">
        <v>1244</v>
      </c>
      <c r="C662">
        <v>661</v>
      </c>
      <c r="D662" s="1" t="s">
        <v>82</v>
      </c>
      <c r="E662" t="s">
        <v>154</v>
      </c>
      <c r="F662" s="1" t="s">
        <v>1278</v>
      </c>
      <c r="O662" s="1" t="s">
        <v>949</v>
      </c>
      <c r="P662" t="s">
        <v>108</v>
      </c>
      <c r="Q662" s="1" t="s">
        <v>244</v>
      </c>
      <c r="R662">
        <v>1</v>
      </c>
      <c r="S662">
        <v>50</v>
      </c>
      <c r="T662">
        <v>53</v>
      </c>
      <c r="U662">
        <v>49</v>
      </c>
      <c r="AA662">
        <v>2183.7718137299998</v>
      </c>
      <c r="AB662">
        <v>5548605.2801799998</v>
      </c>
      <c r="AC662" s="1" t="s">
        <v>245</v>
      </c>
      <c r="AD662" t="s">
        <v>246</v>
      </c>
    </row>
    <row r="663" spans="2:30" x14ac:dyDescent="0.25">
      <c r="B663" s="1" t="s">
        <v>1241</v>
      </c>
      <c r="C663">
        <v>662</v>
      </c>
      <c r="D663" s="1" t="s">
        <v>82</v>
      </c>
      <c r="E663" t="s">
        <v>154</v>
      </c>
      <c r="F663" s="1" t="s">
        <v>1278</v>
      </c>
      <c r="O663" s="1" t="s">
        <v>965</v>
      </c>
      <c r="P663" t="s">
        <v>108</v>
      </c>
      <c r="Q663" s="1" t="s">
        <v>244</v>
      </c>
      <c r="R663">
        <v>1</v>
      </c>
      <c r="S663">
        <v>50</v>
      </c>
      <c r="T663">
        <v>53</v>
      </c>
      <c r="U663">
        <v>49</v>
      </c>
      <c r="AA663">
        <v>1860.4944396599999</v>
      </c>
      <c r="AB663">
        <v>4759885.9281500001</v>
      </c>
      <c r="AC663" s="1" t="s">
        <v>245</v>
      </c>
      <c r="AD663" t="s">
        <v>246</v>
      </c>
    </row>
    <row r="664" spans="2:30" x14ac:dyDescent="0.25">
      <c r="B664" s="1" t="s">
        <v>1244</v>
      </c>
      <c r="C664">
        <v>663</v>
      </c>
      <c r="D664" s="1" t="s">
        <v>82</v>
      </c>
      <c r="E664" t="s">
        <v>154</v>
      </c>
      <c r="F664" s="1" t="s">
        <v>1278</v>
      </c>
      <c r="O664" s="1" t="s">
        <v>483</v>
      </c>
      <c r="P664" t="s">
        <v>108</v>
      </c>
      <c r="Q664" s="1" t="s">
        <v>244</v>
      </c>
      <c r="R664">
        <v>1</v>
      </c>
      <c r="S664">
        <v>50</v>
      </c>
      <c r="T664">
        <v>53</v>
      </c>
      <c r="U664">
        <v>49</v>
      </c>
      <c r="AA664">
        <v>1858.3941273099999</v>
      </c>
      <c r="AB664">
        <v>4755761.28914</v>
      </c>
      <c r="AC664" s="1" t="s">
        <v>245</v>
      </c>
      <c r="AD664" t="s">
        <v>246</v>
      </c>
    </row>
    <row r="665" spans="2:30" x14ac:dyDescent="0.25">
      <c r="B665" s="1" t="s">
        <v>1247</v>
      </c>
      <c r="C665">
        <v>664</v>
      </c>
      <c r="D665" s="1" t="s">
        <v>82</v>
      </c>
      <c r="E665" t="s">
        <v>154</v>
      </c>
      <c r="F665" s="1" t="s">
        <v>1278</v>
      </c>
      <c r="O665" s="1" t="s">
        <v>360</v>
      </c>
      <c r="P665" t="s">
        <v>108</v>
      </c>
      <c r="Q665" s="1" t="s">
        <v>244</v>
      </c>
      <c r="R665">
        <v>1</v>
      </c>
      <c r="S665">
        <v>50</v>
      </c>
      <c r="T665">
        <v>53</v>
      </c>
      <c r="U665">
        <v>39</v>
      </c>
      <c r="AA665">
        <v>1467.8456205099999</v>
      </c>
      <c r="AB665">
        <v>3382138.38503</v>
      </c>
      <c r="AC665" s="1" t="s">
        <v>245</v>
      </c>
      <c r="AD665" t="s">
        <v>246</v>
      </c>
    </row>
    <row r="666" spans="2:30" x14ac:dyDescent="0.25">
      <c r="B666" s="1" t="s">
        <v>1248</v>
      </c>
      <c r="C666">
        <v>665</v>
      </c>
      <c r="D666" s="1" t="s">
        <v>82</v>
      </c>
      <c r="E666" t="s">
        <v>154</v>
      </c>
      <c r="F666" s="1" t="s">
        <v>1279</v>
      </c>
      <c r="O666" s="1" t="s">
        <v>360</v>
      </c>
      <c r="P666" t="s">
        <v>108</v>
      </c>
      <c r="Q666" s="1" t="s">
        <v>244</v>
      </c>
      <c r="R666">
        <v>1</v>
      </c>
      <c r="S666">
        <v>50</v>
      </c>
      <c r="T666">
        <v>53</v>
      </c>
      <c r="U666">
        <v>39</v>
      </c>
      <c r="AA666">
        <v>1467.8456205099999</v>
      </c>
      <c r="AB666">
        <v>3382138.38637</v>
      </c>
      <c r="AC666" s="1" t="s">
        <v>245</v>
      </c>
      <c r="AD666" t="s">
        <v>246</v>
      </c>
    </row>
    <row r="667" spans="2:30" x14ac:dyDescent="0.25">
      <c r="B667" s="1" t="s">
        <v>1249</v>
      </c>
      <c r="C667">
        <v>666</v>
      </c>
      <c r="D667" s="1" t="s">
        <v>82</v>
      </c>
      <c r="E667" t="s">
        <v>154</v>
      </c>
      <c r="F667" s="1" t="s">
        <v>1280</v>
      </c>
      <c r="O667" s="1" t="s">
        <v>360</v>
      </c>
      <c r="P667" t="s">
        <v>108</v>
      </c>
      <c r="Q667" s="1" t="s">
        <v>244</v>
      </c>
      <c r="R667">
        <v>1</v>
      </c>
      <c r="S667">
        <v>50</v>
      </c>
      <c r="T667">
        <v>53</v>
      </c>
      <c r="U667">
        <v>39</v>
      </c>
      <c r="AA667">
        <v>1467.8456205099999</v>
      </c>
      <c r="AB667">
        <v>3382138.38827</v>
      </c>
      <c r="AC667" s="1" t="s">
        <v>245</v>
      </c>
      <c r="AD667" t="s">
        <v>246</v>
      </c>
    </row>
    <row r="668" spans="2:30" x14ac:dyDescent="0.25">
      <c r="B668" s="1" t="s">
        <v>1242</v>
      </c>
      <c r="C668">
        <v>667</v>
      </c>
      <c r="D668" s="1" t="s">
        <v>82</v>
      </c>
      <c r="E668" t="s">
        <v>154</v>
      </c>
      <c r="F668" s="1" t="s">
        <v>1279</v>
      </c>
      <c r="O668" s="1" t="s">
        <v>439</v>
      </c>
      <c r="P668" t="s">
        <v>108</v>
      </c>
      <c r="Q668" s="1" t="s">
        <v>244</v>
      </c>
      <c r="R668">
        <v>1</v>
      </c>
      <c r="S668">
        <v>50</v>
      </c>
      <c r="T668">
        <v>53</v>
      </c>
      <c r="U668">
        <v>50</v>
      </c>
      <c r="AA668">
        <v>360.23033712300003</v>
      </c>
      <c r="AB668">
        <v>926371.36638999998</v>
      </c>
      <c r="AC668" s="1" t="s">
        <v>245</v>
      </c>
      <c r="AD668" t="s">
        <v>246</v>
      </c>
    </row>
    <row r="669" spans="2:30" x14ac:dyDescent="0.25">
      <c r="B669" s="1" t="s">
        <v>1243</v>
      </c>
      <c r="C669">
        <v>668</v>
      </c>
      <c r="D669" s="1" t="s">
        <v>82</v>
      </c>
      <c r="E669" t="s">
        <v>154</v>
      </c>
      <c r="F669" s="1" t="s">
        <v>1280</v>
      </c>
      <c r="O669" s="1" t="s">
        <v>439</v>
      </c>
      <c r="P669" t="s">
        <v>108</v>
      </c>
      <c r="Q669" s="1" t="s">
        <v>244</v>
      </c>
      <c r="R669">
        <v>1</v>
      </c>
      <c r="S669">
        <v>50</v>
      </c>
      <c r="T669">
        <v>53</v>
      </c>
      <c r="U669">
        <v>50</v>
      </c>
      <c r="AA669">
        <v>360.23033712300003</v>
      </c>
      <c r="AB669">
        <v>926371.36693500006</v>
      </c>
      <c r="AC669" s="1" t="s">
        <v>245</v>
      </c>
      <c r="AD669" t="s">
        <v>246</v>
      </c>
    </row>
    <row r="670" spans="2:30" x14ac:dyDescent="0.25">
      <c r="B670" s="1" t="s">
        <v>1242</v>
      </c>
      <c r="C670">
        <v>669</v>
      </c>
      <c r="D670" s="1" t="s">
        <v>82</v>
      </c>
      <c r="E670" t="s">
        <v>154</v>
      </c>
      <c r="F670" s="1" t="s">
        <v>1279</v>
      </c>
      <c r="O670" s="1" t="s">
        <v>426</v>
      </c>
      <c r="P670" t="s">
        <v>108</v>
      </c>
      <c r="Q670" s="1" t="s">
        <v>244</v>
      </c>
      <c r="R670">
        <v>1</v>
      </c>
      <c r="S670">
        <v>50</v>
      </c>
      <c r="T670">
        <v>53</v>
      </c>
      <c r="U670">
        <v>39</v>
      </c>
      <c r="AA670">
        <v>1474.2769503500001</v>
      </c>
      <c r="AB670">
        <v>3399220.5736199999</v>
      </c>
      <c r="AC670" s="1" t="s">
        <v>245</v>
      </c>
      <c r="AD670" t="s">
        <v>246</v>
      </c>
    </row>
    <row r="671" spans="2:30" x14ac:dyDescent="0.25">
      <c r="B671" s="1" t="s">
        <v>1243</v>
      </c>
      <c r="C671">
        <v>670</v>
      </c>
      <c r="D671" s="1" t="s">
        <v>82</v>
      </c>
      <c r="E671" t="s">
        <v>154</v>
      </c>
      <c r="F671" s="1" t="s">
        <v>1280</v>
      </c>
      <c r="O671" s="1" t="s">
        <v>426</v>
      </c>
      <c r="P671" t="s">
        <v>108</v>
      </c>
      <c r="Q671" s="1" t="s">
        <v>244</v>
      </c>
      <c r="R671">
        <v>1</v>
      </c>
      <c r="S671">
        <v>50</v>
      </c>
      <c r="T671">
        <v>53</v>
      </c>
      <c r="U671">
        <v>39</v>
      </c>
      <c r="AA671">
        <v>1474.2769503500001</v>
      </c>
      <c r="AB671">
        <v>3399220.57552</v>
      </c>
      <c r="AC671" s="1" t="s">
        <v>245</v>
      </c>
      <c r="AD671" t="s">
        <v>246</v>
      </c>
    </row>
    <row r="672" spans="2:30" x14ac:dyDescent="0.25">
      <c r="B672" s="1" t="s">
        <v>1245</v>
      </c>
      <c r="C672">
        <v>671</v>
      </c>
      <c r="D672" s="1" t="s">
        <v>82</v>
      </c>
      <c r="E672" t="s">
        <v>154</v>
      </c>
      <c r="F672" s="1" t="s">
        <v>1279</v>
      </c>
      <c r="O672" s="1" t="s">
        <v>1303</v>
      </c>
      <c r="P672" t="s">
        <v>108</v>
      </c>
      <c r="Q672" s="1" t="s">
        <v>244</v>
      </c>
      <c r="R672">
        <v>1</v>
      </c>
      <c r="S672">
        <v>50</v>
      </c>
      <c r="T672">
        <v>53</v>
      </c>
      <c r="U672">
        <v>50</v>
      </c>
      <c r="AA672">
        <v>361.39986503900002</v>
      </c>
      <c r="AB672">
        <v>929479.83298199996</v>
      </c>
      <c r="AC672" s="1" t="s">
        <v>245</v>
      </c>
      <c r="AD672" t="s">
        <v>246</v>
      </c>
    </row>
    <row r="673" spans="2:30" x14ac:dyDescent="0.25">
      <c r="B673" s="1" t="s">
        <v>1246</v>
      </c>
      <c r="C673">
        <v>672</v>
      </c>
      <c r="D673" s="1" t="s">
        <v>82</v>
      </c>
      <c r="E673" t="s">
        <v>154</v>
      </c>
      <c r="F673" s="1" t="s">
        <v>1280</v>
      </c>
      <c r="O673" s="1" t="s">
        <v>1303</v>
      </c>
      <c r="P673" t="s">
        <v>108</v>
      </c>
      <c r="Q673" s="1" t="s">
        <v>244</v>
      </c>
      <c r="R673">
        <v>1</v>
      </c>
      <c r="S673">
        <v>50</v>
      </c>
      <c r="T673">
        <v>53</v>
      </c>
      <c r="U673">
        <v>50</v>
      </c>
      <c r="AA673">
        <v>361.39986503900002</v>
      </c>
      <c r="AB673">
        <v>929479.83352800005</v>
      </c>
      <c r="AC673" s="1" t="s">
        <v>245</v>
      </c>
      <c r="AD673" t="s">
        <v>246</v>
      </c>
    </row>
    <row r="674" spans="2:30" x14ac:dyDescent="0.25">
      <c r="B674" s="1" t="s">
        <v>1245</v>
      </c>
      <c r="C674">
        <v>673</v>
      </c>
      <c r="D674" s="1" t="s">
        <v>82</v>
      </c>
      <c r="E674" t="s">
        <v>154</v>
      </c>
      <c r="F674" s="1" t="s">
        <v>1279</v>
      </c>
      <c r="O674" s="1" t="s">
        <v>1304</v>
      </c>
      <c r="P674" t="s">
        <v>108</v>
      </c>
      <c r="Q674" s="1" t="s">
        <v>244</v>
      </c>
      <c r="R674">
        <v>1</v>
      </c>
      <c r="S674">
        <v>50</v>
      </c>
      <c r="T674">
        <v>53</v>
      </c>
      <c r="U674">
        <v>39</v>
      </c>
      <c r="AA674">
        <v>1475.43369588</v>
      </c>
      <c r="AB674">
        <v>3402295.0885600001</v>
      </c>
      <c r="AC674" s="1" t="s">
        <v>245</v>
      </c>
      <c r="AD674" t="s">
        <v>246</v>
      </c>
    </row>
    <row r="675" spans="2:30" x14ac:dyDescent="0.25">
      <c r="B675" s="1" t="s">
        <v>1246</v>
      </c>
      <c r="C675">
        <v>674</v>
      </c>
      <c r="D675" s="1" t="s">
        <v>82</v>
      </c>
      <c r="E675" t="s">
        <v>154</v>
      </c>
      <c r="F675" s="1" t="s">
        <v>1280</v>
      </c>
      <c r="O675" s="1" t="s">
        <v>1304</v>
      </c>
      <c r="P675" t="s">
        <v>108</v>
      </c>
      <c r="Q675" s="1" t="s">
        <v>244</v>
      </c>
      <c r="R675">
        <v>1</v>
      </c>
      <c r="S675">
        <v>50</v>
      </c>
      <c r="T675">
        <v>53</v>
      </c>
      <c r="U675">
        <v>39</v>
      </c>
      <c r="AA675">
        <v>1475.43369588</v>
      </c>
      <c r="AB675">
        <v>3402295.0904700002</v>
      </c>
      <c r="AC675" s="1" t="s">
        <v>245</v>
      </c>
      <c r="AD675" t="s">
        <v>246</v>
      </c>
    </row>
    <row r="676" spans="2:30" x14ac:dyDescent="0.25">
      <c r="B676" s="1" t="s">
        <v>1248</v>
      </c>
      <c r="C676">
        <v>675</v>
      </c>
      <c r="D676" s="1" t="s">
        <v>82</v>
      </c>
      <c r="E676" t="s">
        <v>154</v>
      </c>
      <c r="F676" s="1" t="s">
        <v>1279</v>
      </c>
      <c r="O676" s="1" t="s">
        <v>440</v>
      </c>
      <c r="P676" t="s">
        <v>108</v>
      </c>
      <c r="Q676" s="1" t="s">
        <v>244</v>
      </c>
      <c r="R676">
        <v>1</v>
      </c>
      <c r="S676">
        <v>50</v>
      </c>
      <c r="T676">
        <v>53</v>
      </c>
      <c r="U676">
        <v>50</v>
      </c>
      <c r="AA676">
        <v>383.06688910499997</v>
      </c>
      <c r="AB676">
        <v>987186.38855300006</v>
      </c>
      <c r="AC676" s="1" t="s">
        <v>245</v>
      </c>
      <c r="AD676" t="s">
        <v>246</v>
      </c>
    </row>
    <row r="677" spans="2:30" x14ac:dyDescent="0.25">
      <c r="B677" s="1" t="s">
        <v>1249</v>
      </c>
      <c r="C677">
        <v>676</v>
      </c>
      <c r="D677" s="1" t="s">
        <v>82</v>
      </c>
      <c r="E677" t="s">
        <v>154</v>
      </c>
      <c r="F677" s="1" t="s">
        <v>1280</v>
      </c>
      <c r="O677" s="1" t="s">
        <v>440</v>
      </c>
      <c r="P677" t="s">
        <v>108</v>
      </c>
      <c r="Q677" s="1" t="s">
        <v>244</v>
      </c>
      <c r="R677">
        <v>1</v>
      </c>
      <c r="S677">
        <v>50</v>
      </c>
      <c r="T677">
        <v>53</v>
      </c>
      <c r="U677">
        <v>50</v>
      </c>
      <c r="AA677">
        <v>383.06688910499997</v>
      </c>
      <c r="AB677">
        <v>987186.38913300005</v>
      </c>
      <c r="AC677" s="1" t="s">
        <v>245</v>
      </c>
      <c r="AD677" t="s">
        <v>246</v>
      </c>
    </row>
    <row r="678" spans="2:30" x14ac:dyDescent="0.25">
      <c r="B678" s="1" t="s">
        <v>1247</v>
      </c>
      <c r="C678">
        <v>677</v>
      </c>
      <c r="D678" s="1" t="s">
        <v>82</v>
      </c>
      <c r="E678" t="s">
        <v>154</v>
      </c>
      <c r="F678" s="1" t="s">
        <v>1278</v>
      </c>
      <c r="O678" s="1" t="s">
        <v>499</v>
      </c>
      <c r="P678" t="s">
        <v>108</v>
      </c>
      <c r="Q678" s="1" t="s">
        <v>244</v>
      </c>
      <c r="R678">
        <v>1</v>
      </c>
      <c r="S678">
        <v>50</v>
      </c>
      <c r="T678">
        <v>54</v>
      </c>
      <c r="U678">
        <v>39</v>
      </c>
      <c r="AA678">
        <v>1539.2236147399999</v>
      </c>
      <c r="AB678">
        <v>3572831.36662</v>
      </c>
      <c r="AC678" s="1" t="s">
        <v>245</v>
      </c>
      <c r="AD678" t="s">
        <v>246</v>
      </c>
    </row>
    <row r="679" spans="2:30" x14ac:dyDescent="0.25">
      <c r="B679" s="1" t="s">
        <v>1248</v>
      </c>
      <c r="C679">
        <v>678</v>
      </c>
      <c r="D679" s="1" t="s">
        <v>82</v>
      </c>
      <c r="E679" t="s">
        <v>154</v>
      </c>
      <c r="F679" s="1" t="s">
        <v>1279</v>
      </c>
      <c r="O679" s="1" t="s">
        <v>370</v>
      </c>
      <c r="P679" t="s">
        <v>108</v>
      </c>
      <c r="Q679" s="1" t="s">
        <v>244</v>
      </c>
      <c r="R679">
        <v>1</v>
      </c>
      <c r="S679">
        <v>50</v>
      </c>
      <c r="T679">
        <v>54</v>
      </c>
      <c r="U679">
        <v>49</v>
      </c>
      <c r="AA679">
        <v>2341.9505622900001</v>
      </c>
      <c r="AB679">
        <v>6047540.3792000003</v>
      </c>
      <c r="AC679" s="1" t="s">
        <v>245</v>
      </c>
      <c r="AD679" t="s">
        <v>246</v>
      </c>
    </row>
    <row r="680" spans="2:30" x14ac:dyDescent="0.25">
      <c r="B680" s="1" t="s">
        <v>1249</v>
      </c>
      <c r="C680">
        <v>679</v>
      </c>
      <c r="D680" s="1" t="s">
        <v>82</v>
      </c>
      <c r="E680" t="s">
        <v>154</v>
      </c>
      <c r="F680" s="1" t="s">
        <v>1280</v>
      </c>
      <c r="O680" s="1" t="s">
        <v>370</v>
      </c>
      <c r="P680" t="s">
        <v>108</v>
      </c>
      <c r="Q680" s="1" t="s">
        <v>244</v>
      </c>
      <c r="R680">
        <v>1</v>
      </c>
      <c r="S680">
        <v>50</v>
      </c>
      <c r="T680">
        <v>54</v>
      </c>
      <c r="U680">
        <v>49</v>
      </c>
      <c r="AA680">
        <v>2341.9505622900001</v>
      </c>
      <c r="AB680">
        <v>6047540.3827600004</v>
      </c>
      <c r="AC680" s="1" t="s">
        <v>245</v>
      </c>
      <c r="AD680" t="s">
        <v>246</v>
      </c>
    </row>
    <row r="681" spans="2:30" x14ac:dyDescent="0.25">
      <c r="B681" s="1" t="s">
        <v>1247</v>
      </c>
      <c r="C681">
        <v>680</v>
      </c>
      <c r="D681" s="1" t="s">
        <v>82</v>
      </c>
      <c r="E681" t="s">
        <v>154</v>
      </c>
      <c r="F681" s="1" t="s">
        <v>1278</v>
      </c>
      <c r="O681" s="1" t="s">
        <v>370</v>
      </c>
      <c r="P681" t="s">
        <v>108</v>
      </c>
      <c r="Q681" s="1" t="s">
        <v>244</v>
      </c>
      <c r="R681">
        <v>1</v>
      </c>
      <c r="S681">
        <v>50</v>
      </c>
      <c r="T681">
        <v>54</v>
      </c>
      <c r="U681">
        <v>49</v>
      </c>
      <c r="AA681">
        <v>2341.9505622900001</v>
      </c>
      <c r="AB681">
        <v>6047564.0529800002</v>
      </c>
      <c r="AC681" s="1" t="s">
        <v>245</v>
      </c>
      <c r="AD681" t="s">
        <v>246</v>
      </c>
    </row>
    <row r="682" spans="2:30" x14ac:dyDescent="0.25">
      <c r="B682" s="1" t="s">
        <v>1247</v>
      </c>
      <c r="C682">
        <v>681</v>
      </c>
      <c r="D682" s="1" t="s">
        <v>82</v>
      </c>
      <c r="E682" t="s">
        <v>154</v>
      </c>
      <c r="F682" s="1" t="s">
        <v>1278</v>
      </c>
      <c r="O682" s="1" t="s">
        <v>351</v>
      </c>
      <c r="P682" t="s">
        <v>108</v>
      </c>
      <c r="Q682" s="1" t="s">
        <v>244</v>
      </c>
      <c r="R682">
        <v>1</v>
      </c>
      <c r="S682">
        <v>50</v>
      </c>
      <c r="T682">
        <v>54</v>
      </c>
      <c r="U682">
        <v>39</v>
      </c>
      <c r="AA682">
        <v>1601.24699375</v>
      </c>
      <c r="AB682">
        <v>3747387.8694600002</v>
      </c>
      <c r="AC682" s="1" t="s">
        <v>245</v>
      </c>
      <c r="AD682" t="s">
        <v>246</v>
      </c>
    </row>
    <row r="683" spans="2:30" x14ac:dyDescent="0.25">
      <c r="B683" s="1" t="s">
        <v>1248</v>
      </c>
      <c r="C683">
        <v>682</v>
      </c>
      <c r="D683" s="1" t="s">
        <v>82</v>
      </c>
      <c r="E683" t="s">
        <v>154</v>
      </c>
      <c r="F683" s="1" t="s">
        <v>1279</v>
      </c>
      <c r="O683" s="1" t="s">
        <v>351</v>
      </c>
      <c r="P683" t="s">
        <v>108</v>
      </c>
      <c r="Q683" s="1" t="s">
        <v>244</v>
      </c>
      <c r="R683">
        <v>1</v>
      </c>
      <c r="S683">
        <v>50</v>
      </c>
      <c r="T683">
        <v>54</v>
      </c>
      <c r="U683">
        <v>39</v>
      </c>
      <c r="AA683">
        <v>1601.24699375</v>
      </c>
      <c r="AB683">
        <v>3747387.87097</v>
      </c>
      <c r="AC683" s="1" t="s">
        <v>245</v>
      </c>
      <c r="AD683" t="s">
        <v>246</v>
      </c>
    </row>
    <row r="684" spans="2:30" x14ac:dyDescent="0.25">
      <c r="B684" s="1" t="s">
        <v>1249</v>
      </c>
      <c r="C684">
        <v>683</v>
      </c>
      <c r="D684" s="1" t="s">
        <v>82</v>
      </c>
      <c r="E684" t="s">
        <v>154</v>
      </c>
      <c r="F684" s="1" t="s">
        <v>1280</v>
      </c>
      <c r="O684" s="1" t="s">
        <v>351</v>
      </c>
      <c r="P684" t="s">
        <v>108</v>
      </c>
      <c r="Q684" s="1" t="s">
        <v>244</v>
      </c>
      <c r="R684">
        <v>1</v>
      </c>
      <c r="S684">
        <v>50</v>
      </c>
      <c r="T684">
        <v>54</v>
      </c>
      <c r="U684">
        <v>39</v>
      </c>
      <c r="AA684">
        <v>1601.24699375</v>
      </c>
      <c r="AB684">
        <v>3747387.8730799998</v>
      </c>
      <c r="AC684" s="1" t="s">
        <v>245</v>
      </c>
      <c r="AD684" t="s">
        <v>246</v>
      </c>
    </row>
    <row r="685" spans="2:30" x14ac:dyDescent="0.25">
      <c r="B685" s="1" t="s">
        <v>1250</v>
      </c>
      <c r="C685">
        <v>684</v>
      </c>
      <c r="D685" s="1" t="s">
        <v>82</v>
      </c>
      <c r="E685" t="s">
        <v>134</v>
      </c>
      <c r="F685" s="1" t="s">
        <v>1279</v>
      </c>
      <c r="G685">
        <v>4172</v>
      </c>
      <c r="H685">
        <v>300</v>
      </c>
      <c r="I685">
        <v>4209</v>
      </c>
      <c r="L685">
        <v>2396</v>
      </c>
      <c r="M685">
        <v>2685</v>
      </c>
      <c r="N685">
        <v>11.303653479583108</v>
      </c>
      <c r="O685" s="1"/>
      <c r="Q685" s="1"/>
      <c r="AC685" s="1"/>
    </row>
    <row r="686" spans="2:30" x14ac:dyDescent="0.25">
      <c r="B686" s="1" t="s">
        <v>1251</v>
      </c>
      <c r="C686">
        <v>685</v>
      </c>
      <c r="D686" s="1" t="s">
        <v>82</v>
      </c>
      <c r="E686" t="s">
        <v>134</v>
      </c>
      <c r="F686" s="1" t="s">
        <v>1279</v>
      </c>
      <c r="G686">
        <v>4190</v>
      </c>
      <c r="H686">
        <v>300</v>
      </c>
      <c r="I686">
        <v>4190</v>
      </c>
      <c r="L686">
        <v>2396</v>
      </c>
      <c r="M686">
        <v>2677</v>
      </c>
      <c r="N686">
        <v>11.21720333456258</v>
      </c>
      <c r="O686" s="1"/>
      <c r="Q686" s="1"/>
      <c r="AC686" s="1"/>
    </row>
    <row r="687" spans="2:30" x14ac:dyDescent="0.25">
      <c r="B687" s="1" t="s">
        <v>1252</v>
      </c>
      <c r="C687">
        <v>686</v>
      </c>
      <c r="D687" s="1" t="s">
        <v>82</v>
      </c>
      <c r="E687" t="s">
        <v>134</v>
      </c>
      <c r="F687" s="1" t="s">
        <v>1279</v>
      </c>
      <c r="G687">
        <v>4190</v>
      </c>
      <c r="H687">
        <v>300</v>
      </c>
      <c r="I687">
        <v>4824</v>
      </c>
      <c r="L687">
        <v>2395</v>
      </c>
      <c r="M687">
        <v>2684</v>
      </c>
      <c r="N687">
        <v>12.948687542782693</v>
      </c>
      <c r="O687" s="1"/>
      <c r="Q687" s="1"/>
      <c r="AC687" s="1"/>
    </row>
    <row r="688" spans="2:30" x14ac:dyDescent="0.25">
      <c r="B688" s="1" t="s">
        <v>1253</v>
      </c>
      <c r="C688">
        <v>687</v>
      </c>
      <c r="D688" s="1" t="s">
        <v>82</v>
      </c>
      <c r="E688" t="s">
        <v>134</v>
      </c>
      <c r="F688" s="1" t="s">
        <v>1279</v>
      </c>
      <c r="G688">
        <v>4190</v>
      </c>
      <c r="H688">
        <v>300</v>
      </c>
      <c r="I688">
        <v>4190</v>
      </c>
      <c r="L688">
        <v>2394</v>
      </c>
      <c r="M688">
        <v>2664</v>
      </c>
      <c r="N688">
        <v>11.16274803648572</v>
      </c>
      <c r="O688" s="1"/>
      <c r="Q688" s="1"/>
      <c r="AC688" s="1"/>
    </row>
    <row r="689" spans="2:29" x14ac:dyDescent="0.25">
      <c r="B689" s="1" t="s">
        <v>1254</v>
      </c>
      <c r="C689">
        <v>688</v>
      </c>
      <c r="D689" s="1" t="s">
        <v>82</v>
      </c>
      <c r="E689" t="s">
        <v>134</v>
      </c>
      <c r="F689" s="1" t="s">
        <v>1279</v>
      </c>
      <c r="G689">
        <v>4727</v>
      </c>
      <c r="H689">
        <v>310</v>
      </c>
      <c r="I689">
        <v>5212</v>
      </c>
      <c r="L689">
        <v>2770</v>
      </c>
      <c r="M689">
        <v>3049</v>
      </c>
      <c r="N689">
        <v>15.889886000191614</v>
      </c>
      <c r="O689" s="1"/>
      <c r="Q689" s="1"/>
      <c r="AC689" s="1"/>
    </row>
    <row r="690" spans="2:29" x14ac:dyDescent="0.25">
      <c r="B690" s="1" t="s">
        <v>1231</v>
      </c>
      <c r="C690">
        <v>689</v>
      </c>
      <c r="D690" s="1" t="s">
        <v>82</v>
      </c>
      <c r="E690" t="s">
        <v>154</v>
      </c>
      <c r="F690" s="1" t="s">
        <v>1279</v>
      </c>
      <c r="G690">
        <v>4172</v>
      </c>
      <c r="H690">
        <v>67</v>
      </c>
      <c r="I690">
        <v>4172</v>
      </c>
      <c r="L690">
        <v>1160</v>
      </c>
      <c r="M690">
        <v>1222</v>
      </c>
      <c r="N690">
        <v>5.0981645626443131</v>
      </c>
      <c r="O690" s="1"/>
      <c r="Q690" s="1"/>
      <c r="AC690" s="1"/>
    </row>
    <row r="691" spans="2:29" x14ac:dyDescent="0.25">
      <c r="B691" s="1" t="s">
        <v>1245</v>
      </c>
      <c r="C691">
        <v>690</v>
      </c>
      <c r="D691" s="1" t="s">
        <v>82</v>
      </c>
      <c r="E691" t="s">
        <v>154</v>
      </c>
      <c r="F691" s="1" t="s">
        <v>1279</v>
      </c>
      <c r="G691">
        <v>4172</v>
      </c>
      <c r="H691">
        <v>81</v>
      </c>
      <c r="I691">
        <v>4246</v>
      </c>
      <c r="L691">
        <v>1475</v>
      </c>
      <c r="M691">
        <v>1796</v>
      </c>
      <c r="N691">
        <v>7.6273327055244735</v>
      </c>
      <c r="O691" s="1"/>
      <c r="Q691" s="1"/>
      <c r="AC691" s="1"/>
    </row>
    <row r="692" spans="2:29" x14ac:dyDescent="0.25">
      <c r="B692" s="1" t="s">
        <v>1224</v>
      </c>
      <c r="C692">
        <v>691</v>
      </c>
      <c r="D692" s="1" t="s">
        <v>82</v>
      </c>
      <c r="E692" t="s">
        <v>154</v>
      </c>
      <c r="F692" s="1" t="s">
        <v>1279</v>
      </c>
      <c r="G692">
        <v>4172</v>
      </c>
      <c r="H692">
        <v>67</v>
      </c>
      <c r="I692">
        <v>4172</v>
      </c>
      <c r="L692">
        <v>1160</v>
      </c>
      <c r="M692">
        <v>1222</v>
      </c>
      <c r="N692">
        <v>5.0981645624571623</v>
      </c>
      <c r="O692" s="1"/>
      <c r="Q692" s="1"/>
      <c r="AC692" s="1"/>
    </row>
    <row r="693" spans="2:29" x14ac:dyDescent="0.25">
      <c r="B693" s="1" t="s">
        <v>1236</v>
      </c>
      <c r="C693">
        <v>692</v>
      </c>
      <c r="D693" s="1" t="s">
        <v>82</v>
      </c>
      <c r="E693" t="s">
        <v>154</v>
      </c>
      <c r="F693" s="1" t="s">
        <v>1279</v>
      </c>
      <c r="G693">
        <v>4172</v>
      </c>
      <c r="H693">
        <v>77</v>
      </c>
      <c r="I693">
        <v>4246</v>
      </c>
      <c r="L693">
        <v>1085</v>
      </c>
      <c r="M693">
        <v>1399</v>
      </c>
      <c r="N693">
        <v>5.9384680575307822</v>
      </c>
      <c r="O693" s="1"/>
      <c r="Q693" s="1"/>
      <c r="AC693" s="1"/>
    </row>
    <row r="694" spans="2:29" x14ac:dyDescent="0.25">
      <c r="B694" s="1" t="s">
        <v>1223</v>
      </c>
      <c r="C694">
        <v>693</v>
      </c>
      <c r="D694" s="1" t="s">
        <v>82</v>
      </c>
      <c r="E694" t="s">
        <v>154</v>
      </c>
      <c r="F694" s="1" t="s">
        <v>1279</v>
      </c>
      <c r="G694">
        <v>4172</v>
      </c>
      <c r="H694">
        <v>67</v>
      </c>
      <c r="I694">
        <v>4172</v>
      </c>
      <c r="L694">
        <v>1160</v>
      </c>
      <c r="M694">
        <v>1222</v>
      </c>
      <c r="N694">
        <v>5.098164562644028</v>
      </c>
      <c r="O694" s="1"/>
      <c r="Q694" s="1"/>
      <c r="AC694" s="1"/>
    </row>
    <row r="695" spans="2:29" x14ac:dyDescent="0.25">
      <c r="B695" s="1" t="s">
        <v>1242</v>
      </c>
      <c r="C695">
        <v>694</v>
      </c>
      <c r="D695" s="1" t="s">
        <v>82</v>
      </c>
      <c r="E695" t="s">
        <v>154</v>
      </c>
      <c r="F695" s="1" t="s">
        <v>1279</v>
      </c>
      <c r="G695">
        <v>4172</v>
      </c>
      <c r="H695">
        <v>81</v>
      </c>
      <c r="I695">
        <v>4246</v>
      </c>
      <c r="L695">
        <v>1474</v>
      </c>
      <c r="M695">
        <v>1789</v>
      </c>
      <c r="N695">
        <v>7.597110812508256</v>
      </c>
      <c r="O695" s="1"/>
      <c r="Q695" s="1"/>
      <c r="AC695" s="1"/>
    </row>
    <row r="696" spans="2:29" x14ac:dyDescent="0.25">
      <c r="B696" s="1" t="s">
        <v>1230</v>
      </c>
      <c r="C696">
        <v>695</v>
      </c>
      <c r="D696" s="1" t="s">
        <v>82</v>
      </c>
      <c r="E696" t="s">
        <v>154</v>
      </c>
      <c r="F696" s="1" t="s">
        <v>1279</v>
      </c>
      <c r="G696">
        <v>4172</v>
      </c>
      <c r="H696">
        <v>67</v>
      </c>
      <c r="I696">
        <v>4172</v>
      </c>
      <c r="L696">
        <v>1160</v>
      </c>
      <c r="M696">
        <v>1222</v>
      </c>
      <c r="N696">
        <v>5.098165984079464</v>
      </c>
      <c r="O696" s="1"/>
      <c r="Q696" s="1"/>
      <c r="AC696" s="1"/>
    </row>
    <row r="697" spans="2:29" x14ac:dyDescent="0.25">
      <c r="B697" s="1" t="s">
        <v>1239</v>
      </c>
      <c r="C697">
        <v>696</v>
      </c>
      <c r="D697" s="1" t="s">
        <v>82</v>
      </c>
      <c r="E697" t="s">
        <v>154</v>
      </c>
      <c r="F697" s="1" t="s">
        <v>1279</v>
      </c>
      <c r="G697">
        <v>4172</v>
      </c>
      <c r="H697">
        <v>77</v>
      </c>
      <c r="I697">
        <v>4246</v>
      </c>
      <c r="L697">
        <v>1085</v>
      </c>
      <c r="M697">
        <v>1398</v>
      </c>
      <c r="N697">
        <v>5.9375455763289198</v>
      </c>
      <c r="O697" s="1"/>
      <c r="Q697" s="1"/>
      <c r="AC697" s="1"/>
    </row>
    <row r="698" spans="2:29" x14ac:dyDescent="0.25">
      <c r="B698" s="1" t="s">
        <v>1219</v>
      </c>
      <c r="C698">
        <v>697</v>
      </c>
      <c r="D698" s="1" t="s">
        <v>82</v>
      </c>
      <c r="E698" t="s">
        <v>154</v>
      </c>
      <c r="F698" s="1" t="s">
        <v>1279</v>
      </c>
      <c r="G698">
        <v>2357</v>
      </c>
      <c r="H698">
        <v>67</v>
      </c>
      <c r="I698">
        <v>2507</v>
      </c>
      <c r="L698">
        <v>1470</v>
      </c>
      <c r="M698">
        <v>1532</v>
      </c>
      <c r="N698">
        <v>3.8406289565285672</v>
      </c>
      <c r="O698" s="1"/>
      <c r="Q698" s="1"/>
      <c r="AC698" s="1"/>
    </row>
    <row r="699" spans="2:29" x14ac:dyDescent="0.25">
      <c r="B699" s="1" t="s">
        <v>1248</v>
      </c>
      <c r="C699">
        <v>698</v>
      </c>
      <c r="D699" s="1" t="s">
        <v>82</v>
      </c>
      <c r="E699" t="s">
        <v>154</v>
      </c>
      <c r="F699" s="1" t="s">
        <v>1279</v>
      </c>
      <c r="G699">
        <v>2451</v>
      </c>
      <c r="H699">
        <v>82</v>
      </c>
      <c r="I699">
        <v>2507</v>
      </c>
      <c r="L699">
        <v>1610</v>
      </c>
      <c r="M699">
        <v>1643</v>
      </c>
      <c r="N699">
        <v>4.1189270460209091</v>
      </c>
      <c r="O699" s="1"/>
      <c r="Q699" s="1"/>
      <c r="AC699" s="1"/>
    </row>
    <row r="700" spans="2:29" x14ac:dyDescent="0.25">
      <c r="B700" s="1" t="s">
        <v>1255</v>
      </c>
      <c r="C700">
        <v>699</v>
      </c>
      <c r="D700" s="1" t="s">
        <v>82</v>
      </c>
      <c r="E700" t="s">
        <v>134</v>
      </c>
      <c r="F700" s="1" t="s">
        <v>1280</v>
      </c>
      <c r="G700">
        <v>4172</v>
      </c>
      <c r="H700">
        <v>300</v>
      </c>
      <c r="I700">
        <v>4209</v>
      </c>
      <c r="L700">
        <v>2396</v>
      </c>
      <c r="M700">
        <v>2685</v>
      </c>
      <c r="N700">
        <v>11.303653479583108</v>
      </c>
      <c r="O700" s="1"/>
      <c r="Q700" s="1"/>
      <c r="AC700" s="1"/>
    </row>
    <row r="701" spans="2:29" x14ac:dyDescent="0.25">
      <c r="B701" s="1" t="s">
        <v>1256</v>
      </c>
      <c r="C701">
        <v>700</v>
      </c>
      <c r="D701" s="1" t="s">
        <v>82</v>
      </c>
      <c r="E701" t="s">
        <v>134</v>
      </c>
      <c r="F701" s="1" t="s">
        <v>1280</v>
      </c>
      <c r="G701">
        <v>4190</v>
      </c>
      <c r="H701">
        <v>300</v>
      </c>
      <c r="I701">
        <v>4190</v>
      </c>
      <c r="L701">
        <v>2396</v>
      </c>
      <c r="M701">
        <v>2677</v>
      </c>
      <c r="N701">
        <v>11.21720333456258</v>
      </c>
      <c r="O701" s="1"/>
      <c r="Q701" s="1"/>
      <c r="AC701" s="1"/>
    </row>
    <row r="702" spans="2:29" x14ac:dyDescent="0.25">
      <c r="B702" s="1" t="s">
        <v>1257</v>
      </c>
      <c r="C702">
        <v>701</v>
      </c>
      <c r="D702" s="1" t="s">
        <v>82</v>
      </c>
      <c r="E702" t="s">
        <v>134</v>
      </c>
      <c r="F702" s="1" t="s">
        <v>1280</v>
      </c>
      <c r="G702">
        <v>4190</v>
      </c>
      <c r="H702">
        <v>300</v>
      </c>
      <c r="I702">
        <v>4824</v>
      </c>
      <c r="L702">
        <v>2395</v>
      </c>
      <c r="M702">
        <v>2684</v>
      </c>
      <c r="N702">
        <v>12.948687542782693</v>
      </c>
      <c r="O702" s="1"/>
      <c r="Q702" s="1"/>
      <c r="AC702" s="1"/>
    </row>
    <row r="703" spans="2:29" x14ac:dyDescent="0.25">
      <c r="B703" s="1" t="s">
        <v>1258</v>
      </c>
      <c r="C703">
        <v>702</v>
      </c>
      <c r="D703" s="1" t="s">
        <v>82</v>
      </c>
      <c r="E703" t="s">
        <v>134</v>
      </c>
      <c r="F703" s="1" t="s">
        <v>1280</v>
      </c>
      <c r="G703">
        <v>4190</v>
      </c>
      <c r="H703">
        <v>300</v>
      </c>
      <c r="I703">
        <v>4190</v>
      </c>
      <c r="L703">
        <v>2394</v>
      </c>
      <c r="M703">
        <v>2664</v>
      </c>
      <c r="N703">
        <v>11.16274803648572</v>
      </c>
      <c r="O703" s="1"/>
      <c r="Q703" s="1"/>
      <c r="AC703" s="1"/>
    </row>
    <row r="704" spans="2:29" x14ac:dyDescent="0.25">
      <c r="B704" s="1" t="s">
        <v>1259</v>
      </c>
      <c r="C704">
        <v>703</v>
      </c>
      <c r="D704" s="1" t="s">
        <v>82</v>
      </c>
      <c r="E704" t="s">
        <v>134</v>
      </c>
      <c r="F704" s="1" t="s">
        <v>1280</v>
      </c>
      <c r="G704">
        <v>4727</v>
      </c>
      <c r="H704">
        <v>310</v>
      </c>
      <c r="I704">
        <v>5212</v>
      </c>
      <c r="L704">
        <v>2770</v>
      </c>
      <c r="M704">
        <v>3049</v>
      </c>
      <c r="N704">
        <v>15.889889622667035</v>
      </c>
      <c r="O704" s="1"/>
      <c r="Q704" s="1"/>
      <c r="AC704" s="1"/>
    </row>
    <row r="705" spans="2:29" x14ac:dyDescent="0.25">
      <c r="B705" s="1" t="s">
        <v>1233</v>
      </c>
      <c r="C705">
        <v>704</v>
      </c>
      <c r="D705" s="1" t="s">
        <v>82</v>
      </c>
      <c r="E705" t="s">
        <v>154</v>
      </c>
      <c r="F705" s="1" t="s">
        <v>1280</v>
      </c>
      <c r="G705">
        <v>4172</v>
      </c>
      <c r="H705">
        <v>67</v>
      </c>
      <c r="I705">
        <v>4172</v>
      </c>
      <c r="L705">
        <v>1160</v>
      </c>
      <c r="M705">
        <v>1222</v>
      </c>
      <c r="N705">
        <v>5.0981645626443131</v>
      </c>
      <c r="O705" s="1"/>
      <c r="Q705" s="1"/>
      <c r="AC705" s="1"/>
    </row>
    <row r="706" spans="2:29" x14ac:dyDescent="0.25">
      <c r="B706" s="1" t="s">
        <v>1246</v>
      </c>
      <c r="C706">
        <v>705</v>
      </c>
      <c r="D706" s="1" t="s">
        <v>82</v>
      </c>
      <c r="E706" t="s">
        <v>154</v>
      </c>
      <c r="F706" s="1" t="s">
        <v>1280</v>
      </c>
      <c r="G706">
        <v>4172</v>
      </c>
      <c r="H706">
        <v>81</v>
      </c>
      <c r="I706">
        <v>4246</v>
      </c>
      <c r="L706">
        <v>1475</v>
      </c>
      <c r="M706">
        <v>1796</v>
      </c>
      <c r="N706">
        <v>7.6273327055244735</v>
      </c>
      <c r="O706" s="1"/>
      <c r="Q706" s="1"/>
      <c r="AC706" s="1"/>
    </row>
    <row r="707" spans="2:29" x14ac:dyDescent="0.25">
      <c r="B707" s="1" t="s">
        <v>1226</v>
      </c>
      <c r="C707">
        <v>706</v>
      </c>
      <c r="D707" s="1" t="s">
        <v>82</v>
      </c>
      <c r="E707" t="s">
        <v>154</v>
      </c>
      <c r="F707" s="1" t="s">
        <v>1280</v>
      </c>
      <c r="G707">
        <v>4172</v>
      </c>
      <c r="H707">
        <v>67</v>
      </c>
      <c r="I707">
        <v>4172</v>
      </c>
      <c r="L707">
        <v>1160</v>
      </c>
      <c r="M707">
        <v>1222</v>
      </c>
      <c r="N707">
        <v>5.0981645624571623</v>
      </c>
      <c r="O707" s="1"/>
      <c r="Q707" s="1"/>
      <c r="AC707" s="1"/>
    </row>
    <row r="708" spans="2:29" x14ac:dyDescent="0.25">
      <c r="B708" s="1" t="s">
        <v>1237</v>
      </c>
      <c r="C708">
        <v>707</v>
      </c>
      <c r="D708" s="1" t="s">
        <v>82</v>
      </c>
      <c r="E708" t="s">
        <v>154</v>
      </c>
      <c r="F708" s="1" t="s">
        <v>1280</v>
      </c>
      <c r="G708">
        <v>4172</v>
      </c>
      <c r="H708">
        <v>77</v>
      </c>
      <c r="I708">
        <v>4246</v>
      </c>
      <c r="L708">
        <v>1085</v>
      </c>
      <c r="M708">
        <v>1399</v>
      </c>
      <c r="N708">
        <v>5.9384680575307822</v>
      </c>
      <c r="O708" s="1"/>
      <c r="Q708" s="1"/>
      <c r="AC708" s="1"/>
    </row>
    <row r="709" spans="2:29" x14ac:dyDescent="0.25">
      <c r="B709" s="1" t="s">
        <v>1225</v>
      </c>
      <c r="C709">
        <v>708</v>
      </c>
      <c r="D709" s="1" t="s">
        <v>82</v>
      </c>
      <c r="E709" t="s">
        <v>154</v>
      </c>
      <c r="F709" s="1" t="s">
        <v>1280</v>
      </c>
      <c r="G709">
        <v>4172</v>
      </c>
      <c r="H709">
        <v>67</v>
      </c>
      <c r="I709">
        <v>4172</v>
      </c>
      <c r="L709">
        <v>1160</v>
      </c>
      <c r="M709">
        <v>1222</v>
      </c>
      <c r="N709">
        <v>5.098164562644028</v>
      </c>
      <c r="O709" s="1"/>
      <c r="Q709" s="1"/>
      <c r="AC709" s="1"/>
    </row>
    <row r="710" spans="2:29" x14ac:dyDescent="0.25">
      <c r="B710" s="1" t="s">
        <v>1243</v>
      </c>
      <c r="C710">
        <v>709</v>
      </c>
      <c r="D710" s="1" t="s">
        <v>82</v>
      </c>
      <c r="E710" t="s">
        <v>154</v>
      </c>
      <c r="F710" s="1" t="s">
        <v>1280</v>
      </c>
      <c r="G710">
        <v>4172</v>
      </c>
      <c r="H710">
        <v>81</v>
      </c>
      <c r="I710">
        <v>4246</v>
      </c>
      <c r="L710">
        <v>1474</v>
      </c>
      <c r="M710">
        <v>1789</v>
      </c>
      <c r="N710">
        <v>7.597110812508256</v>
      </c>
      <c r="O710" s="1"/>
      <c r="Q710" s="1"/>
      <c r="AC710" s="1"/>
    </row>
    <row r="711" spans="2:29" x14ac:dyDescent="0.25">
      <c r="B711" s="1" t="s">
        <v>1232</v>
      </c>
      <c r="C711">
        <v>710</v>
      </c>
      <c r="D711" s="1" t="s">
        <v>82</v>
      </c>
      <c r="E711" t="s">
        <v>154</v>
      </c>
      <c r="F711" s="1" t="s">
        <v>1280</v>
      </c>
      <c r="G711">
        <v>4172</v>
      </c>
      <c r="H711">
        <v>67</v>
      </c>
      <c r="I711">
        <v>4172</v>
      </c>
      <c r="L711">
        <v>1160</v>
      </c>
      <c r="M711">
        <v>1222</v>
      </c>
      <c r="N711">
        <v>5.098165984079464</v>
      </c>
      <c r="O711" s="1"/>
      <c r="Q711" s="1"/>
      <c r="AC711" s="1"/>
    </row>
    <row r="712" spans="2:29" x14ac:dyDescent="0.25">
      <c r="B712" s="1" t="s">
        <v>1240</v>
      </c>
      <c r="C712">
        <v>711</v>
      </c>
      <c r="D712" s="1" t="s">
        <v>82</v>
      </c>
      <c r="E712" t="s">
        <v>154</v>
      </c>
      <c r="F712" s="1" t="s">
        <v>1280</v>
      </c>
      <c r="G712">
        <v>4172</v>
      </c>
      <c r="H712">
        <v>77</v>
      </c>
      <c r="I712">
        <v>4246</v>
      </c>
      <c r="L712">
        <v>1085</v>
      </c>
      <c r="M712">
        <v>1398</v>
      </c>
      <c r="N712">
        <v>5.9375455763289198</v>
      </c>
      <c r="O712" s="1"/>
      <c r="Q712" s="1"/>
      <c r="AC712" s="1"/>
    </row>
    <row r="713" spans="2:29" x14ac:dyDescent="0.25">
      <c r="B713" s="1" t="s">
        <v>1220</v>
      </c>
      <c r="C713">
        <v>712</v>
      </c>
      <c r="D713" s="1" t="s">
        <v>82</v>
      </c>
      <c r="E713" t="s">
        <v>154</v>
      </c>
      <c r="F713" s="1" t="s">
        <v>1280</v>
      </c>
      <c r="G713">
        <v>2357</v>
      </c>
      <c r="H713">
        <v>67</v>
      </c>
      <c r="I713">
        <v>2507</v>
      </c>
      <c r="L713">
        <v>1470</v>
      </c>
      <c r="M713">
        <v>1532</v>
      </c>
      <c r="N713">
        <v>3.8406289565285672</v>
      </c>
      <c r="O713" s="1"/>
      <c r="Q713" s="1"/>
      <c r="AC713" s="1"/>
    </row>
    <row r="714" spans="2:29" x14ac:dyDescent="0.25">
      <c r="B714" s="1" t="s">
        <v>1249</v>
      </c>
      <c r="C714">
        <v>713</v>
      </c>
      <c r="D714" s="1" t="s">
        <v>82</v>
      </c>
      <c r="E714" t="s">
        <v>154</v>
      </c>
      <c r="F714" s="1" t="s">
        <v>1280</v>
      </c>
      <c r="G714">
        <v>2451</v>
      </c>
      <c r="H714">
        <v>82</v>
      </c>
      <c r="I714">
        <v>2507</v>
      </c>
      <c r="L714">
        <v>1610</v>
      </c>
      <c r="M714">
        <v>1643</v>
      </c>
      <c r="N714">
        <v>4.1189270460209091</v>
      </c>
      <c r="O714" s="1"/>
      <c r="Q714" s="1"/>
      <c r="AC714" s="1"/>
    </row>
    <row r="715" spans="2:29" x14ac:dyDescent="0.25">
      <c r="B715" s="1" t="s">
        <v>1260</v>
      </c>
      <c r="C715">
        <v>714</v>
      </c>
      <c r="D715" s="1" t="s">
        <v>82</v>
      </c>
      <c r="E715" t="s">
        <v>134</v>
      </c>
      <c r="F715" s="1" t="s">
        <v>1278</v>
      </c>
      <c r="G715">
        <v>1803</v>
      </c>
      <c r="H715">
        <v>300</v>
      </c>
      <c r="I715">
        <v>2398</v>
      </c>
      <c r="L715">
        <v>1558</v>
      </c>
      <c r="M715">
        <v>1924</v>
      </c>
      <c r="N715">
        <v>4.6146845171300317</v>
      </c>
      <c r="O715" s="1"/>
      <c r="Q715" s="1"/>
      <c r="AC715" s="1"/>
    </row>
    <row r="716" spans="2:29" x14ac:dyDescent="0.25">
      <c r="B716" s="1" t="s">
        <v>1261</v>
      </c>
      <c r="C716">
        <v>715</v>
      </c>
      <c r="D716" s="1" t="s">
        <v>82</v>
      </c>
      <c r="E716" t="s">
        <v>134</v>
      </c>
      <c r="F716" s="1" t="s">
        <v>1278</v>
      </c>
      <c r="G716">
        <v>4172</v>
      </c>
      <c r="H716">
        <v>300</v>
      </c>
      <c r="I716">
        <v>4209</v>
      </c>
      <c r="L716">
        <v>2396</v>
      </c>
      <c r="M716">
        <v>2685</v>
      </c>
      <c r="N716">
        <v>11.303653479583108</v>
      </c>
      <c r="O716" s="1"/>
      <c r="Q716" s="1"/>
      <c r="AC716" s="1"/>
    </row>
    <row r="717" spans="2:29" x14ac:dyDescent="0.25">
      <c r="B717" s="1" t="s">
        <v>1262</v>
      </c>
      <c r="C717">
        <v>716</v>
      </c>
      <c r="D717" s="1" t="s">
        <v>82</v>
      </c>
      <c r="E717" t="s">
        <v>134</v>
      </c>
      <c r="F717" s="1" t="s">
        <v>1278</v>
      </c>
      <c r="G717">
        <v>4190</v>
      </c>
      <c r="H717">
        <v>300</v>
      </c>
      <c r="I717">
        <v>4190</v>
      </c>
      <c r="L717">
        <v>2396</v>
      </c>
      <c r="M717">
        <v>2677</v>
      </c>
      <c r="N717">
        <v>11.217203339255697</v>
      </c>
      <c r="O717" s="1"/>
      <c r="Q717" s="1"/>
      <c r="AC717" s="1"/>
    </row>
    <row r="718" spans="2:29" x14ac:dyDescent="0.25">
      <c r="B718" s="1" t="s">
        <v>1263</v>
      </c>
      <c r="C718">
        <v>717</v>
      </c>
      <c r="D718" s="1" t="s">
        <v>82</v>
      </c>
      <c r="E718" t="s">
        <v>134</v>
      </c>
      <c r="F718" s="1" t="s">
        <v>1278</v>
      </c>
      <c r="G718">
        <v>4190</v>
      </c>
      <c r="H718">
        <v>300</v>
      </c>
      <c r="I718">
        <v>4824</v>
      </c>
      <c r="L718">
        <v>2395</v>
      </c>
      <c r="M718">
        <v>2684</v>
      </c>
      <c r="N718">
        <v>12.948687542782693</v>
      </c>
      <c r="O718" s="1"/>
      <c r="Q718" s="1"/>
      <c r="AC718" s="1"/>
    </row>
    <row r="719" spans="2:29" x14ac:dyDescent="0.25">
      <c r="B719" s="1" t="s">
        <v>1264</v>
      </c>
      <c r="C719">
        <v>718</v>
      </c>
      <c r="D719" s="1" t="s">
        <v>82</v>
      </c>
      <c r="E719" t="s">
        <v>134</v>
      </c>
      <c r="F719" s="1" t="s">
        <v>1278</v>
      </c>
      <c r="G719">
        <v>4190</v>
      </c>
      <c r="H719">
        <v>300</v>
      </c>
      <c r="I719">
        <v>4190</v>
      </c>
      <c r="L719">
        <v>2394</v>
      </c>
      <c r="M719">
        <v>2664</v>
      </c>
      <c r="N719">
        <v>11.16274803648572</v>
      </c>
      <c r="O719" s="1"/>
      <c r="Q719" s="1"/>
      <c r="AC719" s="1"/>
    </row>
    <row r="720" spans="2:29" x14ac:dyDescent="0.25">
      <c r="B720" s="1" t="s">
        <v>1265</v>
      </c>
      <c r="C720">
        <v>719</v>
      </c>
      <c r="D720" s="1" t="s">
        <v>82</v>
      </c>
      <c r="E720" t="s">
        <v>134</v>
      </c>
      <c r="F720" s="1" t="s">
        <v>1278</v>
      </c>
      <c r="G720">
        <v>4727</v>
      </c>
      <c r="H720">
        <v>310</v>
      </c>
      <c r="I720">
        <v>5212</v>
      </c>
      <c r="L720">
        <v>2770</v>
      </c>
      <c r="M720">
        <v>3049</v>
      </c>
      <c r="N720">
        <v>15.889886000191614</v>
      </c>
      <c r="O720" s="1"/>
      <c r="Q720" s="1"/>
      <c r="AC720" s="1"/>
    </row>
    <row r="721" spans="2:30" x14ac:dyDescent="0.25">
      <c r="B721" s="1" t="s">
        <v>1229</v>
      </c>
      <c r="C721">
        <v>720</v>
      </c>
      <c r="D721" s="1" t="s">
        <v>82</v>
      </c>
      <c r="E721" t="s">
        <v>154</v>
      </c>
      <c r="F721" s="1" t="s">
        <v>1278</v>
      </c>
      <c r="G721">
        <v>4040</v>
      </c>
      <c r="H721">
        <v>67</v>
      </c>
      <c r="I721">
        <v>4040</v>
      </c>
      <c r="L721">
        <v>1160</v>
      </c>
      <c r="M721">
        <v>1222</v>
      </c>
      <c r="N721">
        <v>4.9368831072654382</v>
      </c>
      <c r="O721" s="1"/>
      <c r="Q721" s="1"/>
      <c r="AC721" s="1"/>
    </row>
    <row r="722" spans="2:30" x14ac:dyDescent="0.25">
      <c r="B722" s="1" t="s">
        <v>1238</v>
      </c>
      <c r="C722">
        <v>721</v>
      </c>
      <c r="D722" s="1" t="s">
        <v>82</v>
      </c>
      <c r="E722" t="s">
        <v>154</v>
      </c>
      <c r="F722" s="1" t="s">
        <v>1278</v>
      </c>
      <c r="G722">
        <v>4040</v>
      </c>
      <c r="H722">
        <v>77</v>
      </c>
      <c r="I722">
        <v>4114</v>
      </c>
      <c r="L722">
        <v>1085</v>
      </c>
      <c r="M722">
        <v>1400</v>
      </c>
      <c r="N722">
        <v>5.7587072731289011</v>
      </c>
      <c r="O722" s="1"/>
      <c r="Q722" s="1"/>
      <c r="AC722" s="1"/>
    </row>
    <row r="723" spans="2:30" x14ac:dyDescent="0.25">
      <c r="B723" s="1" t="s">
        <v>1228</v>
      </c>
      <c r="C723">
        <v>722</v>
      </c>
      <c r="D723" s="1" t="s">
        <v>82</v>
      </c>
      <c r="E723" t="s">
        <v>154</v>
      </c>
      <c r="F723" s="1" t="s">
        <v>1278</v>
      </c>
      <c r="G723">
        <v>4172</v>
      </c>
      <c r="H723">
        <v>67</v>
      </c>
      <c r="I723">
        <v>4172</v>
      </c>
      <c r="L723">
        <v>1160</v>
      </c>
      <c r="M723">
        <v>1222</v>
      </c>
      <c r="N723">
        <v>5.0981645626443131</v>
      </c>
      <c r="O723" s="1"/>
      <c r="Q723" s="1"/>
      <c r="AC723" s="1"/>
    </row>
    <row r="724" spans="2:30" x14ac:dyDescent="0.25">
      <c r="B724" s="1" t="s">
        <v>1244</v>
      </c>
      <c r="C724">
        <v>723</v>
      </c>
      <c r="D724" s="1" t="s">
        <v>82</v>
      </c>
      <c r="E724" t="s">
        <v>154</v>
      </c>
      <c r="F724" s="1" t="s">
        <v>1278</v>
      </c>
      <c r="G724">
        <v>4172</v>
      </c>
      <c r="H724">
        <v>81</v>
      </c>
      <c r="I724">
        <v>4246</v>
      </c>
      <c r="L724">
        <v>1509</v>
      </c>
      <c r="M724">
        <v>1796</v>
      </c>
      <c r="N724">
        <v>7.6273327055244735</v>
      </c>
      <c r="O724" s="1"/>
      <c r="Q724" s="1"/>
      <c r="AC724" s="1"/>
    </row>
    <row r="725" spans="2:30" x14ac:dyDescent="0.25">
      <c r="B725" s="1" t="s">
        <v>1222</v>
      </c>
      <c r="C725">
        <v>724</v>
      </c>
      <c r="D725" s="1" t="s">
        <v>82</v>
      </c>
      <c r="E725" t="s">
        <v>154</v>
      </c>
      <c r="F725" s="1" t="s">
        <v>1278</v>
      </c>
      <c r="G725">
        <v>4172</v>
      </c>
      <c r="H725">
        <v>67</v>
      </c>
      <c r="I725">
        <v>4172</v>
      </c>
      <c r="L725">
        <v>1160</v>
      </c>
      <c r="M725">
        <v>1222</v>
      </c>
      <c r="N725">
        <v>5.0981645624571623</v>
      </c>
      <c r="O725" s="1"/>
      <c r="Q725" s="1"/>
      <c r="AC725" s="1"/>
    </row>
    <row r="726" spans="2:30" x14ac:dyDescent="0.25">
      <c r="B726" s="1" t="s">
        <v>1235</v>
      </c>
      <c r="C726">
        <v>725</v>
      </c>
      <c r="D726" s="1" t="s">
        <v>82</v>
      </c>
      <c r="E726" t="s">
        <v>154</v>
      </c>
      <c r="F726" s="1" t="s">
        <v>1278</v>
      </c>
      <c r="G726">
        <v>4172</v>
      </c>
      <c r="H726">
        <v>77</v>
      </c>
      <c r="I726">
        <v>4246</v>
      </c>
      <c r="L726">
        <v>1085</v>
      </c>
      <c r="M726">
        <v>1399</v>
      </c>
      <c r="N726">
        <v>5.9384680575307822</v>
      </c>
      <c r="O726" s="1"/>
      <c r="Q726" s="1"/>
      <c r="AC726" s="1"/>
    </row>
    <row r="727" spans="2:30" x14ac:dyDescent="0.25">
      <c r="B727" s="1" t="s">
        <v>1221</v>
      </c>
      <c r="C727">
        <v>726</v>
      </c>
      <c r="D727" s="1" t="s">
        <v>82</v>
      </c>
      <c r="E727" t="s">
        <v>154</v>
      </c>
      <c r="F727" s="1" t="s">
        <v>1278</v>
      </c>
      <c r="G727">
        <v>4172</v>
      </c>
      <c r="H727">
        <v>67</v>
      </c>
      <c r="I727">
        <v>4172</v>
      </c>
      <c r="L727">
        <v>1160</v>
      </c>
      <c r="M727">
        <v>1222</v>
      </c>
      <c r="N727">
        <v>5.098164562644028</v>
      </c>
      <c r="O727" s="1"/>
      <c r="Q727" s="1"/>
      <c r="AC727" s="1"/>
    </row>
    <row r="728" spans="2:30" x14ac:dyDescent="0.25">
      <c r="B728" s="1" t="s">
        <v>1241</v>
      </c>
      <c r="C728">
        <v>727</v>
      </c>
      <c r="D728" s="1" t="s">
        <v>82</v>
      </c>
      <c r="E728" t="s">
        <v>154</v>
      </c>
      <c r="F728" s="1" t="s">
        <v>1278</v>
      </c>
      <c r="G728">
        <v>4172</v>
      </c>
      <c r="H728">
        <v>81</v>
      </c>
      <c r="I728">
        <v>4246</v>
      </c>
      <c r="L728">
        <v>1508</v>
      </c>
      <c r="M728">
        <v>1789</v>
      </c>
      <c r="N728">
        <v>7.597110812508256</v>
      </c>
      <c r="O728" s="1"/>
      <c r="Q728" s="1"/>
      <c r="AC728" s="1"/>
    </row>
    <row r="729" spans="2:30" x14ac:dyDescent="0.25">
      <c r="B729" s="1" t="s">
        <v>1227</v>
      </c>
      <c r="C729">
        <v>728</v>
      </c>
      <c r="D729" s="1" t="s">
        <v>82</v>
      </c>
      <c r="E729" t="s">
        <v>154</v>
      </c>
      <c r="F729" s="1" t="s">
        <v>1278</v>
      </c>
      <c r="G729">
        <v>4172</v>
      </c>
      <c r="H729">
        <v>67</v>
      </c>
      <c r="I729">
        <v>4172</v>
      </c>
      <c r="L729">
        <v>1160</v>
      </c>
      <c r="M729">
        <v>1222</v>
      </c>
      <c r="N729">
        <v>5.098165984079464</v>
      </c>
      <c r="O729" s="1"/>
      <c r="Q729" s="1"/>
      <c r="AC729" s="1"/>
    </row>
    <row r="730" spans="2:30" x14ac:dyDescent="0.25">
      <c r="B730" s="1" t="s">
        <v>1234</v>
      </c>
      <c r="C730">
        <v>729</v>
      </c>
      <c r="D730" s="1" t="s">
        <v>82</v>
      </c>
      <c r="E730" t="s">
        <v>154</v>
      </c>
      <c r="F730" s="1" t="s">
        <v>1278</v>
      </c>
      <c r="G730">
        <v>4172</v>
      </c>
      <c r="H730">
        <v>77</v>
      </c>
      <c r="I730">
        <v>4246</v>
      </c>
      <c r="L730">
        <v>1085</v>
      </c>
      <c r="M730">
        <v>1398</v>
      </c>
      <c r="N730">
        <v>5.9375455763289198</v>
      </c>
      <c r="O730" s="1"/>
      <c r="Q730" s="1"/>
      <c r="AC730" s="1"/>
    </row>
    <row r="731" spans="2:30" x14ac:dyDescent="0.25">
      <c r="B731" s="1" t="s">
        <v>1218</v>
      </c>
      <c r="C731">
        <v>730</v>
      </c>
      <c r="D731" s="1" t="s">
        <v>82</v>
      </c>
      <c r="E731" t="s">
        <v>154</v>
      </c>
      <c r="F731" s="1" t="s">
        <v>1278</v>
      </c>
      <c r="G731">
        <v>2357</v>
      </c>
      <c r="H731">
        <v>67</v>
      </c>
      <c r="I731">
        <v>2507</v>
      </c>
      <c r="L731">
        <v>1470</v>
      </c>
      <c r="M731">
        <v>1532</v>
      </c>
      <c r="N731">
        <v>3.8406289565285672</v>
      </c>
      <c r="O731" s="1"/>
      <c r="Q731" s="1"/>
      <c r="AC731" s="1"/>
    </row>
    <row r="732" spans="2:30" x14ac:dyDescent="0.25">
      <c r="B732" s="1" t="s">
        <v>1247</v>
      </c>
      <c r="C732">
        <v>731</v>
      </c>
      <c r="D732" s="1" t="s">
        <v>82</v>
      </c>
      <c r="E732" t="s">
        <v>154</v>
      </c>
      <c r="F732" s="1" t="s">
        <v>1278</v>
      </c>
      <c r="G732">
        <v>2451</v>
      </c>
      <c r="H732">
        <v>82</v>
      </c>
      <c r="I732">
        <v>2507</v>
      </c>
      <c r="L732">
        <v>1610</v>
      </c>
      <c r="M732">
        <v>1643</v>
      </c>
      <c r="N732">
        <v>4.1189270460209091</v>
      </c>
      <c r="O732" s="1"/>
      <c r="Q732" s="1"/>
      <c r="AC732" s="1"/>
    </row>
    <row r="733" spans="2:30" x14ac:dyDescent="0.25">
      <c r="B733" s="1" t="s">
        <v>1266</v>
      </c>
      <c r="C733">
        <v>732</v>
      </c>
      <c r="D733" s="1" t="s">
        <v>80</v>
      </c>
      <c r="E733" t="s">
        <v>128</v>
      </c>
      <c r="F733" s="1" t="s">
        <v>1305</v>
      </c>
      <c r="G733">
        <v>4180</v>
      </c>
      <c r="H733">
        <v>702</v>
      </c>
      <c r="I733">
        <v>4185</v>
      </c>
      <c r="L733">
        <v>1456</v>
      </c>
      <c r="M733">
        <v>1531</v>
      </c>
      <c r="N733">
        <v>6.4072847893589486</v>
      </c>
      <c r="O733" s="1"/>
      <c r="Q733" s="1"/>
      <c r="AC733" s="1"/>
    </row>
    <row r="734" spans="2:30" x14ac:dyDescent="0.25">
      <c r="B734" s="1" t="s">
        <v>1267</v>
      </c>
      <c r="C734">
        <v>733</v>
      </c>
      <c r="D734" s="1" t="s">
        <v>80</v>
      </c>
      <c r="E734" t="s">
        <v>128</v>
      </c>
      <c r="F734" s="1" t="s">
        <v>1305</v>
      </c>
      <c r="G734">
        <v>3696</v>
      </c>
      <c r="H734">
        <v>702</v>
      </c>
      <c r="I734">
        <v>3706</v>
      </c>
      <c r="L734">
        <v>1456</v>
      </c>
      <c r="M734">
        <v>1531</v>
      </c>
      <c r="N734">
        <v>5.6738158875450182</v>
      </c>
      <c r="O734" s="1"/>
      <c r="Q734" s="1"/>
      <c r="AC734" s="1"/>
    </row>
    <row r="735" spans="2:30" x14ac:dyDescent="0.25">
      <c r="B735" s="1" t="s">
        <v>1268</v>
      </c>
      <c r="C735">
        <v>734</v>
      </c>
      <c r="D735" s="1" t="s">
        <v>80</v>
      </c>
      <c r="E735" t="s">
        <v>128</v>
      </c>
      <c r="F735" s="1" t="s">
        <v>1305</v>
      </c>
      <c r="G735">
        <v>4246</v>
      </c>
      <c r="H735">
        <v>702</v>
      </c>
      <c r="I735">
        <v>4251</v>
      </c>
      <c r="L735">
        <v>1456</v>
      </c>
      <c r="M735">
        <v>1531</v>
      </c>
      <c r="N735">
        <v>6.5084897132667034</v>
      </c>
      <c r="O735" s="1"/>
      <c r="Q735" s="1"/>
      <c r="AC735" s="1"/>
    </row>
    <row r="736" spans="2:30" x14ac:dyDescent="0.25">
      <c r="B736" s="1" t="s">
        <v>1268</v>
      </c>
      <c r="C736">
        <v>735</v>
      </c>
      <c r="D736" s="1" t="s">
        <v>80</v>
      </c>
      <c r="E736" t="s">
        <v>128</v>
      </c>
      <c r="F736" s="1" t="s">
        <v>1305</v>
      </c>
      <c r="O736" s="1" t="s">
        <v>956</v>
      </c>
      <c r="P736" t="s">
        <v>108</v>
      </c>
      <c r="Q736" s="1" t="s">
        <v>244</v>
      </c>
      <c r="R736">
        <v>8</v>
      </c>
      <c r="S736">
        <v>50</v>
      </c>
      <c r="T736">
        <v>150</v>
      </c>
      <c r="U736">
        <v>108</v>
      </c>
      <c r="AA736">
        <v>1324.01112109</v>
      </c>
      <c r="AB736">
        <v>8526920.4442200009</v>
      </c>
      <c r="AC736" s="1" t="s">
        <v>245</v>
      </c>
      <c r="AD736" t="s">
        <v>246</v>
      </c>
    </row>
    <row r="737" spans="2:30" x14ac:dyDescent="0.25">
      <c r="B737" s="1" t="s">
        <v>1267</v>
      </c>
      <c r="C737">
        <v>736</v>
      </c>
      <c r="D737" s="1" t="s">
        <v>80</v>
      </c>
      <c r="E737" t="s">
        <v>128</v>
      </c>
      <c r="F737" s="1" t="s">
        <v>1305</v>
      </c>
      <c r="O737" s="1" t="s">
        <v>956</v>
      </c>
      <c r="P737" t="s">
        <v>108</v>
      </c>
      <c r="Q737" s="1" t="s">
        <v>244</v>
      </c>
      <c r="R737">
        <v>8</v>
      </c>
      <c r="S737">
        <v>50</v>
      </c>
      <c r="T737">
        <v>150</v>
      </c>
      <c r="U737">
        <v>108</v>
      </c>
      <c r="AA737">
        <v>1324.01112109</v>
      </c>
      <c r="AB737">
        <v>8526920.4442100003</v>
      </c>
      <c r="AC737" s="1" t="s">
        <v>245</v>
      </c>
      <c r="AD737" t="s">
        <v>246</v>
      </c>
    </row>
    <row r="738" spans="2:30" x14ac:dyDescent="0.25">
      <c r="B738" s="1" t="s">
        <v>1266</v>
      </c>
      <c r="C738">
        <v>737</v>
      </c>
      <c r="D738" s="1" t="s">
        <v>80</v>
      </c>
      <c r="E738" t="s">
        <v>128</v>
      </c>
      <c r="F738" s="1" t="s">
        <v>1305</v>
      </c>
      <c r="O738" s="1" t="s">
        <v>956</v>
      </c>
      <c r="P738" t="s">
        <v>108</v>
      </c>
      <c r="Q738" s="1" t="s">
        <v>244</v>
      </c>
      <c r="R738">
        <v>8</v>
      </c>
      <c r="S738">
        <v>50</v>
      </c>
      <c r="T738">
        <v>150</v>
      </c>
      <c r="U738">
        <v>108</v>
      </c>
      <c r="AA738">
        <v>1324.01112109</v>
      </c>
      <c r="AB738">
        <v>8526920.4442100003</v>
      </c>
      <c r="AC738" s="1" t="s">
        <v>245</v>
      </c>
      <c r="AD738" t="s">
        <v>246</v>
      </c>
    </row>
    <row r="739" spans="2:30" x14ac:dyDescent="0.25">
      <c r="B739" s="1" t="s">
        <v>1269</v>
      </c>
      <c r="C739">
        <v>738</v>
      </c>
      <c r="D739" s="1" t="s">
        <v>81</v>
      </c>
      <c r="E739" t="s">
        <v>128</v>
      </c>
      <c r="F739" s="1" t="s">
        <v>1306</v>
      </c>
      <c r="G739">
        <v>3427</v>
      </c>
      <c r="H739">
        <v>720</v>
      </c>
      <c r="I739">
        <v>3452</v>
      </c>
      <c r="L739">
        <v>2019</v>
      </c>
      <c r="M739">
        <v>2094</v>
      </c>
      <c r="N739">
        <v>7.2283843296638626</v>
      </c>
      <c r="O739" s="1"/>
      <c r="Q739" s="1"/>
      <c r="AC739" s="1"/>
    </row>
    <row r="740" spans="2:30" x14ac:dyDescent="0.25">
      <c r="B740" s="1" t="s">
        <v>1270</v>
      </c>
      <c r="C740">
        <v>739</v>
      </c>
      <c r="D740" s="1" t="s">
        <v>81</v>
      </c>
      <c r="E740" t="s">
        <v>128</v>
      </c>
      <c r="F740" s="1" t="s">
        <v>1306</v>
      </c>
      <c r="G740">
        <v>3427</v>
      </c>
      <c r="H740">
        <v>720</v>
      </c>
      <c r="I740">
        <v>3452</v>
      </c>
      <c r="L740">
        <v>2019</v>
      </c>
      <c r="M740">
        <v>2094</v>
      </c>
      <c r="N740">
        <v>7.2283977267563824</v>
      </c>
      <c r="O740" s="1"/>
      <c r="Q740" s="1"/>
      <c r="AC740" s="1"/>
    </row>
    <row r="741" spans="2:30" x14ac:dyDescent="0.25">
      <c r="B741" s="1" t="s">
        <v>1271</v>
      </c>
      <c r="C741">
        <v>740</v>
      </c>
      <c r="D741" s="1" t="s">
        <v>81</v>
      </c>
      <c r="E741" t="s">
        <v>128</v>
      </c>
      <c r="F741" s="1" t="s">
        <v>1306</v>
      </c>
      <c r="G741">
        <v>3306</v>
      </c>
      <c r="H741">
        <v>704</v>
      </c>
      <c r="I741">
        <v>3331</v>
      </c>
      <c r="L741">
        <v>1537</v>
      </c>
      <c r="M741">
        <v>1612</v>
      </c>
      <c r="N741">
        <v>5.369903240613537</v>
      </c>
      <c r="O741" s="1"/>
      <c r="Q741" s="1"/>
      <c r="AC741" s="1"/>
    </row>
    <row r="742" spans="2:30" x14ac:dyDescent="0.25">
      <c r="B742" s="1" t="s">
        <v>1272</v>
      </c>
      <c r="C742">
        <v>741</v>
      </c>
      <c r="D742" s="1" t="s">
        <v>81</v>
      </c>
      <c r="E742" t="s">
        <v>128</v>
      </c>
      <c r="F742" s="1" t="s">
        <v>1306</v>
      </c>
      <c r="G742">
        <v>3235</v>
      </c>
      <c r="H742">
        <v>704</v>
      </c>
      <c r="I742">
        <v>3260</v>
      </c>
      <c r="L742">
        <v>1537</v>
      </c>
      <c r="M742">
        <v>1612</v>
      </c>
      <c r="N742">
        <v>5.2550342468644633</v>
      </c>
      <c r="O742" s="1"/>
      <c r="Q742" s="1"/>
      <c r="AC742" s="1"/>
    </row>
    <row r="743" spans="2:30" x14ac:dyDescent="0.25">
      <c r="B743" s="1" t="s">
        <v>1272</v>
      </c>
      <c r="C743">
        <v>742</v>
      </c>
      <c r="D743" s="1" t="s">
        <v>81</v>
      </c>
      <c r="E743" t="s">
        <v>128</v>
      </c>
      <c r="F743" s="1" t="s">
        <v>1306</v>
      </c>
      <c r="O743" s="1" t="s">
        <v>341</v>
      </c>
      <c r="P743" t="s">
        <v>108</v>
      </c>
      <c r="Q743" s="1" t="s">
        <v>244</v>
      </c>
      <c r="R743">
        <v>7</v>
      </c>
      <c r="S743">
        <v>50</v>
      </c>
      <c r="T743">
        <v>152</v>
      </c>
      <c r="U743">
        <v>108</v>
      </c>
      <c r="AA743">
        <v>1405.0337945399999</v>
      </c>
      <c r="AB743">
        <v>9138162.9681700002</v>
      </c>
      <c r="AC743" s="1" t="s">
        <v>245</v>
      </c>
      <c r="AD743" t="s">
        <v>246</v>
      </c>
    </row>
    <row r="744" spans="2:30" x14ac:dyDescent="0.25">
      <c r="B744" s="1" t="s">
        <v>1271</v>
      </c>
      <c r="C744">
        <v>743</v>
      </c>
      <c r="D744" s="1" t="s">
        <v>81</v>
      </c>
      <c r="E744" t="s">
        <v>128</v>
      </c>
      <c r="F744" s="1" t="s">
        <v>1306</v>
      </c>
      <c r="O744" s="1" t="s">
        <v>487</v>
      </c>
      <c r="P744" t="s">
        <v>108</v>
      </c>
      <c r="Q744" s="1" t="s">
        <v>244</v>
      </c>
      <c r="R744">
        <v>7</v>
      </c>
      <c r="S744">
        <v>50</v>
      </c>
      <c r="T744">
        <v>152</v>
      </c>
      <c r="U744">
        <v>108</v>
      </c>
      <c r="AA744">
        <v>1405.1343591100001</v>
      </c>
      <c r="AB744">
        <v>9138928.0460100006</v>
      </c>
      <c r="AC744" s="1" t="s">
        <v>245</v>
      </c>
      <c r="AD744" t="s">
        <v>246</v>
      </c>
    </row>
    <row r="745" spans="2:30" x14ac:dyDescent="0.25">
      <c r="B745" s="1" t="s">
        <v>1270</v>
      </c>
      <c r="C745">
        <v>744</v>
      </c>
      <c r="D745" s="1" t="s">
        <v>81</v>
      </c>
      <c r="E745" t="s">
        <v>128</v>
      </c>
      <c r="F745" s="1" t="s">
        <v>1306</v>
      </c>
      <c r="O745" s="1" t="s">
        <v>346</v>
      </c>
      <c r="P745" t="s">
        <v>108</v>
      </c>
      <c r="Q745" s="1" t="s">
        <v>244</v>
      </c>
      <c r="R745">
        <v>5</v>
      </c>
      <c r="S745">
        <v>50</v>
      </c>
      <c r="T745">
        <v>167</v>
      </c>
      <c r="U745">
        <v>108</v>
      </c>
      <c r="AA745">
        <v>1887.0232507799999</v>
      </c>
      <c r="AB745">
        <v>12987536.342700001</v>
      </c>
      <c r="AC745" s="1" t="s">
        <v>245</v>
      </c>
      <c r="AD745" t="s">
        <v>246</v>
      </c>
    </row>
    <row r="746" spans="2:30" x14ac:dyDescent="0.25">
      <c r="B746" s="1" t="s">
        <v>1269</v>
      </c>
      <c r="C746">
        <v>745</v>
      </c>
      <c r="D746" s="1" t="s">
        <v>81</v>
      </c>
      <c r="E746" t="s">
        <v>128</v>
      </c>
      <c r="F746" s="1" t="s">
        <v>1306</v>
      </c>
      <c r="O746" s="1" t="s">
        <v>346</v>
      </c>
      <c r="P746" t="s">
        <v>108</v>
      </c>
      <c r="Q746" s="1" t="s">
        <v>244</v>
      </c>
      <c r="R746">
        <v>5</v>
      </c>
      <c r="S746">
        <v>50</v>
      </c>
      <c r="T746">
        <v>167</v>
      </c>
      <c r="U746">
        <v>108</v>
      </c>
      <c r="AA746">
        <v>1887.0232507799999</v>
      </c>
      <c r="AB746">
        <v>12987536.342800001</v>
      </c>
      <c r="AC746" s="1" t="s">
        <v>245</v>
      </c>
      <c r="AD746" t="s">
        <v>246</v>
      </c>
    </row>
    <row r="747" spans="2:30" x14ac:dyDescent="0.25">
      <c r="B747" s="1" t="s">
        <v>1270</v>
      </c>
      <c r="C747">
        <v>746</v>
      </c>
      <c r="D747" s="1" t="s">
        <v>81</v>
      </c>
      <c r="E747" t="s">
        <v>128</v>
      </c>
      <c r="F747" s="1" t="s">
        <v>1306</v>
      </c>
      <c r="O747" s="1" t="s">
        <v>449</v>
      </c>
      <c r="P747" t="s">
        <v>108</v>
      </c>
      <c r="Q747" s="1" t="s">
        <v>244</v>
      </c>
      <c r="R747">
        <v>2</v>
      </c>
      <c r="S747">
        <v>50</v>
      </c>
      <c r="T747">
        <v>167</v>
      </c>
      <c r="U747">
        <v>108</v>
      </c>
      <c r="AA747">
        <v>1887.0244029099999</v>
      </c>
      <c r="AB747">
        <v>12987545.9804</v>
      </c>
      <c r="AC747" s="1" t="s">
        <v>245</v>
      </c>
      <c r="AD747" t="s">
        <v>246</v>
      </c>
    </row>
    <row r="748" spans="2:30" x14ac:dyDescent="0.25">
      <c r="B748" s="1" t="s">
        <v>1269</v>
      </c>
      <c r="C748">
        <v>747</v>
      </c>
      <c r="D748" s="1" t="s">
        <v>81</v>
      </c>
      <c r="E748" t="s">
        <v>128</v>
      </c>
      <c r="F748" s="1" t="s">
        <v>1306</v>
      </c>
      <c r="O748" s="1" t="s">
        <v>449</v>
      </c>
      <c r="P748" t="s">
        <v>108</v>
      </c>
      <c r="Q748" s="1" t="s">
        <v>244</v>
      </c>
      <c r="R748">
        <v>2</v>
      </c>
      <c r="S748">
        <v>50</v>
      </c>
      <c r="T748">
        <v>167</v>
      </c>
      <c r="U748">
        <v>108</v>
      </c>
      <c r="AA748">
        <v>1887.0244029099999</v>
      </c>
      <c r="AB748">
        <v>12987545.9805</v>
      </c>
      <c r="AC748" s="1" t="s">
        <v>245</v>
      </c>
      <c r="AD748" t="s">
        <v>246</v>
      </c>
    </row>
    <row r="749" spans="2:30" x14ac:dyDescent="0.25">
      <c r="B749" s="1" t="s">
        <v>1273</v>
      </c>
      <c r="C749">
        <v>748</v>
      </c>
      <c r="D749" s="1" t="s">
        <v>82</v>
      </c>
      <c r="E749" t="s">
        <v>128</v>
      </c>
      <c r="F749" s="1" t="s">
        <v>1307</v>
      </c>
      <c r="G749">
        <v>4207</v>
      </c>
      <c r="H749">
        <v>720</v>
      </c>
      <c r="I749">
        <v>4212</v>
      </c>
      <c r="L749">
        <v>2068</v>
      </c>
      <c r="M749">
        <v>2143</v>
      </c>
      <c r="N749">
        <v>9.0261440489029496</v>
      </c>
      <c r="O749" s="1"/>
      <c r="Q749" s="1"/>
      <c r="AC749" s="1"/>
    </row>
    <row r="750" spans="2:30" x14ac:dyDescent="0.25">
      <c r="B750" s="1" t="s">
        <v>1274</v>
      </c>
      <c r="C750">
        <v>749</v>
      </c>
      <c r="D750" s="1" t="s">
        <v>82</v>
      </c>
      <c r="E750" t="s">
        <v>128</v>
      </c>
      <c r="F750" s="1" t="s">
        <v>1307</v>
      </c>
      <c r="G750">
        <v>4680</v>
      </c>
      <c r="H750">
        <v>720</v>
      </c>
      <c r="I750">
        <v>4685</v>
      </c>
      <c r="L750">
        <v>2068</v>
      </c>
      <c r="M750">
        <v>2143</v>
      </c>
      <c r="N750">
        <v>10.039755996381118</v>
      </c>
      <c r="O750" s="1"/>
      <c r="Q750" s="1"/>
      <c r="AC750" s="1"/>
    </row>
    <row r="751" spans="2:30" x14ac:dyDescent="0.25">
      <c r="B751" s="1" t="s">
        <v>1275</v>
      </c>
      <c r="C751">
        <v>750</v>
      </c>
      <c r="D751" s="1" t="s">
        <v>82</v>
      </c>
      <c r="E751" t="s">
        <v>128</v>
      </c>
      <c r="F751" s="1" t="s">
        <v>1307</v>
      </c>
      <c r="G751">
        <v>4650</v>
      </c>
      <c r="H751">
        <v>720</v>
      </c>
      <c r="I751">
        <v>4655</v>
      </c>
      <c r="L751">
        <v>2068</v>
      </c>
      <c r="M751">
        <v>2143</v>
      </c>
      <c r="N751">
        <v>9.9756136402576416</v>
      </c>
      <c r="O751" s="1"/>
      <c r="Q751" s="1"/>
      <c r="AC751" s="1"/>
    </row>
    <row r="752" spans="2:30" x14ac:dyDescent="0.25">
      <c r="B752" s="1" t="s">
        <v>1276</v>
      </c>
      <c r="C752">
        <v>751</v>
      </c>
      <c r="D752" s="1" t="s">
        <v>82</v>
      </c>
      <c r="E752" t="s">
        <v>128</v>
      </c>
      <c r="F752" s="1" t="s">
        <v>1307</v>
      </c>
      <c r="G752">
        <v>4650</v>
      </c>
      <c r="H752">
        <v>720</v>
      </c>
      <c r="I752">
        <v>4655</v>
      </c>
      <c r="L752">
        <v>2068</v>
      </c>
      <c r="M752">
        <v>2143</v>
      </c>
      <c r="N752">
        <v>9.9757090124289949</v>
      </c>
      <c r="O752" s="1"/>
      <c r="Q752" s="1"/>
      <c r="AC752" s="1"/>
    </row>
    <row r="753" spans="2:30" x14ac:dyDescent="0.25">
      <c r="B753" s="1" t="s">
        <v>1277</v>
      </c>
      <c r="C753">
        <v>752</v>
      </c>
      <c r="D753" s="1" t="s">
        <v>82</v>
      </c>
      <c r="E753" t="s">
        <v>128</v>
      </c>
      <c r="F753" s="1" t="s">
        <v>1307</v>
      </c>
      <c r="G753">
        <v>4635</v>
      </c>
      <c r="H753">
        <v>720</v>
      </c>
      <c r="I753">
        <v>4635</v>
      </c>
      <c r="L753">
        <v>2068</v>
      </c>
      <c r="M753">
        <v>2143</v>
      </c>
      <c r="N753">
        <v>9.9328417488146599</v>
      </c>
      <c r="O753" s="1"/>
      <c r="Q753" s="1"/>
      <c r="AC753" s="1"/>
    </row>
    <row r="754" spans="2:30" x14ac:dyDescent="0.25">
      <c r="B754" s="1" t="s">
        <v>1273</v>
      </c>
      <c r="C754">
        <v>753</v>
      </c>
      <c r="D754" s="1" t="s">
        <v>82</v>
      </c>
      <c r="E754" t="s">
        <v>128</v>
      </c>
      <c r="F754" s="1" t="s">
        <v>1307</v>
      </c>
      <c r="O754" s="1" t="s">
        <v>380</v>
      </c>
      <c r="P754" t="s">
        <v>108</v>
      </c>
      <c r="Q754" s="1" t="s">
        <v>244</v>
      </c>
      <c r="R754">
        <v>8</v>
      </c>
      <c r="S754">
        <v>50</v>
      </c>
      <c r="T754">
        <v>168</v>
      </c>
      <c r="U754">
        <v>108</v>
      </c>
      <c r="AA754">
        <v>1936.12036657</v>
      </c>
      <c r="AB754">
        <v>13359230.5295</v>
      </c>
      <c r="AC754" s="1" t="s">
        <v>245</v>
      </c>
      <c r="AD754" t="s">
        <v>246</v>
      </c>
    </row>
    <row r="755" spans="2:30" x14ac:dyDescent="0.25">
      <c r="B755" s="1" t="s">
        <v>1274</v>
      </c>
      <c r="C755">
        <v>754</v>
      </c>
      <c r="D755" s="1" t="s">
        <v>82</v>
      </c>
      <c r="E755" t="s">
        <v>128</v>
      </c>
      <c r="F755" s="1" t="s">
        <v>1307</v>
      </c>
      <c r="O755" s="1" t="s">
        <v>380</v>
      </c>
      <c r="P755" t="s">
        <v>108</v>
      </c>
      <c r="Q755" s="1" t="s">
        <v>244</v>
      </c>
      <c r="R755">
        <v>8</v>
      </c>
      <c r="S755">
        <v>50</v>
      </c>
      <c r="T755">
        <v>168</v>
      </c>
      <c r="U755">
        <v>108</v>
      </c>
      <c r="AA755">
        <v>1936.12036657</v>
      </c>
      <c r="AB755">
        <v>13359230.5294</v>
      </c>
      <c r="AC755" s="1" t="s">
        <v>245</v>
      </c>
      <c r="AD755" t="s">
        <v>246</v>
      </c>
    </row>
    <row r="756" spans="2:30" x14ac:dyDescent="0.25">
      <c r="B756" s="1" t="s">
        <v>1275</v>
      </c>
      <c r="C756">
        <v>755</v>
      </c>
      <c r="D756" s="1" t="s">
        <v>82</v>
      </c>
      <c r="E756" t="s">
        <v>128</v>
      </c>
      <c r="F756" s="1" t="s">
        <v>1307</v>
      </c>
      <c r="O756" s="1" t="s">
        <v>380</v>
      </c>
      <c r="P756" t="s">
        <v>108</v>
      </c>
      <c r="Q756" s="1" t="s">
        <v>244</v>
      </c>
      <c r="R756">
        <v>8</v>
      </c>
      <c r="S756">
        <v>50</v>
      </c>
      <c r="T756">
        <v>168</v>
      </c>
      <c r="U756">
        <v>108</v>
      </c>
      <c r="AA756">
        <v>1936.12036657</v>
      </c>
      <c r="AB756">
        <v>13359230.5294</v>
      </c>
      <c r="AC756" s="1" t="s">
        <v>245</v>
      </c>
      <c r="AD756" t="s">
        <v>246</v>
      </c>
    </row>
    <row r="757" spans="2:30" x14ac:dyDescent="0.25">
      <c r="B757" s="1" t="s">
        <v>1276</v>
      </c>
      <c r="C757">
        <v>756</v>
      </c>
      <c r="D757" s="1" t="s">
        <v>82</v>
      </c>
      <c r="E757" t="s">
        <v>128</v>
      </c>
      <c r="F757" s="1" t="s">
        <v>1307</v>
      </c>
      <c r="O757" s="1" t="s">
        <v>380</v>
      </c>
      <c r="P757" t="s">
        <v>108</v>
      </c>
      <c r="Q757" s="1" t="s">
        <v>244</v>
      </c>
      <c r="R757">
        <v>8</v>
      </c>
      <c r="S757">
        <v>50</v>
      </c>
      <c r="T757">
        <v>168</v>
      </c>
      <c r="U757">
        <v>108</v>
      </c>
      <c r="AA757">
        <v>1936.12036657</v>
      </c>
      <c r="AB757">
        <v>13359230.5294</v>
      </c>
      <c r="AC757" s="1" t="s">
        <v>245</v>
      </c>
      <c r="AD757" t="s">
        <v>246</v>
      </c>
    </row>
    <row r="758" spans="2:30" x14ac:dyDescent="0.25">
      <c r="B758" s="1" t="s">
        <v>1277</v>
      </c>
      <c r="C758">
        <v>757</v>
      </c>
      <c r="D758" s="1" t="s">
        <v>82</v>
      </c>
      <c r="E758" t="s">
        <v>128</v>
      </c>
      <c r="F758" s="1" t="s">
        <v>1307</v>
      </c>
      <c r="O758" s="1" t="s">
        <v>380</v>
      </c>
      <c r="P758" t="s">
        <v>108</v>
      </c>
      <c r="Q758" s="1" t="s">
        <v>244</v>
      </c>
      <c r="R758">
        <v>8</v>
      </c>
      <c r="S758">
        <v>50</v>
      </c>
      <c r="T758">
        <v>168</v>
      </c>
      <c r="U758">
        <v>108</v>
      </c>
      <c r="AA758">
        <v>1936.12036657</v>
      </c>
      <c r="AB758">
        <v>13359230.5294</v>
      </c>
      <c r="AC758" s="1" t="s">
        <v>245</v>
      </c>
      <c r="AD758" t="s">
        <v>246</v>
      </c>
    </row>
    <row r="759" spans="2:30" x14ac:dyDescent="0.25">
      <c r="B759" s="1" t="s">
        <v>1308</v>
      </c>
      <c r="C759">
        <v>758</v>
      </c>
      <c r="D759" s="1" t="s">
        <v>80</v>
      </c>
      <c r="E759" t="s">
        <v>134</v>
      </c>
      <c r="F759" s="1" t="s">
        <v>314</v>
      </c>
      <c r="G759">
        <v>2279</v>
      </c>
      <c r="H759">
        <v>310</v>
      </c>
      <c r="I759">
        <v>2279</v>
      </c>
      <c r="L759">
        <v>2114</v>
      </c>
      <c r="M759">
        <v>2329</v>
      </c>
      <c r="N759">
        <v>5.3063787396865649</v>
      </c>
      <c r="O759" s="1"/>
      <c r="Q759" s="1"/>
      <c r="AC759" s="1"/>
    </row>
    <row r="760" spans="2:30" x14ac:dyDescent="0.25">
      <c r="B760" s="1" t="s">
        <v>1309</v>
      </c>
      <c r="C760">
        <v>759</v>
      </c>
      <c r="D760" s="1" t="s">
        <v>80</v>
      </c>
      <c r="E760" t="s">
        <v>134</v>
      </c>
      <c r="F760" s="1" t="s">
        <v>314</v>
      </c>
      <c r="G760">
        <v>4052</v>
      </c>
      <c r="H760">
        <v>306</v>
      </c>
      <c r="I760">
        <v>4243</v>
      </c>
      <c r="L760">
        <v>1246</v>
      </c>
      <c r="M760">
        <v>2329</v>
      </c>
      <c r="N760">
        <v>9.8803010642086679</v>
      </c>
      <c r="O760" s="1"/>
      <c r="Q760" s="1"/>
      <c r="AC760" s="1"/>
    </row>
    <row r="761" spans="2:30" x14ac:dyDescent="0.25">
      <c r="B761" s="1" t="s">
        <v>1310</v>
      </c>
      <c r="C761">
        <v>760</v>
      </c>
      <c r="D761" s="1" t="s">
        <v>80</v>
      </c>
      <c r="E761" t="s">
        <v>134</v>
      </c>
      <c r="F761" s="1" t="s">
        <v>314</v>
      </c>
      <c r="G761">
        <v>4300</v>
      </c>
      <c r="H761">
        <v>306</v>
      </c>
      <c r="I761">
        <v>4824</v>
      </c>
      <c r="L761">
        <v>2696</v>
      </c>
      <c r="M761">
        <v>2934</v>
      </c>
      <c r="N761">
        <v>14.15266772234544</v>
      </c>
      <c r="O761" s="1"/>
      <c r="Q761" s="1"/>
      <c r="AC761" s="1"/>
    </row>
    <row r="762" spans="2:30" x14ac:dyDescent="0.25">
      <c r="B762" s="1" t="s">
        <v>1311</v>
      </c>
      <c r="C762">
        <v>761</v>
      </c>
      <c r="D762" s="1" t="s">
        <v>80</v>
      </c>
      <c r="E762" t="s">
        <v>134</v>
      </c>
      <c r="F762" s="1" t="s">
        <v>314</v>
      </c>
      <c r="G762">
        <v>3801</v>
      </c>
      <c r="H762">
        <v>306</v>
      </c>
      <c r="I762">
        <v>3801</v>
      </c>
      <c r="L762">
        <v>1246</v>
      </c>
      <c r="M762">
        <v>2934</v>
      </c>
      <c r="N762">
        <v>11.151411112013292</v>
      </c>
      <c r="O762" s="1"/>
      <c r="Q762" s="1"/>
      <c r="AC762" s="1"/>
    </row>
    <row r="763" spans="2:30" x14ac:dyDescent="0.25">
      <c r="B763" s="1" t="s">
        <v>1312</v>
      </c>
      <c r="C763">
        <v>762</v>
      </c>
      <c r="D763" s="1" t="s">
        <v>80</v>
      </c>
      <c r="E763" t="s">
        <v>134</v>
      </c>
      <c r="F763" s="1" t="s">
        <v>314</v>
      </c>
      <c r="G763">
        <v>4300</v>
      </c>
      <c r="H763">
        <v>306</v>
      </c>
      <c r="I763">
        <v>4950</v>
      </c>
      <c r="L763">
        <v>2696</v>
      </c>
      <c r="M763">
        <v>2934</v>
      </c>
      <c r="N763">
        <v>14.522402888092294</v>
      </c>
      <c r="O763" s="1"/>
      <c r="Q763" s="1"/>
      <c r="AC763" s="1"/>
    </row>
    <row r="764" spans="2:30" x14ac:dyDescent="0.25">
      <c r="B764" s="1" t="s">
        <v>1313</v>
      </c>
      <c r="C764">
        <v>763</v>
      </c>
      <c r="D764" s="1" t="s">
        <v>80</v>
      </c>
      <c r="E764" t="s">
        <v>134</v>
      </c>
      <c r="F764" s="1" t="s">
        <v>314</v>
      </c>
      <c r="G764">
        <v>3801</v>
      </c>
      <c r="H764">
        <v>301</v>
      </c>
      <c r="I764">
        <v>3801</v>
      </c>
      <c r="L764">
        <v>1246</v>
      </c>
      <c r="M764">
        <v>1484</v>
      </c>
      <c r="N764">
        <v>5.6399586695630974</v>
      </c>
      <c r="O764" s="1"/>
      <c r="Q764" s="1"/>
      <c r="AC764" s="1"/>
    </row>
    <row r="765" spans="2:30" x14ac:dyDescent="0.25">
      <c r="B765" s="1" t="s">
        <v>1314</v>
      </c>
      <c r="C765">
        <v>764</v>
      </c>
      <c r="D765" s="1" t="s">
        <v>80</v>
      </c>
      <c r="E765" t="s">
        <v>134</v>
      </c>
      <c r="F765" s="1" t="s">
        <v>314</v>
      </c>
      <c r="G765">
        <v>4310</v>
      </c>
      <c r="H765">
        <v>301</v>
      </c>
      <c r="I765">
        <v>4847</v>
      </c>
      <c r="L765">
        <v>2446</v>
      </c>
      <c r="M765">
        <v>2684</v>
      </c>
      <c r="N765">
        <v>13.008435679599842</v>
      </c>
      <c r="O765" s="1"/>
      <c r="Q765" s="1"/>
      <c r="AC765" s="1"/>
    </row>
    <row r="766" spans="2:30" x14ac:dyDescent="0.25">
      <c r="B766" s="1" t="s">
        <v>1315</v>
      </c>
      <c r="C766">
        <v>765</v>
      </c>
      <c r="D766" s="1" t="s">
        <v>80</v>
      </c>
      <c r="E766" t="s">
        <v>154</v>
      </c>
      <c r="F766" s="1" t="s">
        <v>314</v>
      </c>
      <c r="G766">
        <v>2177</v>
      </c>
      <c r="H766">
        <v>89</v>
      </c>
      <c r="I766">
        <v>2266</v>
      </c>
      <c r="L766">
        <v>2373</v>
      </c>
      <c r="M766">
        <v>2383</v>
      </c>
      <c r="N766">
        <v>5.4001635046641185</v>
      </c>
      <c r="O766" s="1"/>
      <c r="Q766" s="1"/>
      <c r="AC766" s="1"/>
    </row>
    <row r="767" spans="2:30" x14ac:dyDescent="0.25">
      <c r="B767" s="1" t="s">
        <v>1316</v>
      </c>
      <c r="C767">
        <v>766</v>
      </c>
      <c r="D767" s="1" t="s">
        <v>80</v>
      </c>
      <c r="E767" t="s">
        <v>154</v>
      </c>
      <c r="F767" s="1" t="s">
        <v>314</v>
      </c>
      <c r="G767">
        <v>3929</v>
      </c>
      <c r="H767">
        <v>68</v>
      </c>
      <c r="I767">
        <v>4003</v>
      </c>
      <c r="L767">
        <v>1470</v>
      </c>
      <c r="M767">
        <v>1482</v>
      </c>
      <c r="N767">
        <v>5.9343071339227036</v>
      </c>
      <c r="O767" s="1"/>
      <c r="Q767" s="1"/>
      <c r="AC767" s="1"/>
    </row>
    <row r="768" spans="2:30" x14ac:dyDescent="0.25">
      <c r="B768" s="1" t="s">
        <v>1317</v>
      </c>
      <c r="C768">
        <v>767</v>
      </c>
      <c r="D768" s="1" t="s">
        <v>80</v>
      </c>
      <c r="E768" t="s">
        <v>154</v>
      </c>
      <c r="F768" s="1" t="s">
        <v>314</v>
      </c>
      <c r="G768">
        <v>3959</v>
      </c>
      <c r="H768">
        <v>67</v>
      </c>
      <c r="I768">
        <v>4033</v>
      </c>
      <c r="L768">
        <v>1337</v>
      </c>
      <c r="M768">
        <v>1337</v>
      </c>
      <c r="N768">
        <v>5.391081536294597</v>
      </c>
      <c r="O768" s="1"/>
      <c r="Q768" s="1"/>
      <c r="AC768" s="1"/>
    </row>
    <row r="769" spans="2:29" x14ac:dyDescent="0.25">
      <c r="B769" s="1" t="s">
        <v>1318</v>
      </c>
      <c r="C769">
        <v>768</v>
      </c>
      <c r="D769" s="1" t="s">
        <v>80</v>
      </c>
      <c r="E769" t="s">
        <v>154</v>
      </c>
      <c r="F769" s="1" t="s">
        <v>314</v>
      </c>
      <c r="G769">
        <v>4291</v>
      </c>
      <c r="H769">
        <v>83</v>
      </c>
      <c r="I769">
        <v>4347</v>
      </c>
      <c r="L769">
        <v>1580</v>
      </c>
      <c r="M769">
        <v>1649</v>
      </c>
      <c r="N769">
        <v>7.1685079749788407</v>
      </c>
      <c r="O769" s="1"/>
      <c r="Q769" s="1"/>
      <c r="AC769" s="1"/>
    </row>
    <row r="770" spans="2:29" x14ac:dyDescent="0.25">
      <c r="B770" s="1" t="s">
        <v>1319</v>
      </c>
      <c r="C770">
        <v>769</v>
      </c>
      <c r="D770" s="1" t="s">
        <v>80</v>
      </c>
      <c r="E770" t="s">
        <v>154</v>
      </c>
      <c r="F770" s="1" t="s">
        <v>314</v>
      </c>
      <c r="G770">
        <v>3678</v>
      </c>
      <c r="H770">
        <v>68</v>
      </c>
      <c r="I770">
        <v>3752</v>
      </c>
      <c r="L770">
        <v>1471</v>
      </c>
      <c r="M770">
        <v>1481</v>
      </c>
      <c r="N770">
        <v>5.556005810648954</v>
      </c>
      <c r="O770" s="1"/>
      <c r="Q770" s="1"/>
      <c r="AC770" s="1"/>
    </row>
    <row r="771" spans="2:29" x14ac:dyDescent="0.25">
      <c r="B771" s="1" t="s">
        <v>1320</v>
      </c>
      <c r="C771">
        <v>770</v>
      </c>
      <c r="D771" s="1" t="s">
        <v>80</v>
      </c>
      <c r="E771" t="s">
        <v>154</v>
      </c>
      <c r="F771" s="1" t="s">
        <v>314</v>
      </c>
      <c r="G771">
        <v>3959</v>
      </c>
      <c r="H771">
        <v>67</v>
      </c>
      <c r="I771">
        <v>4033</v>
      </c>
      <c r="L771">
        <v>1375</v>
      </c>
      <c r="M771">
        <v>1375</v>
      </c>
      <c r="N771">
        <v>5.5443521028888076</v>
      </c>
      <c r="O771" s="1"/>
      <c r="Q771" s="1"/>
      <c r="AC771" s="1"/>
    </row>
    <row r="772" spans="2:29" x14ac:dyDescent="0.25">
      <c r="B772" s="1" t="s">
        <v>1321</v>
      </c>
      <c r="C772">
        <v>771</v>
      </c>
      <c r="D772" s="1" t="s">
        <v>80</v>
      </c>
      <c r="E772" t="s">
        <v>154</v>
      </c>
      <c r="F772" s="1" t="s">
        <v>314</v>
      </c>
      <c r="G772">
        <v>4303</v>
      </c>
      <c r="H772">
        <v>83</v>
      </c>
      <c r="I772">
        <v>4359</v>
      </c>
      <c r="L772">
        <v>1542</v>
      </c>
      <c r="M772">
        <v>1614</v>
      </c>
      <c r="N772">
        <v>7.0346290443482342</v>
      </c>
      <c r="O772" s="1"/>
      <c r="Q772" s="1"/>
      <c r="AC772" s="1"/>
    </row>
    <row r="773" spans="2:29" x14ac:dyDescent="0.25">
      <c r="B773" s="1" t="s">
        <v>1322</v>
      </c>
      <c r="C773">
        <v>772</v>
      </c>
      <c r="D773" s="1" t="s">
        <v>80</v>
      </c>
      <c r="E773" t="s">
        <v>154</v>
      </c>
      <c r="F773" s="1" t="s">
        <v>314</v>
      </c>
      <c r="G773">
        <v>3687</v>
      </c>
      <c r="H773">
        <v>73</v>
      </c>
      <c r="I773">
        <v>3747</v>
      </c>
      <c r="L773">
        <v>1471</v>
      </c>
      <c r="M773">
        <v>1481</v>
      </c>
      <c r="N773">
        <v>5.5491574798746246</v>
      </c>
      <c r="O773" s="1"/>
      <c r="Q773" s="1"/>
      <c r="AC773" s="1"/>
    </row>
    <row r="774" spans="2:29" x14ac:dyDescent="0.25">
      <c r="B774" s="1" t="s">
        <v>1323</v>
      </c>
      <c r="C774">
        <v>773</v>
      </c>
      <c r="D774" s="1" t="s">
        <v>80</v>
      </c>
      <c r="E774" t="s">
        <v>154</v>
      </c>
      <c r="F774" s="1" t="s">
        <v>314</v>
      </c>
      <c r="G774">
        <v>4127</v>
      </c>
      <c r="H774">
        <v>73</v>
      </c>
      <c r="I774">
        <v>4201</v>
      </c>
      <c r="L774">
        <v>1419</v>
      </c>
      <c r="M774">
        <v>1419</v>
      </c>
      <c r="N774">
        <v>5.9599925323719392</v>
      </c>
      <c r="O774" s="1"/>
      <c r="Q774" s="1"/>
      <c r="AC774" s="1"/>
    </row>
    <row r="775" spans="2:29" x14ac:dyDescent="0.25">
      <c r="B775" s="1" t="s">
        <v>1324</v>
      </c>
      <c r="C775">
        <v>774</v>
      </c>
      <c r="D775" s="1" t="s">
        <v>80</v>
      </c>
      <c r="E775" t="s">
        <v>154</v>
      </c>
      <c r="F775" s="1" t="s">
        <v>314</v>
      </c>
      <c r="G775">
        <v>4244</v>
      </c>
      <c r="H775">
        <v>86</v>
      </c>
      <c r="I775">
        <v>4374</v>
      </c>
      <c r="L775">
        <v>1248</v>
      </c>
      <c r="M775">
        <v>1775</v>
      </c>
      <c r="N775">
        <v>7.7638775451279667</v>
      </c>
      <c r="O775" s="1"/>
      <c r="Q775" s="1"/>
      <c r="AC775" s="1"/>
    </row>
    <row r="776" spans="2:29" x14ac:dyDescent="0.25">
      <c r="B776" s="1" t="s">
        <v>1325</v>
      </c>
      <c r="C776">
        <v>775</v>
      </c>
      <c r="D776" s="1" t="s">
        <v>80</v>
      </c>
      <c r="E776" t="s">
        <v>134</v>
      </c>
      <c r="F776" s="1" t="s">
        <v>318</v>
      </c>
      <c r="G776">
        <v>2279</v>
      </c>
      <c r="H776">
        <v>310</v>
      </c>
      <c r="I776">
        <v>2279</v>
      </c>
      <c r="L776">
        <v>2114</v>
      </c>
      <c r="M776">
        <v>2329</v>
      </c>
      <c r="N776">
        <v>5.3063809385571492</v>
      </c>
      <c r="O776" s="1"/>
      <c r="Q776" s="1"/>
      <c r="AC776" s="1"/>
    </row>
    <row r="777" spans="2:29" x14ac:dyDescent="0.25">
      <c r="B777" s="1" t="s">
        <v>1326</v>
      </c>
      <c r="C777">
        <v>776</v>
      </c>
      <c r="D777" s="1" t="s">
        <v>80</v>
      </c>
      <c r="E777" t="s">
        <v>134</v>
      </c>
      <c r="F777" s="1" t="s">
        <v>318</v>
      </c>
      <c r="G777">
        <v>4052</v>
      </c>
      <c r="H777">
        <v>306</v>
      </c>
      <c r="I777">
        <v>4243</v>
      </c>
      <c r="L777">
        <v>1246</v>
      </c>
      <c r="M777">
        <v>2329</v>
      </c>
      <c r="N777">
        <v>9.8803010642086679</v>
      </c>
      <c r="O777" s="1"/>
      <c r="Q777" s="1"/>
      <c r="AC777" s="1"/>
    </row>
    <row r="778" spans="2:29" x14ac:dyDescent="0.25">
      <c r="B778" s="1" t="s">
        <v>1327</v>
      </c>
      <c r="C778">
        <v>777</v>
      </c>
      <c r="D778" s="1" t="s">
        <v>80</v>
      </c>
      <c r="E778" t="s">
        <v>134</v>
      </c>
      <c r="F778" s="1" t="s">
        <v>318</v>
      </c>
      <c r="G778">
        <v>4300</v>
      </c>
      <c r="H778">
        <v>306</v>
      </c>
      <c r="I778">
        <v>4824</v>
      </c>
      <c r="L778">
        <v>2696</v>
      </c>
      <c r="M778">
        <v>2934</v>
      </c>
      <c r="N778">
        <v>14.15266772234544</v>
      </c>
      <c r="O778" s="1"/>
      <c r="Q778" s="1"/>
      <c r="AC778" s="1"/>
    </row>
    <row r="779" spans="2:29" x14ac:dyDescent="0.25">
      <c r="B779" s="1" t="s">
        <v>1328</v>
      </c>
      <c r="C779">
        <v>778</v>
      </c>
      <c r="D779" s="1" t="s">
        <v>80</v>
      </c>
      <c r="E779" t="s">
        <v>134</v>
      </c>
      <c r="F779" s="1" t="s">
        <v>318</v>
      </c>
      <c r="G779">
        <v>3801</v>
      </c>
      <c r="H779">
        <v>306</v>
      </c>
      <c r="I779">
        <v>3801</v>
      </c>
      <c r="L779">
        <v>1246</v>
      </c>
      <c r="M779">
        <v>2934</v>
      </c>
      <c r="N779">
        <v>11.151411112054276</v>
      </c>
      <c r="O779" s="1"/>
      <c r="Q779" s="1"/>
      <c r="AC779" s="1"/>
    </row>
    <row r="780" spans="2:29" x14ac:dyDescent="0.25">
      <c r="B780" s="1" t="s">
        <v>1329</v>
      </c>
      <c r="C780">
        <v>779</v>
      </c>
      <c r="D780" s="1" t="s">
        <v>80</v>
      </c>
      <c r="E780" t="s">
        <v>134</v>
      </c>
      <c r="F780" s="1" t="s">
        <v>318</v>
      </c>
      <c r="G780">
        <v>4300</v>
      </c>
      <c r="H780">
        <v>306</v>
      </c>
      <c r="I780">
        <v>4950</v>
      </c>
      <c r="L780">
        <v>2696</v>
      </c>
      <c r="M780">
        <v>2934</v>
      </c>
      <c r="N780">
        <v>14.522402888092294</v>
      </c>
      <c r="O780" s="1"/>
      <c r="Q780" s="1"/>
      <c r="AC780" s="1"/>
    </row>
    <row r="781" spans="2:29" x14ac:dyDescent="0.25">
      <c r="B781" s="1" t="s">
        <v>1330</v>
      </c>
      <c r="C781">
        <v>780</v>
      </c>
      <c r="D781" s="1" t="s">
        <v>80</v>
      </c>
      <c r="E781" t="s">
        <v>134</v>
      </c>
      <c r="F781" s="1" t="s">
        <v>318</v>
      </c>
      <c r="G781">
        <v>3801</v>
      </c>
      <c r="H781">
        <v>301</v>
      </c>
      <c r="I781">
        <v>3801</v>
      </c>
      <c r="L781">
        <v>1246</v>
      </c>
      <c r="M781">
        <v>1484</v>
      </c>
      <c r="N781">
        <v>5.6399586695782986</v>
      </c>
      <c r="O781" s="1"/>
      <c r="Q781" s="1"/>
      <c r="AC781" s="1"/>
    </row>
    <row r="782" spans="2:29" x14ac:dyDescent="0.25">
      <c r="B782" s="1" t="s">
        <v>1331</v>
      </c>
      <c r="C782">
        <v>781</v>
      </c>
      <c r="D782" s="1" t="s">
        <v>80</v>
      </c>
      <c r="E782" t="s">
        <v>134</v>
      </c>
      <c r="F782" s="1" t="s">
        <v>318</v>
      </c>
      <c r="G782">
        <v>4310</v>
      </c>
      <c r="H782">
        <v>301</v>
      </c>
      <c r="I782">
        <v>4847</v>
      </c>
      <c r="L782">
        <v>2446</v>
      </c>
      <c r="M782">
        <v>2684</v>
      </c>
      <c r="N782">
        <v>13.008435679599842</v>
      </c>
      <c r="O782" s="1"/>
      <c r="Q782" s="1"/>
      <c r="AC782" s="1"/>
    </row>
    <row r="783" spans="2:29" x14ac:dyDescent="0.25">
      <c r="B783" s="1" t="s">
        <v>1332</v>
      </c>
      <c r="C783">
        <v>782</v>
      </c>
      <c r="D783" s="1" t="s">
        <v>80</v>
      </c>
      <c r="E783" t="s">
        <v>154</v>
      </c>
      <c r="F783" s="1" t="s">
        <v>318</v>
      </c>
      <c r="G783">
        <v>2177</v>
      </c>
      <c r="H783">
        <v>89</v>
      </c>
      <c r="I783">
        <v>2266</v>
      </c>
      <c r="L783">
        <v>2373</v>
      </c>
      <c r="M783">
        <v>2383</v>
      </c>
      <c r="N783">
        <v>5.4001635046699219</v>
      </c>
      <c r="O783" s="1"/>
      <c r="Q783" s="1"/>
      <c r="AC783" s="1"/>
    </row>
    <row r="784" spans="2:29" x14ac:dyDescent="0.25">
      <c r="B784" s="1" t="s">
        <v>1333</v>
      </c>
      <c r="C784">
        <v>783</v>
      </c>
      <c r="D784" s="1" t="s">
        <v>80</v>
      </c>
      <c r="E784" t="s">
        <v>154</v>
      </c>
      <c r="F784" s="1" t="s">
        <v>318</v>
      </c>
      <c r="G784">
        <v>3929</v>
      </c>
      <c r="H784">
        <v>68</v>
      </c>
      <c r="I784">
        <v>4003</v>
      </c>
      <c r="L784">
        <v>1470</v>
      </c>
      <c r="M784">
        <v>1482</v>
      </c>
      <c r="N784">
        <v>5.9343071339227036</v>
      </c>
      <c r="O784" s="1"/>
      <c r="Q784" s="1"/>
      <c r="AC784" s="1"/>
    </row>
    <row r="785" spans="2:29" x14ac:dyDescent="0.25">
      <c r="B785" s="1" t="s">
        <v>1334</v>
      </c>
      <c r="C785">
        <v>784</v>
      </c>
      <c r="D785" s="1" t="s">
        <v>80</v>
      </c>
      <c r="E785" t="s">
        <v>154</v>
      </c>
      <c r="F785" s="1" t="s">
        <v>318</v>
      </c>
      <c r="G785">
        <v>3959</v>
      </c>
      <c r="H785">
        <v>67</v>
      </c>
      <c r="I785">
        <v>4033</v>
      </c>
      <c r="L785">
        <v>1337</v>
      </c>
      <c r="M785">
        <v>1337</v>
      </c>
      <c r="N785">
        <v>5.3910815363509377</v>
      </c>
      <c r="O785" s="1"/>
      <c r="Q785" s="1"/>
      <c r="AC785" s="1"/>
    </row>
    <row r="786" spans="2:29" x14ac:dyDescent="0.25">
      <c r="B786" s="1" t="s">
        <v>1335</v>
      </c>
      <c r="C786">
        <v>785</v>
      </c>
      <c r="D786" s="1" t="s">
        <v>80</v>
      </c>
      <c r="E786" t="s">
        <v>154</v>
      </c>
      <c r="F786" s="1" t="s">
        <v>318</v>
      </c>
      <c r="G786">
        <v>4291</v>
      </c>
      <c r="H786">
        <v>83</v>
      </c>
      <c r="I786">
        <v>4347</v>
      </c>
      <c r="L786">
        <v>1580</v>
      </c>
      <c r="M786">
        <v>1649</v>
      </c>
      <c r="N786">
        <v>7.1685079749788407</v>
      </c>
      <c r="O786" s="1"/>
      <c r="Q786" s="1"/>
      <c r="AC786" s="1"/>
    </row>
    <row r="787" spans="2:29" x14ac:dyDescent="0.25">
      <c r="B787" s="1" t="s">
        <v>1336</v>
      </c>
      <c r="C787">
        <v>786</v>
      </c>
      <c r="D787" s="1" t="s">
        <v>80</v>
      </c>
      <c r="E787" t="s">
        <v>154</v>
      </c>
      <c r="F787" s="1" t="s">
        <v>318</v>
      </c>
      <c r="G787">
        <v>3678</v>
      </c>
      <c r="H787">
        <v>68</v>
      </c>
      <c r="I787">
        <v>3752</v>
      </c>
      <c r="L787">
        <v>1471</v>
      </c>
      <c r="M787">
        <v>1481</v>
      </c>
      <c r="N787">
        <v>5.556005810648954</v>
      </c>
      <c r="O787" s="1"/>
      <c r="Q787" s="1"/>
      <c r="AC787" s="1"/>
    </row>
    <row r="788" spans="2:29" x14ac:dyDescent="0.25">
      <c r="B788" s="1" t="s">
        <v>1337</v>
      </c>
      <c r="C788">
        <v>787</v>
      </c>
      <c r="D788" s="1" t="s">
        <v>80</v>
      </c>
      <c r="E788" t="s">
        <v>154</v>
      </c>
      <c r="F788" s="1" t="s">
        <v>318</v>
      </c>
      <c r="G788">
        <v>3959</v>
      </c>
      <c r="H788">
        <v>67</v>
      </c>
      <c r="I788">
        <v>4033</v>
      </c>
      <c r="L788">
        <v>1375</v>
      </c>
      <c r="M788">
        <v>1375</v>
      </c>
      <c r="N788">
        <v>5.544352102836223</v>
      </c>
      <c r="O788" s="1"/>
      <c r="Q788" s="1"/>
      <c r="AC788" s="1"/>
    </row>
    <row r="789" spans="2:29" x14ac:dyDescent="0.25">
      <c r="B789" s="1" t="s">
        <v>1338</v>
      </c>
      <c r="C789">
        <v>788</v>
      </c>
      <c r="D789" s="1" t="s">
        <v>80</v>
      </c>
      <c r="E789" t="s">
        <v>154</v>
      </c>
      <c r="F789" s="1" t="s">
        <v>318</v>
      </c>
      <c r="G789">
        <v>4303</v>
      </c>
      <c r="H789">
        <v>83</v>
      </c>
      <c r="I789">
        <v>4359</v>
      </c>
      <c r="L789">
        <v>1542</v>
      </c>
      <c r="M789">
        <v>1614</v>
      </c>
      <c r="N789">
        <v>7.0346290443482342</v>
      </c>
      <c r="O789" s="1"/>
      <c r="Q789" s="1"/>
      <c r="AC789" s="1"/>
    </row>
    <row r="790" spans="2:29" x14ac:dyDescent="0.25">
      <c r="B790" s="1" t="s">
        <v>1339</v>
      </c>
      <c r="C790">
        <v>789</v>
      </c>
      <c r="D790" s="1" t="s">
        <v>80</v>
      </c>
      <c r="E790" t="s">
        <v>154</v>
      </c>
      <c r="F790" s="1" t="s">
        <v>318</v>
      </c>
      <c r="G790">
        <v>3687</v>
      </c>
      <c r="H790">
        <v>73</v>
      </c>
      <c r="I790">
        <v>3747</v>
      </c>
      <c r="L790">
        <v>1471</v>
      </c>
      <c r="M790">
        <v>1481</v>
      </c>
      <c r="N790">
        <v>5.5491574798783336</v>
      </c>
      <c r="O790" s="1"/>
      <c r="Q790" s="1"/>
      <c r="AC790" s="1"/>
    </row>
    <row r="791" spans="2:29" x14ac:dyDescent="0.25">
      <c r="B791" s="1" t="s">
        <v>1340</v>
      </c>
      <c r="C791">
        <v>790</v>
      </c>
      <c r="D791" s="1" t="s">
        <v>80</v>
      </c>
      <c r="E791" t="s">
        <v>154</v>
      </c>
      <c r="F791" s="1" t="s">
        <v>318</v>
      </c>
      <c r="G791">
        <v>4127</v>
      </c>
      <c r="H791">
        <v>73</v>
      </c>
      <c r="I791">
        <v>4201</v>
      </c>
      <c r="L791">
        <v>1419</v>
      </c>
      <c r="M791">
        <v>1419</v>
      </c>
      <c r="N791">
        <v>5.9599925323719392</v>
      </c>
      <c r="O791" s="1"/>
      <c r="Q791" s="1"/>
      <c r="AC791" s="1"/>
    </row>
    <row r="792" spans="2:29" x14ac:dyDescent="0.25">
      <c r="B792" s="1" t="s">
        <v>1341</v>
      </c>
      <c r="C792">
        <v>791</v>
      </c>
      <c r="D792" s="1" t="s">
        <v>80</v>
      </c>
      <c r="E792" t="s">
        <v>154</v>
      </c>
      <c r="F792" s="1" t="s">
        <v>318</v>
      </c>
      <c r="G792">
        <v>4244</v>
      </c>
      <c r="H792">
        <v>86</v>
      </c>
      <c r="I792">
        <v>4374</v>
      </c>
      <c r="L792">
        <v>1248</v>
      </c>
      <c r="M792">
        <v>1775</v>
      </c>
      <c r="N792">
        <v>7.7638775451279667</v>
      </c>
      <c r="O792" s="1"/>
      <c r="Q792" s="1"/>
      <c r="AC792" s="1"/>
    </row>
    <row r="793" spans="2:29" x14ac:dyDescent="0.25">
      <c r="B793" s="1" t="s">
        <v>1342</v>
      </c>
      <c r="C793">
        <v>792</v>
      </c>
      <c r="D793" s="1" t="s">
        <v>80</v>
      </c>
      <c r="E793" t="s">
        <v>134</v>
      </c>
      <c r="F793" s="1" t="s">
        <v>322</v>
      </c>
      <c r="G793">
        <v>2279</v>
      </c>
      <c r="H793">
        <v>310</v>
      </c>
      <c r="I793">
        <v>2279</v>
      </c>
      <c r="L793">
        <v>2114</v>
      </c>
      <c r="M793">
        <v>2329</v>
      </c>
      <c r="N793">
        <v>5.3065687332573273</v>
      </c>
      <c r="O793" s="1"/>
      <c r="Q793" s="1"/>
      <c r="AC793" s="1"/>
    </row>
    <row r="794" spans="2:29" x14ac:dyDescent="0.25">
      <c r="B794" s="1" t="s">
        <v>1343</v>
      </c>
      <c r="C794">
        <v>793</v>
      </c>
      <c r="D794" s="1" t="s">
        <v>80</v>
      </c>
      <c r="E794" t="s">
        <v>134</v>
      </c>
      <c r="F794" s="1" t="s">
        <v>322</v>
      </c>
      <c r="G794">
        <v>4052</v>
      </c>
      <c r="H794">
        <v>306</v>
      </c>
      <c r="I794">
        <v>4243</v>
      </c>
      <c r="L794">
        <v>1246</v>
      </c>
      <c r="M794">
        <v>2329</v>
      </c>
      <c r="N794">
        <v>9.8803010642086679</v>
      </c>
      <c r="O794" s="1"/>
      <c r="Q794" s="1"/>
      <c r="AC794" s="1"/>
    </row>
    <row r="795" spans="2:29" x14ac:dyDescent="0.25">
      <c r="B795" s="1" t="s">
        <v>1344</v>
      </c>
      <c r="C795">
        <v>794</v>
      </c>
      <c r="D795" s="1" t="s">
        <v>80</v>
      </c>
      <c r="E795" t="s">
        <v>134</v>
      </c>
      <c r="F795" s="1" t="s">
        <v>322</v>
      </c>
      <c r="G795">
        <v>4300</v>
      </c>
      <c r="H795">
        <v>306</v>
      </c>
      <c r="I795">
        <v>4824</v>
      </c>
      <c r="L795">
        <v>2696</v>
      </c>
      <c r="M795">
        <v>2934</v>
      </c>
      <c r="N795">
        <v>14.15266772234544</v>
      </c>
      <c r="O795" s="1"/>
      <c r="Q795" s="1"/>
      <c r="AC795" s="1"/>
    </row>
    <row r="796" spans="2:29" x14ac:dyDescent="0.25">
      <c r="B796" s="1" t="s">
        <v>1345</v>
      </c>
      <c r="C796">
        <v>795</v>
      </c>
      <c r="D796" s="1" t="s">
        <v>80</v>
      </c>
      <c r="E796" t="s">
        <v>134</v>
      </c>
      <c r="F796" s="1" t="s">
        <v>322</v>
      </c>
      <c r="G796">
        <v>3801</v>
      </c>
      <c r="H796">
        <v>306</v>
      </c>
      <c r="I796">
        <v>3801</v>
      </c>
      <c r="L796">
        <v>1246</v>
      </c>
      <c r="M796">
        <v>2934</v>
      </c>
      <c r="N796">
        <v>11.151411112083649</v>
      </c>
      <c r="O796" s="1"/>
      <c r="Q796" s="1"/>
      <c r="AC796" s="1"/>
    </row>
    <row r="797" spans="2:29" x14ac:dyDescent="0.25">
      <c r="B797" s="1" t="s">
        <v>1346</v>
      </c>
      <c r="C797">
        <v>796</v>
      </c>
      <c r="D797" s="1" t="s">
        <v>80</v>
      </c>
      <c r="E797" t="s">
        <v>134</v>
      </c>
      <c r="F797" s="1" t="s">
        <v>322</v>
      </c>
      <c r="G797">
        <v>4300</v>
      </c>
      <c r="H797">
        <v>306</v>
      </c>
      <c r="I797">
        <v>4950</v>
      </c>
      <c r="L797">
        <v>2696</v>
      </c>
      <c r="M797">
        <v>2934</v>
      </c>
      <c r="N797">
        <v>14.522402888092294</v>
      </c>
      <c r="O797" s="1"/>
      <c r="Q797" s="1"/>
      <c r="AC797" s="1"/>
    </row>
    <row r="798" spans="2:29" x14ac:dyDescent="0.25">
      <c r="B798" s="1" t="s">
        <v>1347</v>
      </c>
      <c r="C798">
        <v>797</v>
      </c>
      <c r="D798" s="1" t="s">
        <v>80</v>
      </c>
      <c r="E798" t="s">
        <v>134</v>
      </c>
      <c r="F798" s="1" t="s">
        <v>322</v>
      </c>
      <c r="G798">
        <v>3801</v>
      </c>
      <c r="H798">
        <v>301</v>
      </c>
      <c r="I798">
        <v>3801</v>
      </c>
      <c r="L798">
        <v>1246</v>
      </c>
      <c r="M798">
        <v>1484</v>
      </c>
      <c r="N798">
        <v>5.63995866960801</v>
      </c>
      <c r="O798" s="1"/>
      <c r="Q798" s="1"/>
      <c r="AC798" s="1"/>
    </row>
    <row r="799" spans="2:29" x14ac:dyDescent="0.25">
      <c r="B799" s="1" t="s">
        <v>1348</v>
      </c>
      <c r="C799">
        <v>798</v>
      </c>
      <c r="D799" s="1" t="s">
        <v>80</v>
      </c>
      <c r="E799" t="s">
        <v>134</v>
      </c>
      <c r="F799" s="1" t="s">
        <v>322</v>
      </c>
      <c r="G799">
        <v>4310</v>
      </c>
      <c r="H799">
        <v>301</v>
      </c>
      <c r="I799">
        <v>4847</v>
      </c>
      <c r="L799">
        <v>2446</v>
      </c>
      <c r="M799">
        <v>2684</v>
      </c>
      <c r="N799">
        <v>13.008435679599842</v>
      </c>
      <c r="O799" s="1"/>
      <c r="Q799" s="1"/>
      <c r="AC799" s="1"/>
    </row>
    <row r="800" spans="2:29" x14ac:dyDescent="0.25">
      <c r="B800" s="1" t="s">
        <v>1349</v>
      </c>
      <c r="C800">
        <v>799</v>
      </c>
      <c r="D800" s="1" t="s">
        <v>80</v>
      </c>
      <c r="E800" t="s">
        <v>154</v>
      </c>
      <c r="F800" s="1" t="s">
        <v>322</v>
      </c>
      <c r="G800">
        <v>2177</v>
      </c>
      <c r="H800">
        <v>88</v>
      </c>
      <c r="I800">
        <v>2266</v>
      </c>
      <c r="L800">
        <v>2374</v>
      </c>
      <c r="M800">
        <v>2383</v>
      </c>
      <c r="N800">
        <v>5.4001634984373537</v>
      </c>
      <c r="O800" s="1"/>
      <c r="Q800" s="1"/>
      <c r="AC800" s="1"/>
    </row>
    <row r="801" spans="2:30" x14ac:dyDescent="0.25">
      <c r="B801" s="1" t="s">
        <v>1350</v>
      </c>
      <c r="C801">
        <v>800</v>
      </c>
      <c r="D801" s="1" t="s">
        <v>80</v>
      </c>
      <c r="E801" t="s">
        <v>154</v>
      </c>
      <c r="F801" s="1" t="s">
        <v>322</v>
      </c>
      <c r="G801">
        <v>3709</v>
      </c>
      <c r="H801">
        <v>68</v>
      </c>
      <c r="I801">
        <v>3857</v>
      </c>
      <c r="L801">
        <v>1471</v>
      </c>
      <c r="M801">
        <v>1482</v>
      </c>
      <c r="N801">
        <v>5.7178670519682493</v>
      </c>
      <c r="O801" s="1"/>
      <c r="Q801" s="1"/>
      <c r="AC801" s="1"/>
    </row>
    <row r="802" spans="2:30" x14ac:dyDescent="0.25">
      <c r="B802" s="1" t="s">
        <v>1351</v>
      </c>
      <c r="C802">
        <v>801</v>
      </c>
      <c r="D802" s="1" t="s">
        <v>80</v>
      </c>
      <c r="E802" t="s">
        <v>154</v>
      </c>
      <c r="F802" s="1" t="s">
        <v>322</v>
      </c>
      <c r="G802">
        <v>4179</v>
      </c>
      <c r="H802">
        <v>68</v>
      </c>
      <c r="I802">
        <v>4179</v>
      </c>
      <c r="L802">
        <v>1414</v>
      </c>
      <c r="M802">
        <v>1414</v>
      </c>
      <c r="N802">
        <v>5.9071879905725604</v>
      </c>
      <c r="O802" s="1"/>
      <c r="Q802" s="1"/>
      <c r="AC802" s="1"/>
    </row>
    <row r="803" spans="2:30" x14ac:dyDescent="0.25">
      <c r="B803" s="1" t="s">
        <v>1352</v>
      </c>
      <c r="C803">
        <v>802</v>
      </c>
      <c r="D803" s="1" t="s">
        <v>80</v>
      </c>
      <c r="E803" t="s">
        <v>154</v>
      </c>
      <c r="F803" s="1" t="s">
        <v>322</v>
      </c>
      <c r="G803">
        <v>4291</v>
      </c>
      <c r="H803">
        <v>83</v>
      </c>
      <c r="I803">
        <v>4347</v>
      </c>
      <c r="L803">
        <v>1580</v>
      </c>
      <c r="M803">
        <v>1649</v>
      </c>
      <c r="N803">
        <v>7.1685079584880436</v>
      </c>
      <c r="O803" s="1"/>
      <c r="Q803" s="1"/>
      <c r="AC803" s="1"/>
    </row>
    <row r="804" spans="2:30" x14ac:dyDescent="0.25">
      <c r="B804" s="1" t="s">
        <v>1353</v>
      </c>
      <c r="C804">
        <v>803</v>
      </c>
      <c r="D804" s="1" t="s">
        <v>80</v>
      </c>
      <c r="E804" t="s">
        <v>154</v>
      </c>
      <c r="F804" s="1" t="s">
        <v>322</v>
      </c>
      <c r="G804">
        <v>3456</v>
      </c>
      <c r="H804">
        <v>68</v>
      </c>
      <c r="I804">
        <v>3530</v>
      </c>
      <c r="L804">
        <v>1471</v>
      </c>
      <c r="M804">
        <v>1481</v>
      </c>
      <c r="N804">
        <v>5.2265253359925339</v>
      </c>
      <c r="O804" s="1"/>
      <c r="Q804" s="1"/>
      <c r="AC804" s="1"/>
    </row>
    <row r="805" spans="2:30" x14ac:dyDescent="0.25">
      <c r="B805" s="1" t="s">
        <v>1354</v>
      </c>
      <c r="C805">
        <v>804</v>
      </c>
      <c r="D805" s="1" t="s">
        <v>80</v>
      </c>
      <c r="E805" t="s">
        <v>154</v>
      </c>
      <c r="F805" s="1" t="s">
        <v>322</v>
      </c>
      <c r="G805">
        <v>4182</v>
      </c>
      <c r="H805">
        <v>81</v>
      </c>
      <c r="I805">
        <v>4256</v>
      </c>
      <c r="L805">
        <v>1414</v>
      </c>
      <c r="M805">
        <v>1481</v>
      </c>
      <c r="N805">
        <v>6.3016032041639223</v>
      </c>
      <c r="O805" s="1"/>
      <c r="Q805" s="1"/>
      <c r="AC805" s="1"/>
    </row>
    <row r="806" spans="2:30" x14ac:dyDescent="0.25">
      <c r="B806" s="1" t="s">
        <v>1355</v>
      </c>
      <c r="C806">
        <v>805</v>
      </c>
      <c r="D806" s="1" t="s">
        <v>80</v>
      </c>
      <c r="E806" t="s">
        <v>154</v>
      </c>
      <c r="F806" s="1" t="s">
        <v>322</v>
      </c>
      <c r="G806">
        <v>4303</v>
      </c>
      <c r="H806">
        <v>83</v>
      </c>
      <c r="I806">
        <v>4359</v>
      </c>
      <c r="L806">
        <v>1542</v>
      </c>
      <c r="M806">
        <v>1614</v>
      </c>
      <c r="N806">
        <v>7.0346290443796935</v>
      </c>
      <c r="O806" s="1"/>
      <c r="Q806" s="1"/>
      <c r="AC806" s="1"/>
    </row>
    <row r="807" spans="2:30" x14ac:dyDescent="0.25">
      <c r="B807" s="1" t="s">
        <v>1356</v>
      </c>
      <c r="C807">
        <v>806</v>
      </c>
      <c r="D807" s="1" t="s">
        <v>80</v>
      </c>
      <c r="E807" t="s">
        <v>154</v>
      </c>
      <c r="F807" s="1" t="s">
        <v>322</v>
      </c>
      <c r="G807">
        <v>3464</v>
      </c>
      <c r="H807">
        <v>73</v>
      </c>
      <c r="I807">
        <v>3524</v>
      </c>
      <c r="L807">
        <v>1471</v>
      </c>
      <c r="M807">
        <v>1481</v>
      </c>
      <c r="N807">
        <v>5.2189363509116937</v>
      </c>
      <c r="O807" s="1"/>
      <c r="Q807" s="1"/>
      <c r="AC807" s="1"/>
    </row>
    <row r="808" spans="2:30" x14ac:dyDescent="0.25">
      <c r="B808" s="1" t="s">
        <v>1357</v>
      </c>
      <c r="C808">
        <v>807</v>
      </c>
      <c r="D808" s="1" t="s">
        <v>80</v>
      </c>
      <c r="E808" t="s">
        <v>154</v>
      </c>
      <c r="F808" s="1" t="s">
        <v>322</v>
      </c>
      <c r="G808">
        <v>4350</v>
      </c>
      <c r="H808">
        <v>73</v>
      </c>
      <c r="I808">
        <v>4424</v>
      </c>
      <c r="L808">
        <v>1419</v>
      </c>
      <c r="M808">
        <v>1481</v>
      </c>
      <c r="N808">
        <v>6.5508208300746515</v>
      </c>
      <c r="O808" s="1"/>
      <c r="Q808" s="1"/>
      <c r="AC808" s="1"/>
    </row>
    <row r="809" spans="2:30" x14ac:dyDescent="0.25">
      <c r="B809" s="1" t="s">
        <v>1358</v>
      </c>
      <c r="C809">
        <v>808</v>
      </c>
      <c r="D809" s="1" t="s">
        <v>80</v>
      </c>
      <c r="E809" t="s">
        <v>154</v>
      </c>
      <c r="F809" s="1" t="s">
        <v>322</v>
      </c>
      <c r="G809">
        <v>4244</v>
      </c>
      <c r="H809">
        <v>86</v>
      </c>
      <c r="I809">
        <v>4374</v>
      </c>
      <c r="L809">
        <v>1248</v>
      </c>
      <c r="M809">
        <v>1775</v>
      </c>
      <c r="N809">
        <v>7.7638775451279667</v>
      </c>
      <c r="O809" s="1"/>
      <c r="Q809" s="1"/>
      <c r="AC809" s="1"/>
    </row>
    <row r="810" spans="2:30" x14ac:dyDescent="0.25">
      <c r="B810" s="1" t="s">
        <v>1337</v>
      </c>
      <c r="C810">
        <v>809</v>
      </c>
      <c r="D810" s="1" t="s">
        <v>80</v>
      </c>
      <c r="E810" t="s">
        <v>154</v>
      </c>
      <c r="F810" s="1" t="s">
        <v>318</v>
      </c>
      <c r="O810" s="1" t="s">
        <v>434</v>
      </c>
      <c r="P810" t="s">
        <v>108</v>
      </c>
      <c r="Q810" s="1" t="s">
        <v>244</v>
      </c>
      <c r="R810">
        <v>2</v>
      </c>
      <c r="S810">
        <v>50</v>
      </c>
      <c r="T810">
        <v>38</v>
      </c>
      <c r="U810">
        <v>25</v>
      </c>
      <c r="AA810">
        <v>1205.8018761400001</v>
      </c>
      <c r="AB810">
        <v>1893446.2568399999</v>
      </c>
      <c r="AC810" s="1" t="s">
        <v>245</v>
      </c>
      <c r="AD810" t="s">
        <v>246</v>
      </c>
    </row>
    <row r="811" spans="2:30" x14ac:dyDescent="0.25">
      <c r="B811" s="1" t="s">
        <v>1336</v>
      </c>
      <c r="C811">
        <v>810</v>
      </c>
      <c r="D811" s="1" t="s">
        <v>80</v>
      </c>
      <c r="E811" t="s">
        <v>154</v>
      </c>
      <c r="F811" s="1" t="s">
        <v>318</v>
      </c>
      <c r="O811" s="1" t="s">
        <v>434</v>
      </c>
      <c r="P811" t="s">
        <v>108</v>
      </c>
      <c r="Q811" s="1" t="s">
        <v>244</v>
      </c>
      <c r="R811">
        <v>2</v>
      </c>
      <c r="S811">
        <v>50</v>
      </c>
      <c r="T811">
        <v>38</v>
      </c>
      <c r="U811">
        <v>25</v>
      </c>
      <c r="AA811">
        <v>1205.8018761400001</v>
      </c>
      <c r="AB811">
        <v>1893446.2569200001</v>
      </c>
      <c r="AC811" s="1" t="s">
        <v>245</v>
      </c>
      <c r="AD811" t="s">
        <v>246</v>
      </c>
    </row>
    <row r="812" spans="2:30" x14ac:dyDescent="0.25">
      <c r="B812" s="1" t="s">
        <v>1336</v>
      </c>
      <c r="C812">
        <v>811</v>
      </c>
      <c r="D812" s="1" t="s">
        <v>80</v>
      </c>
      <c r="E812" t="s">
        <v>154</v>
      </c>
      <c r="F812" s="1" t="s">
        <v>318</v>
      </c>
      <c r="O812" s="1" t="s">
        <v>448</v>
      </c>
      <c r="P812" t="s">
        <v>108</v>
      </c>
      <c r="Q812" s="1" t="s">
        <v>244</v>
      </c>
      <c r="R812">
        <v>2</v>
      </c>
      <c r="S812">
        <v>50</v>
      </c>
      <c r="T812">
        <v>38</v>
      </c>
      <c r="U812">
        <v>25</v>
      </c>
      <c r="AA812">
        <v>1205.80660109</v>
      </c>
      <c r="AB812">
        <v>1893455.1394799999</v>
      </c>
      <c r="AC812" s="1" t="s">
        <v>245</v>
      </c>
      <c r="AD812" t="s">
        <v>246</v>
      </c>
    </row>
    <row r="813" spans="2:30" x14ac:dyDescent="0.25">
      <c r="B813" s="1" t="s">
        <v>1320</v>
      </c>
      <c r="C813">
        <v>812</v>
      </c>
      <c r="D813" s="1" t="s">
        <v>80</v>
      </c>
      <c r="E813" t="s">
        <v>154</v>
      </c>
      <c r="F813" s="1" t="s">
        <v>314</v>
      </c>
      <c r="O813" s="1" t="s">
        <v>434</v>
      </c>
      <c r="P813" t="s">
        <v>108</v>
      </c>
      <c r="Q813" s="1" t="s">
        <v>244</v>
      </c>
      <c r="R813">
        <v>2</v>
      </c>
      <c r="S813">
        <v>50</v>
      </c>
      <c r="T813">
        <v>38</v>
      </c>
      <c r="U813">
        <v>25</v>
      </c>
      <c r="AA813">
        <v>1205.8018761400001</v>
      </c>
      <c r="AB813">
        <v>1893450.0054200001</v>
      </c>
      <c r="AC813" s="1" t="s">
        <v>245</v>
      </c>
      <c r="AD813" t="s">
        <v>246</v>
      </c>
    </row>
    <row r="814" spans="2:30" x14ac:dyDescent="0.25">
      <c r="B814" s="1" t="s">
        <v>1319</v>
      </c>
      <c r="C814">
        <v>813</v>
      </c>
      <c r="D814" s="1" t="s">
        <v>80</v>
      </c>
      <c r="E814" t="s">
        <v>154</v>
      </c>
      <c r="F814" s="1" t="s">
        <v>314</v>
      </c>
      <c r="O814" s="1" t="s">
        <v>434</v>
      </c>
      <c r="P814" t="s">
        <v>108</v>
      </c>
      <c r="Q814" s="1" t="s">
        <v>244</v>
      </c>
      <c r="R814">
        <v>2</v>
      </c>
      <c r="S814">
        <v>50</v>
      </c>
      <c r="T814">
        <v>38</v>
      </c>
      <c r="U814">
        <v>25</v>
      </c>
      <c r="AA814">
        <v>1205.8018761400001</v>
      </c>
      <c r="AB814">
        <v>1893450.0055</v>
      </c>
      <c r="AC814" s="1" t="s">
        <v>245</v>
      </c>
      <c r="AD814" t="s">
        <v>246</v>
      </c>
    </row>
    <row r="815" spans="2:30" x14ac:dyDescent="0.25">
      <c r="B815" s="1" t="s">
        <v>1319</v>
      </c>
      <c r="C815">
        <v>814</v>
      </c>
      <c r="D815" s="1" t="s">
        <v>80</v>
      </c>
      <c r="E815" t="s">
        <v>154</v>
      </c>
      <c r="F815" s="1" t="s">
        <v>314</v>
      </c>
      <c r="O815" s="1" t="s">
        <v>448</v>
      </c>
      <c r="P815" t="s">
        <v>108</v>
      </c>
      <c r="Q815" s="1" t="s">
        <v>244</v>
      </c>
      <c r="R815">
        <v>2</v>
      </c>
      <c r="S815">
        <v>50</v>
      </c>
      <c r="T815">
        <v>38</v>
      </c>
      <c r="U815">
        <v>25</v>
      </c>
      <c r="AA815">
        <v>1205.80660109</v>
      </c>
      <c r="AB815">
        <v>1893458.88809</v>
      </c>
      <c r="AC815" s="1" t="s">
        <v>245</v>
      </c>
      <c r="AD815" t="s">
        <v>246</v>
      </c>
    </row>
    <row r="816" spans="2:30" x14ac:dyDescent="0.25">
      <c r="B816" s="1" t="s">
        <v>1317</v>
      </c>
      <c r="C816">
        <v>815</v>
      </c>
      <c r="D816" s="1" t="s">
        <v>80</v>
      </c>
      <c r="E816" t="s">
        <v>154</v>
      </c>
      <c r="F816" s="1" t="s">
        <v>314</v>
      </c>
      <c r="O816" s="1" t="s">
        <v>969</v>
      </c>
      <c r="P816" t="s">
        <v>108</v>
      </c>
      <c r="Q816" s="1" t="s">
        <v>244</v>
      </c>
      <c r="R816">
        <v>2</v>
      </c>
      <c r="S816">
        <v>50</v>
      </c>
      <c r="T816">
        <v>38</v>
      </c>
      <c r="U816">
        <v>25</v>
      </c>
      <c r="AA816">
        <v>1205.9643510200001</v>
      </c>
      <c r="AB816">
        <v>1893761.6854699999</v>
      </c>
      <c r="AC816" s="1" t="s">
        <v>245</v>
      </c>
      <c r="AD816" t="s">
        <v>246</v>
      </c>
    </row>
    <row r="817" spans="2:30" x14ac:dyDescent="0.25">
      <c r="B817" s="1" t="s">
        <v>1316</v>
      </c>
      <c r="C817">
        <v>816</v>
      </c>
      <c r="D817" s="1" t="s">
        <v>80</v>
      </c>
      <c r="E817" t="s">
        <v>154</v>
      </c>
      <c r="F817" s="1" t="s">
        <v>314</v>
      </c>
      <c r="O817" s="1" t="s">
        <v>969</v>
      </c>
      <c r="P817" t="s">
        <v>108</v>
      </c>
      <c r="Q817" s="1" t="s">
        <v>244</v>
      </c>
      <c r="R817">
        <v>4</v>
      </c>
      <c r="S817">
        <v>50</v>
      </c>
      <c r="T817">
        <v>38</v>
      </c>
      <c r="U817">
        <v>25</v>
      </c>
      <c r="AA817">
        <v>1205.9643510200001</v>
      </c>
      <c r="AB817">
        <v>1893761.6854699999</v>
      </c>
      <c r="AC817" s="1" t="s">
        <v>245</v>
      </c>
      <c r="AD817" t="s">
        <v>246</v>
      </c>
    </row>
    <row r="818" spans="2:30" x14ac:dyDescent="0.25">
      <c r="B818" s="1" t="s">
        <v>1334</v>
      </c>
      <c r="C818">
        <v>817</v>
      </c>
      <c r="D818" s="1" t="s">
        <v>80</v>
      </c>
      <c r="E818" t="s">
        <v>154</v>
      </c>
      <c r="F818" s="1" t="s">
        <v>318</v>
      </c>
      <c r="O818" s="1" t="s">
        <v>969</v>
      </c>
      <c r="P818" t="s">
        <v>108</v>
      </c>
      <c r="Q818" s="1" t="s">
        <v>244</v>
      </c>
      <c r="R818">
        <v>2</v>
      </c>
      <c r="S818">
        <v>50</v>
      </c>
      <c r="T818">
        <v>38</v>
      </c>
      <c r="U818">
        <v>25</v>
      </c>
      <c r="AA818">
        <v>1205.9643510200001</v>
      </c>
      <c r="AB818">
        <v>1893761.68564</v>
      </c>
      <c r="AC818" s="1" t="s">
        <v>245</v>
      </c>
      <c r="AD818" t="s">
        <v>246</v>
      </c>
    </row>
    <row r="819" spans="2:30" x14ac:dyDescent="0.25">
      <c r="B819" s="1" t="s">
        <v>1333</v>
      </c>
      <c r="C819">
        <v>818</v>
      </c>
      <c r="D819" s="1" t="s">
        <v>80</v>
      </c>
      <c r="E819" t="s">
        <v>154</v>
      </c>
      <c r="F819" s="1" t="s">
        <v>318</v>
      </c>
      <c r="O819" s="1" t="s">
        <v>969</v>
      </c>
      <c r="P819" t="s">
        <v>108</v>
      </c>
      <c r="Q819" s="1" t="s">
        <v>244</v>
      </c>
      <c r="R819">
        <v>4</v>
      </c>
      <c r="S819">
        <v>50</v>
      </c>
      <c r="T819">
        <v>38</v>
      </c>
      <c r="U819">
        <v>25</v>
      </c>
      <c r="AA819">
        <v>1205.9643510200001</v>
      </c>
      <c r="AB819">
        <v>1893761.68564</v>
      </c>
      <c r="AC819" s="1" t="s">
        <v>245</v>
      </c>
      <c r="AD819" t="s">
        <v>246</v>
      </c>
    </row>
    <row r="820" spans="2:30" x14ac:dyDescent="0.25">
      <c r="B820" s="1" t="s">
        <v>1317</v>
      </c>
      <c r="C820">
        <v>819</v>
      </c>
      <c r="D820" s="1" t="s">
        <v>80</v>
      </c>
      <c r="E820" t="s">
        <v>154</v>
      </c>
      <c r="F820" s="1" t="s">
        <v>314</v>
      </c>
      <c r="O820" s="1" t="s">
        <v>354</v>
      </c>
      <c r="P820" t="s">
        <v>108</v>
      </c>
      <c r="Q820" s="1" t="s">
        <v>244</v>
      </c>
      <c r="R820">
        <v>6</v>
      </c>
      <c r="S820">
        <v>50</v>
      </c>
      <c r="T820">
        <v>39</v>
      </c>
      <c r="U820">
        <v>25</v>
      </c>
      <c r="AA820">
        <v>1336.73974828</v>
      </c>
      <c r="AB820">
        <v>2144013.7108</v>
      </c>
      <c r="AC820" s="1" t="s">
        <v>245</v>
      </c>
      <c r="AD820" t="s">
        <v>246</v>
      </c>
    </row>
    <row r="821" spans="2:30" x14ac:dyDescent="0.25">
      <c r="B821" s="1" t="s">
        <v>1317</v>
      </c>
      <c r="C821">
        <v>820</v>
      </c>
      <c r="D821" s="1" t="s">
        <v>80</v>
      </c>
      <c r="E821" t="s">
        <v>154</v>
      </c>
      <c r="F821" s="1" t="s">
        <v>314</v>
      </c>
      <c r="O821" s="1" t="s">
        <v>357</v>
      </c>
      <c r="P821" t="s">
        <v>108</v>
      </c>
      <c r="Q821" s="1" t="s">
        <v>244</v>
      </c>
      <c r="R821">
        <v>2</v>
      </c>
      <c r="S821">
        <v>50</v>
      </c>
      <c r="T821">
        <v>39</v>
      </c>
      <c r="U821">
        <v>25</v>
      </c>
      <c r="AA821">
        <v>1328.73974828</v>
      </c>
      <c r="AB821">
        <v>2133912.15087</v>
      </c>
      <c r="AC821" s="1" t="s">
        <v>245</v>
      </c>
      <c r="AD821" t="s">
        <v>246</v>
      </c>
    </row>
    <row r="822" spans="2:30" x14ac:dyDescent="0.25">
      <c r="B822" s="1" t="s">
        <v>1317</v>
      </c>
      <c r="C822">
        <v>821</v>
      </c>
      <c r="D822" s="1" t="s">
        <v>80</v>
      </c>
      <c r="E822" t="s">
        <v>154</v>
      </c>
      <c r="F822" s="1" t="s">
        <v>314</v>
      </c>
      <c r="O822" s="1" t="s">
        <v>957</v>
      </c>
      <c r="P822" t="s">
        <v>108</v>
      </c>
      <c r="Q822" s="1" t="s">
        <v>244</v>
      </c>
      <c r="R822">
        <v>1</v>
      </c>
      <c r="S822">
        <v>50</v>
      </c>
      <c r="T822">
        <v>39</v>
      </c>
      <c r="U822">
        <v>36</v>
      </c>
      <c r="AA822">
        <v>245.999998648</v>
      </c>
      <c r="AB822">
        <v>463467.01933500002</v>
      </c>
      <c r="AC822" s="1" t="s">
        <v>245</v>
      </c>
      <c r="AD822" t="s">
        <v>246</v>
      </c>
    </row>
    <row r="823" spans="2:30" x14ac:dyDescent="0.25">
      <c r="B823" s="1" t="s">
        <v>1334</v>
      </c>
      <c r="C823">
        <v>822</v>
      </c>
      <c r="D823" s="1" t="s">
        <v>80</v>
      </c>
      <c r="E823" t="s">
        <v>154</v>
      </c>
      <c r="F823" s="1" t="s">
        <v>318</v>
      </c>
      <c r="O823" s="1" t="s">
        <v>354</v>
      </c>
      <c r="P823" t="s">
        <v>108</v>
      </c>
      <c r="Q823" s="1" t="s">
        <v>244</v>
      </c>
      <c r="R823">
        <v>6</v>
      </c>
      <c r="S823">
        <v>50</v>
      </c>
      <c r="T823">
        <v>39</v>
      </c>
      <c r="U823">
        <v>25</v>
      </c>
      <c r="AA823">
        <v>1336.73974828</v>
      </c>
      <c r="AB823">
        <v>2144013.7110100002</v>
      </c>
      <c r="AC823" s="1" t="s">
        <v>245</v>
      </c>
      <c r="AD823" t="s">
        <v>246</v>
      </c>
    </row>
    <row r="824" spans="2:30" x14ac:dyDescent="0.25">
      <c r="B824" s="1" t="s">
        <v>1334</v>
      </c>
      <c r="C824">
        <v>823</v>
      </c>
      <c r="D824" s="1" t="s">
        <v>80</v>
      </c>
      <c r="E824" t="s">
        <v>154</v>
      </c>
      <c r="F824" s="1" t="s">
        <v>318</v>
      </c>
      <c r="O824" s="1" t="s">
        <v>357</v>
      </c>
      <c r="P824" t="s">
        <v>108</v>
      </c>
      <c r="Q824" s="1" t="s">
        <v>244</v>
      </c>
      <c r="R824">
        <v>2</v>
      </c>
      <c r="S824">
        <v>50</v>
      </c>
      <c r="T824">
        <v>39</v>
      </c>
      <c r="U824">
        <v>25</v>
      </c>
      <c r="AA824">
        <v>1328.7397483100001</v>
      </c>
      <c r="AB824">
        <v>2133912.1511200001</v>
      </c>
      <c r="AC824" s="1" t="s">
        <v>245</v>
      </c>
      <c r="AD824" t="s">
        <v>246</v>
      </c>
    </row>
    <row r="825" spans="2:30" x14ac:dyDescent="0.25">
      <c r="B825" s="1" t="s">
        <v>1334</v>
      </c>
      <c r="C825">
        <v>824</v>
      </c>
      <c r="D825" s="1" t="s">
        <v>80</v>
      </c>
      <c r="E825" t="s">
        <v>154</v>
      </c>
      <c r="F825" s="1" t="s">
        <v>318</v>
      </c>
      <c r="O825" s="1" t="s">
        <v>957</v>
      </c>
      <c r="P825" t="s">
        <v>108</v>
      </c>
      <c r="Q825" s="1" t="s">
        <v>244</v>
      </c>
      <c r="R825">
        <v>1</v>
      </c>
      <c r="S825">
        <v>50</v>
      </c>
      <c r="T825">
        <v>39</v>
      </c>
      <c r="U825">
        <v>36</v>
      </c>
      <c r="AA825">
        <v>245.999998648</v>
      </c>
      <c r="AB825">
        <v>463467.01940500003</v>
      </c>
      <c r="AC825" s="1" t="s">
        <v>245</v>
      </c>
      <c r="AD825" t="s">
        <v>246</v>
      </c>
    </row>
    <row r="826" spans="2:30" x14ac:dyDescent="0.25">
      <c r="B826" s="1" t="s">
        <v>1351</v>
      </c>
      <c r="C826">
        <v>825</v>
      </c>
      <c r="D826" s="1" t="s">
        <v>80</v>
      </c>
      <c r="E826" t="s">
        <v>154</v>
      </c>
      <c r="F826" s="1" t="s">
        <v>322</v>
      </c>
      <c r="O826" s="1" t="s">
        <v>354</v>
      </c>
      <c r="P826" t="s">
        <v>108</v>
      </c>
      <c r="Q826" s="1" t="s">
        <v>244</v>
      </c>
      <c r="R826">
        <v>6</v>
      </c>
      <c r="S826">
        <v>50</v>
      </c>
      <c r="T826">
        <v>39</v>
      </c>
      <c r="U826">
        <v>25</v>
      </c>
      <c r="AA826">
        <v>1336.73974828</v>
      </c>
      <c r="AB826">
        <v>2144013.71802</v>
      </c>
      <c r="AC826" s="1" t="s">
        <v>245</v>
      </c>
      <c r="AD826" t="s">
        <v>246</v>
      </c>
    </row>
    <row r="827" spans="2:30" x14ac:dyDescent="0.25">
      <c r="B827" s="1" t="s">
        <v>1351</v>
      </c>
      <c r="C827">
        <v>826</v>
      </c>
      <c r="D827" s="1" t="s">
        <v>80</v>
      </c>
      <c r="E827" t="s">
        <v>154</v>
      </c>
      <c r="F827" s="1" t="s">
        <v>322</v>
      </c>
      <c r="O827" s="1" t="s">
        <v>357</v>
      </c>
      <c r="P827" t="s">
        <v>108</v>
      </c>
      <c r="Q827" s="1" t="s">
        <v>244</v>
      </c>
      <c r="R827">
        <v>1</v>
      </c>
      <c r="S827">
        <v>50</v>
      </c>
      <c r="T827">
        <v>39</v>
      </c>
      <c r="U827">
        <v>25</v>
      </c>
      <c r="AA827">
        <v>1328.73974828</v>
      </c>
      <c r="AB827">
        <v>2133912.15809</v>
      </c>
      <c r="AC827" s="1" t="s">
        <v>245</v>
      </c>
      <c r="AD827" t="s">
        <v>246</v>
      </c>
    </row>
    <row r="828" spans="2:30" x14ac:dyDescent="0.25">
      <c r="B828" s="1" t="s">
        <v>1351</v>
      </c>
      <c r="C828">
        <v>827</v>
      </c>
      <c r="D828" s="1" t="s">
        <v>80</v>
      </c>
      <c r="E828" t="s">
        <v>154</v>
      </c>
      <c r="F828" s="1" t="s">
        <v>322</v>
      </c>
      <c r="O828" s="1" t="s">
        <v>321</v>
      </c>
      <c r="P828" t="s">
        <v>108</v>
      </c>
      <c r="Q828" s="1" t="s">
        <v>244</v>
      </c>
      <c r="R828">
        <v>1</v>
      </c>
      <c r="S828">
        <v>50</v>
      </c>
      <c r="T828">
        <v>39</v>
      </c>
      <c r="U828">
        <v>25</v>
      </c>
      <c r="AA828">
        <v>1328.7364691600001</v>
      </c>
      <c r="AB828">
        <v>2133908.01082</v>
      </c>
      <c r="AC828" s="1" t="s">
        <v>245</v>
      </c>
      <c r="AD828" t="s">
        <v>246</v>
      </c>
    </row>
    <row r="829" spans="2:30" x14ac:dyDescent="0.25">
      <c r="B829" s="1" t="s">
        <v>1351</v>
      </c>
      <c r="C829">
        <v>828</v>
      </c>
      <c r="D829" s="1" t="s">
        <v>80</v>
      </c>
      <c r="E829" t="s">
        <v>154</v>
      </c>
      <c r="F829" s="1" t="s">
        <v>322</v>
      </c>
      <c r="O829" s="1" t="s">
        <v>365</v>
      </c>
      <c r="P829" t="s">
        <v>108</v>
      </c>
      <c r="Q829" s="1" t="s">
        <v>244</v>
      </c>
      <c r="R829">
        <v>1</v>
      </c>
      <c r="S829">
        <v>50</v>
      </c>
      <c r="T829">
        <v>39</v>
      </c>
      <c r="U829">
        <v>25</v>
      </c>
      <c r="AA829">
        <v>1336.7364703799999</v>
      </c>
      <c r="AB829">
        <v>2144009.5857500001</v>
      </c>
      <c r="AC829" s="1" t="s">
        <v>245</v>
      </c>
      <c r="AD829" t="s">
        <v>246</v>
      </c>
    </row>
    <row r="830" spans="2:30" x14ac:dyDescent="0.25">
      <c r="B830" s="1" t="s">
        <v>1351</v>
      </c>
      <c r="C830">
        <v>829</v>
      </c>
      <c r="D830" s="1" t="s">
        <v>80</v>
      </c>
      <c r="E830" t="s">
        <v>154</v>
      </c>
      <c r="F830" s="1" t="s">
        <v>322</v>
      </c>
      <c r="O830" s="1" t="s">
        <v>366</v>
      </c>
      <c r="P830" t="s">
        <v>108</v>
      </c>
      <c r="Q830" s="1" t="s">
        <v>244</v>
      </c>
      <c r="R830">
        <v>1</v>
      </c>
      <c r="S830">
        <v>50</v>
      </c>
      <c r="T830">
        <v>39</v>
      </c>
      <c r="U830">
        <v>25</v>
      </c>
      <c r="AA830">
        <v>1336.7746577099999</v>
      </c>
      <c r="AB830">
        <v>2144081.6933200001</v>
      </c>
      <c r="AC830" s="1" t="s">
        <v>245</v>
      </c>
      <c r="AD830" t="s">
        <v>246</v>
      </c>
    </row>
    <row r="831" spans="2:30" x14ac:dyDescent="0.25">
      <c r="B831" s="1" t="s">
        <v>1337</v>
      </c>
      <c r="C831">
        <v>830</v>
      </c>
      <c r="D831" s="1" t="s">
        <v>80</v>
      </c>
      <c r="E831" t="s">
        <v>154</v>
      </c>
      <c r="F831" s="1" t="s">
        <v>318</v>
      </c>
      <c r="O831" s="1" t="s">
        <v>503</v>
      </c>
      <c r="P831" t="s">
        <v>108</v>
      </c>
      <c r="Q831" s="1" t="s">
        <v>244</v>
      </c>
      <c r="R831">
        <v>7</v>
      </c>
      <c r="S831">
        <v>50</v>
      </c>
      <c r="T831">
        <v>39</v>
      </c>
      <c r="U831">
        <v>25</v>
      </c>
      <c r="AA831">
        <v>1374.74379441</v>
      </c>
      <c r="AB831">
        <v>2218373.5225900002</v>
      </c>
      <c r="AC831" s="1" t="s">
        <v>245</v>
      </c>
      <c r="AD831" t="s">
        <v>246</v>
      </c>
    </row>
    <row r="832" spans="2:30" x14ac:dyDescent="0.25">
      <c r="B832" s="1" t="s">
        <v>1337</v>
      </c>
      <c r="C832">
        <v>831</v>
      </c>
      <c r="D832" s="1" t="s">
        <v>80</v>
      </c>
      <c r="E832" t="s">
        <v>154</v>
      </c>
      <c r="F832" s="1" t="s">
        <v>318</v>
      </c>
      <c r="O832" s="1" t="s">
        <v>912</v>
      </c>
      <c r="P832" t="s">
        <v>108</v>
      </c>
      <c r="Q832" s="1" t="s">
        <v>244</v>
      </c>
      <c r="R832">
        <v>1</v>
      </c>
      <c r="S832">
        <v>50</v>
      </c>
      <c r="T832">
        <v>39</v>
      </c>
      <c r="U832">
        <v>25</v>
      </c>
      <c r="AA832">
        <v>1366.7401388400001</v>
      </c>
      <c r="AB832">
        <v>2208267.3808499998</v>
      </c>
      <c r="AC832" s="1" t="s">
        <v>245</v>
      </c>
      <c r="AD832" t="s">
        <v>246</v>
      </c>
    </row>
    <row r="833" spans="2:30" x14ac:dyDescent="0.25">
      <c r="B833" s="1" t="s">
        <v>1337</v>
      </c>
      <c r="C833">
        <v>832</v>
      </c>
      <c r="D833" s="1" t="s">
        <v>80</v>
      </c>
      <c r="E833" t="s">
        <v>154</v>
      </c>
      <c r="F833" s="1" t="s">
        <v>318</v>
      </c>
      <c r="O833" s="1" t="s">
        <v>937</v>
      </c>
      <c r="P833" t="s">
        <v>108</v>
      </c>
      <c r="Q833" s="1" t="s">
        <v>244</v>
      </c>
      <c r="R833">
        <v>1</v>
      </c>
      <c r="S833">
        <v>50</v>
      </c>
      <c r="T833">
        <v>39</v>
      </c>
      <c r="U833">
        <v>25</v>
      </c>
      <c r="AA833">
        <v>1366.74379441</v>
      </c>
      <c r="AB833">
        <v>2208272.0042099999</v>
      </c>
      <c r="AC833" s="1" t="s">
        <v>245</v>
      </c>
      <c r="AD833" t="s">
        <v>246</v>
      </c>
    </row>
    <row r="834" spans="2:30" x14ac:dyDescent="0.25">
      <c r="B834" s="1" t="s">
        <v>1354</v>
      </c>
      <c r="C834">
        <v>833</v>
      </c>
      <c r="D834" s="1" t="s">
        <v>80</v>
      </c>
      <c r="E834" t="s">
        <v>154</v>
      </c>
      <c r="F834" s="1" t="s">
        <v>322</v>
      </c>
      <c r="O834" s="1" t="s">
        <v>503</v>
      </c>
      <c r="P834" t="s">
        <v>108</v>
      </c>
      <c r="Q834" s="1" t="s">
        <v>244</v>
      </c>
      <c r="R834">
        <v>9</v>
      </c>
      <c r="S834">
        <v>50</v>
      </c>
      <c r="T834">
        <v>39</v>
      </c>
      <c r="U834">
        <v>25</v>
      </c>
      <c r="AA834">
        <v>1374.74379441</v>
      </c>
      <c r="AB834">
        <v>2218378.39408</v>
      </c>
      <c r="AC834" s="1" t="s">
        <v>245</v>
      </c>
      <c r="AD834" t="s">
        <v>246</v>
      </c>
    </row>
    <row r="835" spans="2:30" x14ac:dyDescent="0.25">
      <c r="B835" s="1" t="s">
        <v>1320</v>
      </c>
      <c r="C835">
        <v>834</v>
      </c>
      <c r="D835" s="1" t="s">
        <v>80</v>
      </c>
      <c r="E835" t="s">
        <v>154</v>
      </c>
      <c r="F835" s="1" t="s">
        <v>314</v>
      </c>
      <c r="O835" s="1" t="s">
        <v>503</v>
      </c>
      <c r="P835" t="s">
        <v>108</v>
      </c>
      <c r="Q835" s="1" t="s">
        <v>244</v>
      </c>
      <c r="R835">
        <v>7</v>
      </c>
      <c r="S835">
        <v>50</v>
      </c>
      <c r="T835">
        <v>39</v>
      </c>
      <c r="U835">
        <v>25</v>
      </c>
      <c r="AA835">
        <v>1374.74379441</v>
      </c>
      <c r="AB835">
        <v>2218378.3951699999</v>
      </c>
      <c r="AC835" s="1" t="s">
        <v>245</v>
      </c>
      <c r="AD835" t="s">
        <v>246</v>
      </c>
    </row>
    <row r="836" spans="2:30" x14ac:dyDescent="0.25">
      <c r="B836" s="1" t="s">
        <v>1320</v>
      </c>
      <c r="C836">
        <v>835</v>
      </c>
      <c r="D836" s="1" t="s">
        <v>80</v>
      </c>
      <c r="E836" t="s">
        <v>154</v>
      </c>
      <c r="F836" s="1" t="s">
        <v>314</v>
      </c>
      <c r="O836" s="1" t="s">
        <v>937</v>
      </c>
      <c r="P836" t="s">
        <v>108</v>
      </c>
      <c r="Q836" s="1" t="s">
        <v>244</v>
      </c>
      <c r="R836">
        <v>2</v>
      </c>
      <c r="S836">
        <v>50</v>
      </c>
      <c r="T836">
        <v>39</v>
      </c>
      <c r="U836">
        <v>25</v>
      </c>
      <c r="AA836">
        <v>1366.74379443</v>
      </c>
      <c r="AB836">
        <v>2208276.8766600001</v>
      </c>
      <c r="AC836" s="1" t="s">
        <v>245</v>
      </c>
      <c r="AD836" t="s">
        <v>246</v>
      </c>
    </row>
    <row r="837" spans="2:30" x14ac:dyDescent="0.25">
      <c r="B837" s="1" t="s">
        <v>1336</v>
      </c>
      <c r="C837">
        <v>836</v>
      </c>
      <c r="D837" s="1" t="s">
        <v>80</v>
      </c>
      <c r="E837" t="s">
        <v>154</v>
      </c>
      <c r="F837" s="1" t="s">
        <v>318</v>
      </c>
      <c r="O837" s="1" t="s">
        <v>424</v>
      </c>
      <c r="P837" t="s">
        <v>108</v>
      </c>
      <c r="Q837" s="1" t="s">
        <v>244</v>
      </c>
      <c r="R837">
        <v>1</v>
      </c>
      <c r="S837">
        <v>50</v>
      </c>
      <c r="T837">
        <v>40</v>
      </c>
      <c r="U837">
        <v>37</v>
      </c>
      <c r="AA837">
        <v>284.798731605</v>
      </c>
      <c r="AB837">
        <v>544957.45189300005</v>
      </c>
      <c r="AC837" s="1" t="s">
        <v>245</v>
      </c>
      <c r="AD837" t="s">
        <v>246</v>
      </c>
    </row>
    <row r="838" spans="2:30" x14ac:dyDescent="0.25">
      <c r="B838" s="1" t="s">
        <v>1354</v>
      </c>
      <c r="C838">
        <v>837</v>
      </c>
      <c r="D838" s="1" t="s">
        <v>80</v>
      </c>
      <c r="E838" t="s">
        <v>154</v>
      </c>
      <c r="F838" s="1" t="s">
        <v>322</v>
      </c>
      <c r="O838" s="1" t="s">
        <v>502</v>
      </c>
      <c r="P838" t="s">
        <v>108</v>
      </c>
      <c r="Q838" s="1" t="s">
        <v>244</v>
      </c>
      <c r="R838">
        <v>2</v>
      </c>
      <c r="S838">
        <v>50</v>
      </c>
      <c r="T838">
        <v>40</v>
      </c>
      <c r="U838">
        <v>25</v>
      </c>
      <c r="AA838">
        <v>1413.5425274199999</v>
      </c>
      <c r="AB838">
        <v>2295070.3588399999</v>
      </c>
      <c r="AC838" s="1" t="s">
        <v>245</v>
      </c>
      <c r="AD838" t="s">
        <v>246</v>
      </c>
    </row>
    <row r="839" spans="2:30" x14ac:dyDescent="0.25">
      <c r="B839" s="1" t="s">
        <v>1319</v>
      </c>
      <c r="C839">
        <v>838</v>
      </c>
      <c r="D839" s="1" t="s">
        <v>80</v>
      </c>
      <c r="E839" t="s">
        <v>154</v>
      </c>
      <c r="F839" s="1" t="s">
        <v>314</v>
      </c>
      <c r="O839" s="1" t="s">
        <v>424</v>
      </c>
      <c r="P839" t="s">
        <v>108</v>
      </c>
      <c r="Q839" s="1" t="s">
        <v>244</v>
      </c>
      <c r="R839">
        <v>1</v>
      </c>
      <c r="S839">
        <v>50</v>
      </c>
      <c r="T839">
        <v>40</v>
      </c>
      <c r="U839">
        <v>37</v>
      </c>
      <c r="AA839">
        <v>284.79873160199998</v>
      </c>
      <c r="AB839">
        <v>544959.31860300002</v>
      </c>
      <c r="AC839" s="1" t="s">
        <v>245</v>
      </c>
      <c r="AD839" t="s">
        <v>246</v>
      </c>
    </row>
    <row r="840" spans="2:30" x14ac:dyDescent="0.25">
      <c r="B840" s="1" t="s">
        <v>1316</v>
      </c>
      <c r="C840">
        <v>839</v>
      </c>
      <c r="D840" s="1" t="s">
        <v>80</v>
      </c>
      <c r="E840" t="s">
        <v>154</v>
      </c>
      <c r="F840" s="1" t="s">
        <v>314</v>
      </c>
      <c r="O840" s="1" t="s">
        <v>489</v>
      </c>
      <c r="P840" t="s">
        <v>108</v>
      </c>
      <c r="Q840" s="1" t="s">
        <v>244</v>
      </c>
      <c r="R840">
        <v>1</v>
      </c>
      <c r="S840">
        <v>50</v>
      </c>
      <c r="T840">
        <v>40</v>
      </c>
      <c r="U840">
        <v>36</v>
      </c>
      <c r="AA840">
        <v>322.79872888699998</v>
      </c>
      <c r="AB840">
        <v>614522.92759700003</v>
      </c>
      <c r="AC840" s="1" t="s">
        <v>245</v>
      </c>
      <c r="AD840" t="s">
        <v>246</v>
      </c>
    </row>
    <row r="841" spans="2:30" x14ac:dyDescent="0.25">
      <c r="B841" s="1" t="s">
        <v>1333</v>
      </c>
      <c r="C841">
        <v>840</v>
      </c>
      <c r="D841" s="1" t="s">
        <v>80</v>
      </c>
      <c r="E841" t="s">
        <v>154</v>
      </c>
      <c r="F841" s="1" t="s">
        <v>318</v>
      </c>
      <c r="O841" s="1" t="s">
        <v>489</v>
      </c>
      <c r="P841" t="s">
        <v>108</v>
      </c>
      <c r="Q841" s="1" t="s">
        <v>244</v>
      </c>
      <c r="R841">
        <v>1</v>
      </c>
      <c r="S841">
        <v>50</v>
      </c>
      <c r="T841">
        <v>40</v>
      </c>
      <c r="U841">
        <v>36</v>
      </c>
      <c r="AA841">
        <v>322.79872889000001</v>
      </c>
      <c r="AB841">
        <v>614522.92769599997</v>
      </c>
      <c r="AC841" s="1" t="s">
        <v>245</v>
      </c>
      <c r="AD841" t="s">
        <v>246</v>
      </c>
    </row>
    <row r="842" spans="2:30" x14ac:dyDescent="0.25">
      <c r="B842" s="1" t="s">
        <v>1351</v>
      </c>
      <c r="C842">
        <v>841</v>
      </c>
      <c r="D842" s="1" t="s">
        <v>80</v>
      </c>
      <c r="E842" t="s">
        <v>154</v>
      </c>
      <c r="F842" s="1" t="s">
        <v>322</v>
      </c>
      <c r="O842" s="1" t="s">
        <v>966</v>
      </c>
      <c r="P842" t="s">
        <v>108</v>
      </c>
      <c r="Q842" s="1" t="s">
        <v>244</v>
      </c>
      <c r="R842">
        <v>2</v>
      </c>
      <c r="S842">
        <v>50</v>
      </c>
      <c r="T842">
        <v>40</v>
      </c>
      <c r="U842">
        <v>25</v>
      </c>
      <c r="AA842">
        <v>1413.5384785199999</v>
      </c>
      <c r="AB842">
        <v>2295069.62702</v>
      </c>
      <c r="AC842" s="1" t="s">
        <v>245</v>
      </c>
      <c r="AD842" t="s">
        <v>246</v>
      </c>
    </row>
    <row r="843" spans="2:30" x14ac:dyDescent="0.25">
      <c r="B843" s="1" t="s">
        <v>1316</v>
      </c>
      <c r="C843">
        <v>842</v>
      </c>
      <c r="D843" s="1" t="s">
        <v>80</v>
      </c>
      <c r="E843" t="s">
        <v>154</v>
      </c>
      <c r="F843" s="1" t="s">
        <v>314</v>
      </c>
      <c r="O843" s="1" t="s">
        <v>490</v>
      </c>
      <c r="P843" t="s">
        <v>108</v>
      </c>
      <c r="Q843" s="1" t="s">
        <v>244</v>
      </c>
      <c r="R843">
        <v>1</v>
      </c>
      <c r="S843">
        <v>50</v>
      </c>
      <c r="T843">
        <v>40</v>
      </c>
      <c r="U843">
        <v>36</v>
      </c>
      <c r="AA843">
        <v>379.72460011700002</v>
      </c>
      <c r="AB843">
        <v>728445.62977100001</v>
      </c>
      <c r="AC843" s="1" t="s">
        <v>245</v>
      </c>
      <c r="AD843" t="s">
        <v>246</v>
      </c>
    </row>
    <row r="844" spans="2:30" x14ac:dyDescent="0.25">
      <c r="B844" s="1" t="s">
        <v>1316</v>
      </c>
      <c r="C844">
        <v>843</v>
      </c>
      <c r="D844" s="1" t="s">
        <v>80</v>
      </c>
      <c r="E844" t="s">
        <v>154</v>
      </c>
      <c r="F844" s="1" t="s">
        <v>314</v>
      </c>
      <c r="O844" s="1" t="s">
        <v>1166</v>
      </c>
      <c r="P844" t="s">
        <v>108</v>
      </c>
      <c r="Q844" s="1" t="s">
        <v>244</v>
      </c>
      <c r="R844">
        <v>7</v>
      </c>
      <c r="S844">
        <v>50</v>
      </c>
      <c r="T844">
        <v>40</v>
      </c>
      <c r="U844">
        <v>25</v>
      </c>
      <c r="AA844">
        <v>1470.46436672</v>
      </c>
      <c r="AB844">
        <v>2408992.3433500002</v>
      </c>
      <c r="AC844" s="1" t="s">
        <v>245</v>
      </c>
      <c r="AD844" t="s">
        <v>246</v>
      </c>
    </row>
    <row r="845" spans="2:30" x14ac:dyDescent="0.25">
      <c r="B845" s="1" t="s">
        <v>1333</v>
      </c>
      <c r="C845">
        <v>844</v>
      </c>
      <c r="D845" s="1" t="s">
        <v>80</v>
      </c>
      <c r="E845" t="s">
        <v>154</v>
      </c>
      <c r="F845" s="1" t="s">
        <v>318</v>
      </c>
      <c r="O845" s="1" t="s">
        <v>490</v>
      </c>
      <c r="P845" t="s">
        <v>108</v>
      </c>
      <c r="Q845" s="1" t="s">
        <v>244</v>
      </c>
      <c r="R845">
        <v>1</v>
      </c>
      <c r="S845">
        <v>50</v>
      </c>
      <c r="T845">
        <v>40</v>
      </c>
      <c r="U845">
        <v>36</v>
      </c>
      <c r="AA845">
        <v>379.72460011700002</v>
      </c>
      <c r="AB845">
        <v>728445.62988300005</v>
      </c>
      <c r="AC845" s="1" t="s">
        <v>245</v>
      </c>
      <c r="AD845" t="s">
        <v>246</v>
      </c>
    </row>
    <row r="846" spans="2:30" x14ac:dyDescent="0.25">
      <c r="B846" s="1" t="s">
        <v>1333</v>
      </c>
      <c r="C846">
        <v>845</v>
      </c>
      <c r="D846" s="1" t="s">
        <v>80</v>
      </c>
      <c r="E846" t="s">
        <v>154</v>
      </c>
      <c r="F846" s="1" t="s">
        <v>318</v>
      </c>
      <c r="O846" s="1" t="s">
        <v>1166</v>
      </c>
      <c r="P846" t="s">
        <v>108</v>
      </c>
      <c r="Q846" s="1" t="s">
        <v>244</v>
      </c>
      <c r="R846">
        <v>7</v>
      </c>
      <c r="S846">
        <v>50</v>
      </c>
      <c r="T846">
        <v>40</v>
      </c>
      <c r="U846">
        <v>25</v>
      </c>
      <c r="AA846">
        <v>1470.46436672</v>
      </c>
      <c r="AB846">
        <v>2408992.3435999998</v>
      </c>
      <c r="AC846" s="1" t="s">
        <v>245</v>
      </c>
      <c r="AD846" t="s">
        <v>246</v>
      </c>
    </row>
    <row r="847" spans="2:30" x14ac:dyDescent="0.25">
      <c r="B847" s="1" t="s">
        <v>1350</v>
      </c>
      <c r="C847">
        <v>846</v>
      </c>
      <c r="D847" s="1" t="s">
        <v>80</v>
      </c>
      <c r="E847" t="s">
        <v>154</v>
      </c>
      <c r="F847" s="1" t="s">
        <v>322</v>
      </c>
      <c r="O847" s="1" t="s">
        <v>1166</v>
      </c>
      <c r="P847" t="s">
        <v>108</v>
      </c>
      <c r="Q847" s="1" t="s">
        <v>244</v>
      </c>
      <c r="R847">
        <v>7</v>
      </c>
      <c r="S847">
        <v>50</v>
      </c>
      <c r="T847">
        <v>40</v>
      </c>
      <c r="U847">
        <v>25</v>
      </c>
      <c r="AA847">
        <v>1470.46436672</v>
      </c>
      <c r="AB847">
        <v>2408992.3520800001</v>
      </c>
      <c r="AC847" s="1" t="s">
        <v>245</v>
      </c>
      <c r="AD847" t="s">
        <v>246</v>
      </c>
    </row>
    <row r="848" spans="2:30" x14ac:dyDescent="0.25">
      <c r="B848" s="1" t="s">
        <v>1353</v>
      </c>
      <c r="C848">
        <v>847</v>
      </c>
      <c r="D848" s="1" t="s">
        <v>80</v>
      </c>
      <c r="E848" t="s">
        <v>154</v>
      </c>
      <c r="F848" s="1" t="s">
        <v>322</v>
      </c>
      <c r="O848" s="1" t="s">
        <v>504</v>
      </c>
      <c r="P848" t="s">
        <v>108</v>
      </c>
      <c r="Q848" s="1" t="s">
        <v>244</v>
      </c>
      <c r="R848">
        <v>2</v>
      </c>
      <c r="S848">
        <v>50</v>
      </c>
      <c r="T848">
        <v>40</v>
      </c>
      <c r="U848">
        <v>25</v>
      </c>
      <c r="AA848">
        <v>1470.7819507900001</v>
      </c>
      <c r="AB848">
        <v>2409624.9883699999</v>
      </c>
      <c r="AC848" s="1" t="s">
        <v>245</v>
      </c>
      <c r="AD848" t="s">
        <v>246</v>
      </c>
    </row>
    <row r="849" spans="2:30" x14ac:dyDescent="0.25">
      <c r="B849" s="1" t="s">
        <v>1336</v>
      </c>
      <c r="C849">
        <v>848</v>
      </c>
      <c r="D849" s="1" t="s">
        <v>80</v>
      </c>
      <c r="E849" t="s">
        <v>154</v>
      </c>
      <c r="F849" s="1" t="s">
        <v>318</v>
      </c>
      <c r="O849" s="1" t="s">
        <v>958</v>
      </c>
      <c r="P849" t="s">
        <v>108</v>
      </c>
      <c r="Q849" s="1" t="s">
        <v>244</v>
      </c>
      <c r="R849">
        <v>1</v>
      </c>
      <c r="S849">
        <v>50</v>
      </c>
      <c r="T849">
        <v>40</v>
      </c>
      <c r="U849">
        <v>37</v>
      </c>
      <c r="AA849">
        <v>342.06732586999999</v>
      </c>
      <c r="AB849">
        <v>659570.46525500005</v>
      </c>
      <c r="AC849" s="1" t="s">
        <v>245</v>
      </c>
      <c r="AD849" t="s">
        <v>246</v>
      </c>
    </row>
    <row r="850" spans="2:30" x14ac:dyDescent="0.25">
      <c r="B850" s="1" t="s">
        <v>1336</v>
      </c>
      <c r="C850">
        <v>849</v>
      </c>
      <c r="D850" s="1" t="s">
        <v>80</v>
      </c>
      <c r="E850" t="s">
        <v>154</v>
      </c>
      <c r="F850" s="1" t="s">
        <v>318</v>
      </c>
      <c r="O850" s="1" t="s">
        <v>497</v>
      </c>
      <c r="P850" t="s">
        <v>108</v>
      </c>
      <c r="Q850" s="1" t="s">
        <v>244</v>
      </c>
      <c r="R850">
        <v>7</v>
      </c>
      <c r="S850">
        <v>50</v>
      </c>
      <c r="T850">
        <v>40</v>
      </c>
      <c r="U850">
        <v>25</v>
      </c>
      <c r="AA850">
        <v>1470.81112297</v>
      </c>
      <c r="AB850">
        <v>2409678.22376</v>
      </c>
      <c r="AC850" s="1" t="s">
        <v>245</v>
      </c>
      <c r="AD850" t="s">
        <v>246</v>
      </c>
    </row>
    <row r="851" spans="2:30" x14ac:dyDescent="0.25">
      <c r="B851" s="1" t="s">
        <v>1353</v>
      </c>
      <c r="C851">
        <v>850</v>
      </c>
      <c r="D851" s="1" t="s">
        <v>80</v>
      </c>
      <c r="E851" t="s">
        <v>154</v>
      </c>
      <c r="F851" s="1" t="s">
        <v>322</v>
      </c>
      <c r="O851" s="1" t="s">
        <v>497</v>
      </c>
      <c r="P851" t="s">
        <v>108</v>
      </c>
      <c r="Q851" s="1" t="s">
        <v>244</v>
      </c>
      <c r="R851">
        <v>6</v>
      </c>
      <c r="S851">
        <v>50</v>
      </c>
      <c r="T851">
        <v>40</v>
      </c>
      <c r="U851">
        <v>25</v>
      </c>
      <c r="AA851">
        <v>1470.81112297</v>
      </c>
      <c r="AB851">
        <v>2409683.79996</v>
      </c>
      <c r="AC851" s="1" t="s">
        <v>245</v>
      </c>
      <c r="AD851" t="s">
        <v>246</v>
      </c>
    </row>
    <row r="852" spans="2:30" x14ac:dyDescent="0.25">
      <c r="B852" s="1" t="s">
        <v>1319</v>
      </c>
      <c r="C852">
        <v>851</v>
      </c>
      <c r="D852" s="1" t="s">
        <v>80</v>
      </c>
      <c r="E852" t="s">
        <v>154</v>
      </c>
      <c r="F852" s="1" t="s">
        <v>314</v>
      </c>
      <c r="O852" s="1" t="s">
        <v>958</v>
      </c>
      <c r="P852" t="s">
        <v>108</v>
      </c>
      <c r="Q852" s="1" t="s">
        <v>244</v>
      </c>
      <c r="R852">
        <v>1</v>
      </c>
      <c r="S852">
        <v>50</v>
      </c>
      <c r="T852">
        <v>40</v>
      </c>
      <c r="U852">
        <v>37</v>
      </c>
      <c r="AA852">
        <v>342.06732586999999</v>
      </c>
      <c r="AB852">
        <v>659572.757843</v>
      </c>
      <c r="AC852" s="1" t="s">
        <v>245</v>
      </c>
      <c r="AD852" t="s">
        <v>246</v>
      </c>
    </row>
    <row r="853" spans="2:30" x14ac:dyDescent="0.25">
      <c r="B853" s="1" t="s">
        <v>1319</v>
      </c>
      <c r="C853">
        <v>852</v>
      </c>
      <c r="D853" s="1" t="s">
        <v>80</v>
      </c>
      <c r="E853" t="s">
        <v>154</v>
      </c>
      <c r="F853" s="1" t="s">
        <v>314</v>
      </c>
      <c r="O853" s="1" t="s">
        <v>497</v>
      </c>
      <c r="P853" t="s">
        <v>108</v>
      </c>
      <c r="Q853" s="1" t="s">
        <v>244</v>
      </c>
      <c r="R853">
        <v>7</v>
      </c>
      <c r="S853">
        <v>50</v>
      </c>
      <c r="T853">
        <v>40</v>
      </c>
      <c r="U853">
        <v>25</v>
      </c>
      <c r="AA853">
        <v>1470.81112297</v>
      </c>
      <c r="AB853">
        <v>2409683.80113</v>
      </c>
      <c r="AC853" s="1" t="s">
        <v>245</v>
      </c>
      <c r="AD853" t="s">
        <v>246</v>
      </c>
    </row>
    <row r="854" spans="2:30" x14ac:dyDescent="0.25">
      <c r="B854" s="1" t="s">
        <v>1353</v>
      </c>
      <c r="C854">
        <v>853</v>
      </c>
      <c r="D854" s="1" t="s">
        <v>80</v>
      </c>
      <c r="E854" t="s">
        <v>154</v>
      </c>
      <c r="F854" s="1" t="s">
        <v>322</v>
      </c>
      <c r="O854" s="1" t="s">
        <v>498</v>
      </c>
      <c r="P854" t="s">
        <v>108</v>
      </c>
      <c r="Q854" s="1" t="s">
        <v>244</v>
      </c>
      <c r="R854">
        <v>2</v>
      </c>
      <c r="S854">
        <v>50</v>
      </c>
      <c r="T854">
        <v>40</v>
      </c>
      <c r="U854">
        <v>25</v>
      </c>
      <c r="AA854">
        <v>1470.8443734499999</v>
      </c>
      <c r="AB854">
        <v>2409750.8348699999</v>
      </c>
      <c r="AC854" s="1" t="s">
        <v>245</v>
      </c>
      <c r="AD854" t="s">
        <v>246</v>
      </c>
    </row>
    <row r="855" spans="2:30" x14ac:dyDescent="0.25">
      <c r="B855" s="1" t="s">
        <v>1350</v>
      </c>
      <c r="C855">
        <v>854</v>
      </c>
      <c r="D855" s="1" t="s">
        <v>80</v>
      </c>
      <c r="E855" t="s">
        <v>154</v>
      </c>
      <c r="F855" s="1" t="s">
        <v>322</v>
      </c>
      <c r="O855" s="1" t="s">
        <v>965</v>
      </c>
      <c r="P855" t="s">
        <v>108</v>
      </c>
      <c r="Q855" s="1" t="s">
        <v>244</v>
      </c>
      <c r="R855">
        <v>1</v>
      </c>
      <c r="S855">
        <v>50</v>
      </c>
      <c r="T855">
        <v>40</v>
      </c>
      <c r="U855">
        <v>25</v>
      </c>
      <c r="AA855">
        <v>1470.94316269</v>
      </c>
      <c r="AB855">
        <v>2409957.6107100002</v>
      </c>
      <c r="AC855" s="1" t="s">
        <v>245</v>
      </c>
      <c r="AD855" t="s">
        <v>246</v>
      </c>
    </row>
    <row r="856" spans="2:30" x14ac:dyDescent="0.25">
      <c r="B856" s="1" t="s">
        <v>1350</v>
      </c>
      <c r="C856">
        <v>855</v>
      </c>
      <c r="D856" s="1" t="s">
        <v>80</v>
      </c>
      <c r="E856" t="s">
        <v>154</v>
      </c>
      <c r="F856" s="1" t="s">
        <v>322</v>
      </c>
      <c r="O856" s="1" t="s">
        <v>925</v>
      </c>
      <c r="P856" t="s">
        <v>108</v>
      </c>
      <c r="Q856" s="1" t="s">
        <v>244</v>
      </c>
      <c r="R856">
        <v>2</v>
      </c>
      <c r="S856">
        <v>50</v>
      </c>
      <c r="T856">
        <v>40</v>
      </c>
      <c r="U856">
        <v>25</v>
      </c>
      <c r="AA856">
        <v>1471.0084147</v>
      </c>
      <c r="AB856">
        <v>2410089.1552400002</v>
      </c>
      <c r="AC856" s="1" t="s">
        <v>245</v>
      </c>
      <c r="AD856" t="s">
        <v>246</v>
      </c>
    </row>
    <row r="857" spans="2:30" x14ac:dyDescent="0.25">
      <c r="B857" s="1" t="s">
        <v>1350</v>
      </c>
      <c r="C857">
        <v>856</v>
      </c>
      <c r="D857" s="1" t="s">
        <v>80</v>
      </c>
      <c r="E857" t="s">
        <v>154</v>
      </c>
      <c r="F857" s="1" t="s">
        <v>322</v>
      </c>
      <c r="O857" s="1" t="s">
        <v>946</v>
      </c>
      <c r="P857" t="s">
        <v>108</v>
      </c>
      <c r="Q857" s="1" t="s">
        <v>244</v>
      </c>
      <c r="R857">
        <v>1</v>
      </c>
      <c r="S857">
        <v>50</v>
      </c>
      <c r="T857">
        <v>40</v>
      </c>
      <c r="U857">
        <v>25</v>
      </c>
      <c r="AA857">
        <v>1471.0384785199999</v>
      </c>
      <c r="AB857">
        <v>2410149.78033</v>
      </c>
      <c r="AC857" s="1" t="s">
        <v>245</v>
      </c>
      <c r="AD857" t="s">
        <v>246</v>
      </c>
    </row>
    <row r="858" spans="2:30" x14ac:dyDescent="0.25">
      <c r="B858" s="1" t="s">
        <v>1349</v>
      </c>
      <c r="C858">
        <v>857</v>
      </c>
      <c r="D858" s="1" t="s">
        <v>80</v>
      </c>
      <c r="E858" t="s">
        <v>154</v>
      </c>
      <c r="F858" s="1" t="s">
        <v>322</v>
      </c>
      <c r="O858" s="1" t="s">
        <v>320</v>
      </c>
      <c r="P858" t="s">
        <v>108</v>
      </c>
      <c r="Q858" s="1" t="s">
        <v>244</v>
      </c>
      <c r="R858">
        <v>1</v>
      </c>
      <c r="S858">
        <v>50</v>
      </c>
      <c r="T858">
        <v>42</v>
      </c>
      <c r="U858">
        <v>36</v>
      </c>
      <c r="AA858">
        <v>572.66496337399997</v>
      </c>
      <c r="AB858">
        <v>1117894.77718</v>
      </c>
      <c r="AC858" s="1" t="s">
        <v>245</v>
      </c>
      <c r="AD858" t="s">
        <v>246</v>
      </c>
    </row>
    <row r="859" spans="2:30" x14ac:dyDescent="0.25">
      <c r="B859" s="1" t="s">
        <v>1322</v>
      </c>
      <c r="C859">
        <v>858</v>
      </c>
      <c r="D859" s="1" t="s">
        <v>80</v>
      </c>
      <c r="E859" t="s">
        <v>154</v>
      </c>
      <c r="F859" s="1" t="s">
        <v>314</v>
      </c>
      <c r="O859" s="1" t="s">
        <v>935</v>
      </c>
      <c r="P859" t="s">
        <v>108</v>
      </c>
      <c r="Q859" s="1" t="s">
        <v>244</v>
      </c>
      <c r="R859">
        <v>2</v>
      </c>
      <c r="S859">
        <v>50</v>
      </c>
      <c r="T859">
        <v>43</v>
      </c>
      <c r="U859">
        <v>30</v>
      </c>
      <c r="AA859">
        <v>1205.7627933799999</v>
      </c>
      <c r="AB859">
        <v>2198713.3662299998</v>
      </c>
      <c r="AC859" s="1" t="s">
        <v>245</v>
      </c>
      <c r="AD859" t="s">
        <v>246</v>
      </c>
    </row>
    <row r="860" spans="2:30" x14ac:dyDescent="0.25">
      <c r="B860" s="1" t="s">
        <v>1339</v>
      </c>
      <c r="C860">
        <v>859</v>
      </c>
      <c r="D860" s="1" t="s">
        <v>80</v>
      </c>
      <c r="E860" t="s">
        <v>154</v>
      </c>
      <c r="F860" s="1" t="s">
        <v>318</v>
      </c>
      <c r="O860" s="1" t="s">
        <v>935</v>
      </c>
      <c r="P860" t="s">
        <v>108</v>
      </c>
      <c r="Q860" s="1" t="s">
        <v>244</v>
      </c>
      <c r="R860">
        <v>2</v>
      </c>
      <c r="S860">
        <v>50</v>
      </c>
      <c r="T860">
        <v>43</v>
      </c>
      <c r="U860">
        <v>30</v>
      </c>
      <c r="AA860">
        <v>1205.7627933799999</v>
      </c>
      <c r="AB860">
        <v>2198713.3662399999</v>
      </c>
      <c r="AC860" s="1" t="s">
        <v>245</v>
      </c>
      <c r="AD860" t="s">
        <v>246</v>
      </c>
    </row>
    <row r="861" spans="2:30" x14ac:dyDescent="0.25">
      <c r="B861" s="1" t="s">
        <v>1322</v>
      </c>
      <c r="C861">
        <v>860</v>
      </c>
      <c r="D861" s="1" t="s">
        <v>80</v>
      </c>
      <c r="E861" t="s">
        <v>154</v>
      </c>
      <c r="F861" s="1" t="s">
        <v>314</v>
      </c>
      <c r="O861" s="1" t="s">
        <v>960</v>
      </c>
      <c r="P861" t="s">
        <v>108</v>
      </c>
      <c r="Q861" s="1" t="s">
        <v>244</v>
      </c>
      <c r="R861">
        <v>2</v>
      </c>
      <c r="S861">
        <v>50</v>
      </c>
      <c r="T861">
        <v>43</v>
      </c>
      <c r="U861">
        <v>30</v>
      </c>
      <c r="AA861">
        <v>1206.0032829199999</v>
      </c>
      <c r="AB861">
        <v>2199226.3793000001</v>
      </c>
      <c r="AC861" s="1" t="s">
        <v>245</v>
      </c>
      <c r="AD861" t="s">
        <v>246</v>
      </c>
    </row>
    <row r="862" spans="2:30" x14ac:dyDescent="0.25">
      <c r="B862" s="1" t="s">
        <v>1339</v>
      </c>
      <c r="C862">
        <v>861</v>
      </c>
      <c r="D862" s="1" t="s">
        <v>80</v>
      </c>
      <c r="E862" t="s">
        <v>154</v>
      </c>
      <c r="F862" s="1" t="s">
        <v>318</v>
      </c>
      <c r="O862" s="1" t="s">
        <v>960</v>
      </c>
      <c r="P862" t="s">
        <v>108</v>
      </c>
      <c r="Q862" s="1" t="s">
        <v>244</v>
      </c>
      <c r="R862">
        <v>2</v>
      </c>
      <c r="S862">
        <v>50</v>
      </c>
      <c r="T862">
        <v>43</v>
      </c>
      <c r="U862">
        <v>30</v>
      </c>
      <c r="AA862">
        <v>1206.0032829300001</v>
      </c>
      <c r="AB862">
        <v>2199226.3793100002</v>
      </c>
      <c r="AC862" s="1" t="s">
        <v>245</v>
      </c>
      <c r="AD862" t="s">
        <v>246</v>
      </c>
    </row>
    <row r="863" spans="2:30" x14ac:dyDescent="0.25">
      <c r="B863" s="1" t="s">
        <v>1323</v>
      </c>
      <c r="C863">
        <v>862</v>
      </c>
      <c r="D863" s="1" t="s">
        <v>80</v>
      </c>
      <c r="E863" t="s">
        <v>154</v>
      </c>
      <c r="F863" s="1" t="s">
        <v>314</v>
      </c>
      <c r="O863" s="1" t="s">
        <v>960</v>
      </c>
      <c r="P863" t="s">
        <v>108</v>
      </c>
      <c r="Q863" s="1" t="s">
        <v>244</v>
      </c>
      <c r="R863">
        <v>2</v>
      </c>
      <c r="S863">
        <v>50</v>
      </c>
      <c r="T863">
        <v>43</v>
      </c>
      <c r="U863">
        <v>30</v>
      </c>
      <c r="AA863">
        <v>1206.0032829199999</v>
      </c>
      <c r="AB863">
        <v>2199226.3796299999</v>
      </c>
      <c r="AC863" s="1" t="s">
        <v>245</v>
      </c>
      <c r="AD863" t="s">
        <v>246</v>
      </c>
    </row>
    <row r="864" spans="2:30" x14ac:dyDescent="0.25">
      <c r="B864" s="1" t="s">
        <v>1340</v>
      </c>
      <c r="C864">
        <v>863</v>
      </c>
      <c r="D864" s="1" t="s">
        <v>80</v>
      </c>
      <c r="E864" t="s">
        <v>154</v>
      </c>
      <c r="F864" s="1" t="s">
        <v>318</v>
      </c>
      <c r="O864" s="1" t="s">
        <v>960</v>
      </c>
      <c r="P864" t="s">
        <v>108</v>
      </c>
      <c r="Q864" s="1" t="s">
        <v>244</v>
      </c>
      <c r="R864">
        <v>2</v>
      </c>
      <c r="S864">
        <v>50</v>
      </c>
      <c r="T864">
        <v>43</v>
      </c>
      <c r="U864">
        <v>30</v>
      </c>
      <c r="AA864">
        <v>1206.0032829300001</v>
      </c>
      <c r="AB864">
        <v>2199226.3796399999</v>
      </c>
      <c r="AC864" s="1" t="s">
        <v>245</v>
      </c>
      <c r="AD864" t="s">
        <v>246</v>
      </c>
    </row>
    <row r="865" spans="2:30" x14ac:dyDescent="0.25">
      <c r="B865" s="1" t="s">
        <v>1322</v>
      </c>
      <c r="C865">
        <v>864</v>
      </c>
      <c r="D865" s="1" t="s">
        <v>80</v>
      </c>
      <c r="E865" t="s">
        <v>154</v>
      </c>
      <c r="F865" s="1" t="s">
        <v>314</v>
      </c>
      <c r="O865" s="1" t="s">
        <v>485</v>
      </c>
      <c r="P865" t="s">
        <v>108</v>
      </c>
      <c r="Q865" s="1" t="s">
        <v>244</v>
      </c>
      <c r="R865">
        <v>1</v>
      </c>
      <c r="S865">
        <v>50</v>
      </c>
      <c r="T865">
        <v>45</v>
      </c>
      <c r="U865">
        <v>41</v>
      </c>
      <c r="AA865">
        <v>365.79840792900001</v>
      </c>
      <c r="AB865">
        <v>785011.95418100001</v>
      </c>
      <c r="AC865" s="1" t="s">
        <v>245</v>
      </c>
      <c r="AD865" t="s">
        <v>246</v>
      </c>
    </row>
    <row r="866" spans="2:30" x14ac:dyDescent="0.25">
      <c r="B866" s="1" t="s">
        <v>1339</v>
      </c>
      <c r="C866">
        <v>865</v>
      </c>
      <c r="D866" s="1" t="s">
        <v>80</v>
      </c>
      <c r="E866" t="s">
        <v>154</v>
      </c>
      <c r="F866" s="1" t="s">
        <v>318</v>
      </c>
      <c r="O866" s="1" t="s">
        <v>485</v>
      </c>
      <c r="P866" t="s">
        <v>108</v>
      </c>
      <c r="Q866" s="1" t="s">
        <v>244</v>
      </c>
      <c r="R866">
        <v>1</v>
      </c>
      <c r="S866">
        <v>50</v>
      </c>
      <c r="T866">
        <v>45</v>
      </c>
      <c r="U866">
        <v>41</v>
      </c>
      <c r="AA866">
        <v>365.79840793199998</v>
      </c>
      <c r="AB866">
        <v>785011.95418700005</v>
      </c>
      <c r="AC866" s="1" t="s">
        <v>245</v>
      </c>
      <c r="AD866" t="s">
        <v>246</v>
      </c>
    </row>
    <row r="867" spans="2:30" x14ac:dyDescent="0.25">
      <c r="B867" s="1" t="s">
        <v>1357</v>
      </c>
      <c r="C867">
        <v>866</v>
      </c>
      <c r="D867" s="1" t="s">
        <v>80</v>
      </c>
      <c r="E867" t="s">
        <v>154</v>
      </c>
      <c r="F867" s="1" t="s">
        <v>322</v>
      </c>
      <c r="O867" s="1" t="s">
        <v>369</v>
      </c>
      <c r="P867" t="s">
        <v>108</v>
      </c>
      <c r="Q867" s="1" t="s">
        <v>244</v>
      </c>
      <c r="R867">
        <v>1</v>
      </c>
      <c r="S867">
        <v>50</v>
      </c>
      <c r="T867">
        <v>45</v>
      </c>
      <c r="U867">
        <v>30</v>
      </c>
      <c r="AA867">
        <v>1413.7439342099999</v>
      </c>
      <c r="AB867">
        <v>2653476.9687199998</v>
      </c>
      <c r="AC867" s="1" t="s">
        <v>245</v>
      </c>
      <c r="AD867" t="s">
        <v>246</v>
      </c>
    </row>
    <row r="868" spans="2:30" x14ac:dyDescent="0.25">
      <c r="B868" s="1" t="s">
        <v>1323</v>
      </c>
      <c r="C868">
        <v>867</v>
      </c>
      <c r="D868" s="1" t="s">
        <v>80</v>
      </c>
      <c r="E868" t="s">
        <v>154</v>
      </c>
      <c r="F868" s="1" t="s">
        <v>314</v>
      </c>
      <c r="O868" s="1" t="s">
        <v>439</v>
      </c>
      <c r="P868" t="s">
        <v>108</v>
      </c>
      <c r="Q868" s="1" t="s">
        <v>244</v>
      </c>
      <c r="R868">
        <v>1</v>
      </c>
      <c r="S868">
        <v>50</v>
      </c>
      <c r="T868">
        <v>45</v>
      </c>
      <c r="U868">
        <v>41</v>
      </c>
      <c r="AA868">
        <v>371.96175447500002</v>
      </c>
      <c r="AB868">
        <v>798597.78040299995</v>
      </c>
      <c r="AC868" s="1" t="s">
        <v>245</v>
      </c>
      <c r="AD868" t="s">
        <v>246</v>
      </c>
    </row>
    <row r="869" spans="2:30" x14ac:dyDescent="0.25">
      <c r="B869" s="1" t="s">
        <v>1323</v>
      </c>
      <c r="C869">
        <v>868</v>
      </c>
      <c r="D869" s="1" t="s">
        <v>80</v>
      </c>
      <c r="E869" t="s">
        <v>154</v>
      </c>
      <c r="F869" s="1" t="s">
        <v>314</v>
      </c>
      <c r="O869" s="1" t="s">
        <v>346</v>
      </c>
      <c r="P869" t="s">
        <v>108</v>
      </c>
      <c r="Q869" s="1" t="s">
        <v>244</v>
      </c>
      <c r="R869">
        <v>7</v>
      </c>
      <c r="S869">
        <v>50</v>
      </c>
      <c r="T869">
        <v>45</v>
      </c>
      <c r="U869">
        <v>30</v>
      </c>
      <c r="AA869">
        <v>1418.7055476099999</v>
      </c>
      <c r="AB869">
        <v>2664594.78578</v>
      </c>
      <c r="AC869" s="1" t="s">
        <v>245</v>
      </c>
      <c r="AD869" t="s">
        <v>246</v>
      </c>
    </row>
    <row r="870" spans="2:30" x14ac:dyDescent="0.25">
      <c r="B870" s="1" t="s">
        <v>1323</v>
      </c>
      <c r="C870">
        <v>869</v>
      </c>
      <c r="D870" s="1" t="s">
        <v>80</v>
      </c>
      <c r="E870" t="s">
        <v>154</v>
      </c>
      <c r="F870" s="1" t="s">
        <v>314</v>
      </c>
      <c r="O870" s="1" t="s">
        <v>378</v>
      </c>
      <c r="P870" t="s">
        <v>108</v>
      </c>
      <c r="Q870" s="1" t="s">
        <v>244</v>
      </c>
      <c r="R870">
        <v>2</v>
      </c>
      <c r="S870">
        <v>50</v>
      </c>
      <c r="T870">
        <v>45</v>
      </c>
      <c r="U870">
        <v>30</v>
      </c>
      <c r="AA870">
        <v>1410.70554765</v>
      </c>
      <c r="AB870">
        <v>2652467.4172</v>
      </c>
      <c r="AC870" s="1" t="s">
        <v>245</v>
      </c>
      <c r="AD870" t="s">
        <v>246</v>
      </c>
    </row>
    <row r="871" spans="2:30" x14ac:dyDescent="0.25">
      <c r="B871" s="1" t="s">
        <v>1323</v>
      </c>
      <c r="C871">
        <v>870</v>
      </c>
      <c r="D871" s="1" t="s">
        <v>80</v>
      </c>
      <c r="E871" t="s">
        <v>154</v>
      </c>
      <c r="F871" s="1" t="s">
        <v>314</v>
      </c>
      <c r="O871" s="1" t="s">
        <v>350</v>
      </c>
      <c r="P871" t="s">
        <v>108</v>
      </c>
      <c r="Q871" s="1" t="s">
        <v>244</v>
      </c>
      <c r="R871">
        <v>1</v>
      </c>
      <c r="S871">
        <v>50</v>
      </c>
      <c r="T871">
        <v>45</v>
      </c>
      <c r="U871">
        <v>40</v>
      </c>
      <c r="AA871">
        <v>512.70554761200003</v>
      </c>
      <c r="AB871">
        <v>1082242.58081</v>
      </c>
      <c r="AC871" s="1" t="s">
        <v>245</v>
      </c>
      <c r="AD871" t="s">
        <v>246</v>
      </c>
    </row>
    <row r="872" spans="2:30" x14ac:dyDescent="0.25">
      <c r="B872" s="1" t="s">
        <v>1340</v>
      </c>
      <c r="C872">
        <v>871</v>
      </c>
      <c r="D872" s="1" t="s">
        <v>80</v>
      </c>
      <c r="E872" t="s">
        <v>154</v>
      </c>
      <c r="F872" s="1" t="s">
        <v>318</v>
      </c>
      <c r="O872" s="1" t="s">
        <v>439</v>
      </c>
      <c r="P872" t="s">
        <v>108</v>
      </c>
      <c r="Q872" s="1" t="s">
        <v>244</v>
      </c>
      <c r="R872">
        <v>1</v>
      </c>
      <c r="S872">
        <v>50</v>
      </c>
      <c r="T872">
        <v>45</v>
      </c>
      <c r="U872">
        <v>41</v>
      </c>
      <c r="AA872">
        <v>371.96175447500002</v>
      </c>
      <c r="AB872">
        <v>798597.78040299995</v>
      </c>
      <c r="AC872" s="1" t="s">
        <v>245</v>
      </c>
      <c r="AD872" t="s">
        <v>246</v>
      </c>
    </row>
    <row r="873" spans="2:30" x14ac:dyDescent="0.25">
      <c r="B873" s="1" t="s">
        <v>1340</v>
      </c>
      <c r="C873">
        <v>872</v>
      </c>
      <c r="D873" s="1" t="s">
        <v>80</v>
      </c>
      <c r="E873" t="s">
        <v>154</v>
      </c>
      <c r="F873" s="1" t="s">
        <v>318</v>
      </c>
      <c r="O873" s="1" t="s">
        <v>346</v>
      </c>
      <c r="P873" t="s">
        <v>108</v>
      </c>
      <c r="Q873" s="1" t="s">
        <v>244</v>
      </c>
      <c r="R873">
        <v>7</v>
      </c>
      <c r="S873">
        <v>50</v>
      </c>
      <c r="T873">
        <v>45</v>
      </c>
      <c r="U873">
        <v>30</v>
      </c>
      <c r="AA873">
        <v>1418.7055476099999</v>
      </c>
      <c r="AB873">
        <v>2664594.78578</v>
      </c>
      <c r="AC873" s="1" t="s">
        <v>245</v>
      </c>
      <c r="AD873" t="s">
        <v>246</v>
      </c>
    </row>
    <row r="874" spans="2:30" x14ac:dyDescent="0.25">
      <c r="B874" s="1" t="s">
        <v>1340</v>
      </c>
      <c r="C874">
        <v>873</v>
      </c>
      <c r="D874" s="1" t="s">
        <v>80</v>
      </c>
      <c r="E874" t="s">
        <v>154</v>
      </c>
      <c r="F874" s="1" t="s">
        <v>318</v>
      </c>
      <c r="O874" s="1" t="s">
        <v>378</v>
      </c>
      <c r="P874" t="s">
        <v>108</v>
      </c>
      <c r="Q874" s="1" t="s">
        <v>244</v>
      </c>
      <c r="R874">
        <v>1</v>
      </c>
      <c r="S874">
        <v>50</v>
      </c>
      <c r="T874">
        <v>45</v>
      </c>
      <c r="U874">
        <v>30</v>
      </c>
      <c r="AA874">
        <v>1410.7055476099999</v>
      </c>
      <c r="AB874">
        <v>2652467.41714</v>
      </c>
      <c r="AC874" s="1" t="s">
        <v>245</v>
      </c>
      <c r="AD874" t="s">
        <v>246</v>
      </c>
    </row>
    <row r="875" spans="2:30" x14ac:dyDescent="0.25">
      <c r="B875" s="1" t="s">
        <v>1340</v>
      </c>
      <c r="C875">
        <v>874</v>
      </c>
      <c r="D875" s="1" t="s">
        <v>80</v>
      </c>
      <c r="E875" t="s">
        <v>154</v>
      </c>
      <c r="F875" s="1" t="s">
        <v>318</v>
      </c>
      <c r="O875" s="1" t="s">
        <v>433</v>
      </c>
      <c r="P875" t="s">
        <v>108</v>
      </c>
      <c r="Q875" s="1" t="s">
        <v>244</v>
      </c>
      <c r="R875">
        <v>1</v>
      </c>
      <c r="S875">
        <v>50</v>
      </c>
      <c r="T875">
        <v>45</v>
      </c>
      <c r="U875">
        <v>30</v>
      </c>
      <c r="AA875">
        <v>1410.70189203</v>
      </c>
      <c r="AB875">
        <v>2652461.8680500002</v>
      </c>
      <c r="AC875" s="1" t="s">
        <v>245</v>
      </c>
      <c r="AD875" t="s">
        <v>246</v>
      </c>
    </row>
    <row r="876" spans="2:30" x14ac:dyDescent="0.25">
      <c r="B876" s="1" t="s">
        <v>1340</v>
      </c>
      <c r="C876">
        <v>875</v>
      </c>
      <c r="D876" s="1" t="s">
        <v>80</v>
      </c>
      <c r="E876" t="s">
        <v>154</v>
      </c>
      <c r="F876" s="1" t="s">
        <v>318</v>
      </c>
      <c r="O876" s="1" t="s">
        <v>350</v>
      </c>
      <c r="P876" t="s">
        <v>108</v>
      </c>
      <c r="Q876" s="1" t="s">
        <v>244</v>
      </c>
      <c r="R876">
        <v>1</v>
      </c>
      <c r="S876">
        <v>50</v>
      </c>
      <c r="T876">
        <v>45</v>
      </c>
      <c r="U876">
        <v>40</v>
      </c>
      <c r="AA876">
        <v>512.70554761200003</v>
      </c>
      <c r="AB876">
        <v>1082242.58081</v>
      </c>
      <c r="AC876" s="1" t="s">
        <v>245</v>
      </c>
      <c r="AD876" t="s">
        <v>246</v>
      </c>
    </row>
    <row r="877" spans="2:30" x14ac:dyDescent="0.25">
      <c r="B877" s="1" t="s">
        <v>1357</v>
      </c>
      <c r="C877">
        <v>876</v>
      </c>
      <c r="D877" s="1" t="s">
        <v>80</v>
      </c>
      <c r="E877" t="s">
        <v>154</v>
      </c>
      <c r="F877" s="1" t="s">
        <v>322</v>
      </c>
      <c r="O877" s="1" t="s">
        <v>346</v>
      </c>
      <c r="P877" t="s">
        <v>108</v>
      </c>
      <c r="Q877" s="1" t="s">
        <v>244</v>
      </c>
      <c r="R877">
        <v>7</v>
      </c>
      <c r="S877">
        <v>50</v>
      </c>
      <c r="T877">
        <v>45</v>
      </c>
      <c r="U877">
        <v>30</v>
      </c>
      <c r="AA877">
        <v>1418.7055476099999</v>
      </c>
      <c r="AB877">
        <v>2664597.1126799998</v>
      </c>
      <c r="AC877" s="1" t="s">
        <v>245</v>
      </c>
      <c r="AD877" t="s">
        <v>246</v>
      </c>
    </row>
    <row r="878" spans="2:30" x14ac:dyDescent="0.25">
      <c r="B878" s="1" t="s">
        <v>1357</v>
      </c>
      <c r="C878">
        <v>877</v>
      </c>
      <c r="D878" s="1" t="s">
        <v>80</v>
      </c>
      <c r="E878" t="s">
        <v>154</v>
      </c>
      <c r="F878" s="1" t="s">
        <v>322</v>
      </c>
      <c r="O878" s="1" t="s">
        <v>378</v>
      </c>
      <c r="P878" t="s">
        <v>108</v>
      </c>
      <c r="Q878" s="1" t="s">
        <v>244</v>
      </c>
      <c r="R878">
        <v>2</v>
      </c>
      <c r="S878">
        <v>50</v>
      </c>
      <c r="T878">
        <v>45</v>
      </c>
      <c r="U878">
        <v>30</v>
      </c>
      <c r="AA878">
        <v>1410.70554765</v>
      </c>
      <c r="AB878">
        <v>2652469.73098</v>
      </c>
      <c r="AC878" s="1" t="s">
        <v>245</v>
      </c>
      <c r="AD878" t="s">
        <v>246</v>
      </c>
    </row>
    <row r="879" spans="2:30" x14ac:dyDescent="0.25">
      <c r="B879" s="1" t="s">
        <v>1357</v>
      </c>
      <c r="C879">
        <v>878</v>
      </c>
      <c r="D879" s="1" t="s">
        <v>80</v>
      </c>
      <c r="E879" t="s">
        <v>154</v>
      </c>
      <c r="F879" s="1" t="s">
        <v>322</v>
      </c>
      <c r="O879" s="1" t="s">
        <v>350</v>
      </c>
      <c r="P879" t="s">
        <v>108</v>
      </c>
      <c r="Q879" s="1" t="s">
        <v>244</v>
      </c>
      <c r="R879">
        <v>1</v>
      </c>
      <c r="S879">
        <v>50</v>
      </c>
      <c r="T879">
        <v>45</v>
      </c>
      <c r="U879">
        <v>40</v>
      </c>
      <c r="AA879">
        <v>512.70554761200003</v>
      </c>
      <c r="AB879">
        <v>1082243.42172</v>
      </c>
      <c r="AC879" s="1" t="s">
        <v>245</v>
      </c>
      <c r="AD879" t="s">
        <v>246</v>
      </c>
    </row>
    <row r="880" spans="2:30" x14ac:dyDescent="0.25">
      <c r="B880" s="1" t="s">
        <v>1357</v>
      </c>
      <c r="C880">
        <v>879</v>
      </c>
      <c r="D880" s="1" t="s">
        <v>80</v>
      </c>
      <c r="E880" t="s">
        <v>154</v>
      </c>
      <c r="F880" s="1" t="s">
        <v>322</v>
      </c>
      <c r="O880" s="1" t="s">
        <v>370</v>
      </c>
      <c r="P880" t="s">
        <v>108</v>
      </c>
      <c r="Q880" s="1" t="s">
        <v>244</v>
      </c>
      <c r="R880">
        <v>1</v>
      </c>
      <c r="S880">
        <v>50</v>
      </c>
      <c r="T880">
        <v>45</v>
      </c>
      <c r="U880">
        <v>30</v>
      </c>
      <c r="AA880">
        <v>1418.7383949699999</v>
      </c>
      <c r="AB880">
        <v>2664670.77348</v>
      </c>
      <c r="AC880" s="1" t="s">
        <v>245</v>
      </c>
      <c r="AD880" t="s">
        <v>246</v>
      </c>
    </row>
    <row r="881" spans="2:30" x14ac:dyDescent="0.25">
      <c r="B881" s="1" t="s">
        <v>1357</v>
      </c>
      <c r="C881">
        <v>880</v>
      </c>
      <c r="D881" s="1" t="s">
        <v>80</v>
      </c>
      <c r="E881" t="s">
        <v>154</v>
      </c>
      <c r="F881" s="1" t="s">
        <v>322</v>
      </c>
      <c r="O881" s="1" t="s">
        <v>355</v>
      </c>
      <c r="P881" t="s">
        <v>108</v>
      </c>
      <c r="Q881" s="1" t="s">
        <v>244</v>
      </c>
      <c r="R881">
        <v>1</v>
      </c>
      <c r="S881">
        <v>50</v>
      </c>
      <c r="T881">
        <v>45</v>
      </c>
      <c r="U881">
        <v>30</v>
      </c>
      <c r="AA881">
        <v>1418.74053964</v>
      </c>
      <c r="AB881">
        <v>2664675.5829599998</v>
      </c>
      <c r="AC881" s="1" t="s">
        <v>245</v>
      </c>
      <c r="AD881" t="s">
        <v>246</v>
      </c>
    </row>
    <row r="882" spans="2:30" x14ac:dyDescent="0.25">
      <c r="B882" s="1" t="s">
        <v>1356</v>
      </c>
      <c r="C882">
        <v>881</v>
      </c>
      <c r="D882" s="1" t="s">
        <v>80</v>
      </c>
      <c r="E882" t="s">
        <v>154</v>
      </c>
      <c r="F882" s="1" t="s">
        <v>322</v>
      </c>
      <c r="O882" s="1" t="s">
        <v>317</v>
      </c>
      <c r="P882" t="s">
        <v>108</v>
      </c>
      <c r="Q882" s="1" t="s">
        <v>244</v>
      </c>
      <c r="R882">
        <v>2</v>
      </c>
      <c r="S882">
        <v>50</v>
      </c>
      <c r="T882">
        <v>45</v>
      </c>
      <c r="U882">
        <v>30</v>
      </c>
      <c r="AA882">
        <v>1470.7834131300001</v>
      </c>
      <c r="AB882">
        <v>2782078.6890199999</v>
      </c>
      <c r="AC882" s="1" t="s">
        <v>245</v>
      </c>
      <c r="AD882" t="s">
        <v>246</v>
      </c>
    </row>
    <row r="883" spans="2:30" x14ac:dyDescent="0.25">
      <c r="B883" s="1" t="s">
        <v>1322</v>
      </c>
      <c r="C883">
        <v>882</v>
      </c>
      <c r="D883" s="1" t="s">
        <v>80</v>
      </c>
      <c r="E883" t="s">
        <v>154</v>
      </c>
      <c r="F883" s="1" t="s">
        <v>314</v>
      </c>
      <c r="O883" s="1" t="s">
        <v>360</v>
      </c>
      <c r="P883" t="s">
        <v>108</v>
      </c>
      <c r="Q883" s="1" t="s">
        <v>244</v>
      </c>
      <c r="R883">
        <v>7</v>
      </c>
      <c r="S883">
        <v>50</v>
      </c>
      <c r="T883">
        <v>45</v>
      </c>
      <c r="U883">
        <v>30</v>
      </c>
      <c r="AA883">
        <v>1470.8121728799999</v>
      </c>
      <c r="AB883">
        <v>2782141.5397100002</v>
      </c>
      <c r="AC883" s="1" t="s">
        <v>245</v>
      </c>
      <c r="AD883" t="s">
        <v>246</v>
      </c>
    </row>
    <row r="884" spans="2:30" x14ac:dyDescent="0.25">
      <c r="B884" s="1" t="s">
        <v>1322</v>
      </c>
      <c r="C884">
        <v>883</v>
      </c>
      <c r="D884" s="1" t="s">
        <v>80</v>
      </c>
      <c r="E884" t="s">
        <v>154</v>
      </c>
      <c r="F884" s="1" t="s">
        <v>314</v>
      </c>
      <c r="O884" s="1" t="s">
        <v>486</v>
      </c>
      <c r="P884" t="s">
        <v>108</v>
      </c>
      <c r="Q884" s="1" t="s">
        <v>244</v>
      </c>
      <c r="R884">
        <v>1</v>
      </c>
      <c r="S884">
        <v>50</v>
      </c>
      <c r="T884">
        <v>45</v>
      </c>
      <c r="U884">
        <v>41</v>
      </c>
      <c r="AA884">
        <v>424.06837848999999</v>
      </c>
      <c r="AB884">
        <v>916144.532045</v>
      </c>
      <c r="AC884" s="1" t="s">
        <v>245</v>
      </c>
      <c r="AD884" t="s">
        <v>246</v>
      </c>
    </row>
    <row r="885" spans="2:30" x14ac:dyDescent="0.25">
      <c r="B885" s="1" t="s">
        <v>1339</v>
      </c>
      <c r="C885">
        <v>884</v>
      </c>
      <c r="D885" s="1" t="s">
        <v>80</v>
      </c>
      <c r="E885" t="s">
        <v>154</v>
      </c>
      <c r="F885" s="1" t="s">
        <v>318</v>
      </c>
      <c r="O885" s="1" t="s">
        <v>360</v>
      </c>
      <c r="P885" t="s">
        <v>108</v>
      </c>
      <c r="Q885" s="1" t="s">
        <v>244</v>
      </c>
      <c r="R885">
        <v>7</v>
      </c>
      <c r="S885">
        <v>50</v>
      </c>
      <c r="T885">
        <v>45</v>
      </c>
      <c r="U885">
        <v>30</v>
      </c>
      <c r="AA885">
        <v>1470.8121728799999</v>
      </c>
      <c r="AB885">
        <v>2782141.5397199998</v>
      </c>
      <c r="AC885" s="1" t="s">
        <v>245</v>
      </c>
      <c r="AD885" t="s">
        <v>246</v>
      </c>
    </row>
    <row r="886" spans="2:30" x14ac:dyDescent="0.25">
      <c r="B886" s="1" t="s">
        <v>1339</v>
      </c>
      <c r="C886">
        <v>885</v>
      </c>
      <c r="D886" s="1" t="s">
        <v>80</v>
      </c>
      <c r="E886" t="s">
        <v>154</v>
      </c>
      <c r="F886" s="1" t="s">
        <v>318</v>
      </c>
      <c r="O886" s="1" t="s">
        <v>486</v>
      </c>
      <c r="P886" t="s">
        <v>108</v>
      </c>
      <c r="Q886" s="1" t="s">
        <v>244</v>
      </c>
      <c r="R886">
        <v>1</v>
      </c>
      <c r="S886">
        <v>50</v>
      </c>
      <c r="T886">
        <v>45</v>
      </c>
      <c r="U886">
        <v>41</v>
      </c>
      <c r="AA886">
        <v>424.06837848999999</v>
      </c>
      <c r="AB886">
        <v>916144.53204399999</v>
      </c>
      <c r="AC886" s="1" t="s">
        <v>245</v>
      </c>
      <c r="AD886" t="s">
        <v>246</v>
      </c>
    </row>
    <row r="887" spans="2:30" x14ac:dyDescent="0.25">
      <c r="B887" s="1" t="s">
        <v>1356</v>
      </c>
      <c r="C887">
        <v>886</v>
      </c>
      <c r="D887" s="1" t="s">
        <v>80</v>
      </c>
      <c r="E887" t="s">
        <v>154</v>
      </c>
      <c r="F887" s="1" t="s">
        <v>322</v>
      </c>
      <c r="O887" s="1" t="s">
        <v>360</v>
      </c>
      <c r="P887" t="s">
        <v>108</v>
      </c>
      <c r="Q887" s="1" t="s">
        <v>244</v>
      </c>
      <c r="R887">
        <v>7</v>
      </c>
      <c r="S887">
        <v>50</v>
      </c>
      <c r="T887">
        <v>45</v>
      </c>
      <c r="U887">
        <v>30</v>
      </c>
      <c r="AA887">
        <v>1470.8121729300001</v>
      </c>
      <c r="AB887">
        <v>2782143.9521499998</v>
      </c>
      <c r="AC887" s="1" t="s">
        <v>245</v>
      </c>
      <c r="AD887" t="s">
        <v>246</v>
      </c>
    </row>
    <row r="888" spans="2:30" x14ac:dyDescent="0.25">
      <c r="B888" s="1" t="s">
        <v>1356</v>
      </c>
      <c r="C888">
        <v>887</v>
      </c>
      <c r="D888" s="1" t="s">
        <v>80</v>
      </c>
      <c r="E888" t="s">
        <v>154</v>
      </c>
      <c r="F888" s="1" t="s">
        <v>322</v>
      </c>
      <c r="O888" s="1" t="s">
        <v>359</v>
      </c>
      <c r="P888" t="s">
        <v>108</v>
      </c>
      <c r="Q888" s="1" t="s">
        <v>244</v>
      </c>
      <c r="R888">
        <v>1</v>
      </c>
      <c r="S888">
        <v>50</v>
      </c>
      <c r="T888">
        <v>45</v>
      </c>
      <c r="U888">
        <v>30</v>
      </c>
      <c r="AA888">
        <v>1470.8088932400001</v>
      </c>
      <c r="AB888">
        <v>2782138.9871200002</v>
      </c>
      <c r="AC888" s="1" t="s">
        <v>245</v>
      </c>
      <c r="AD888" t="s">
        <v>246</v>
      </c>
    </row>
    <row r="889" spans="2:30" x14ac:dyDescent="0.25">
      <c r="B889" s="1" t="s">
        <v>1338</v>
      </c>
      <c r="C889">
        <v>888</v>
      </c>
      <c r="D889" s="1" t="s">
        <v>80</v>
      </c>
      <c r="E889" t="s">
        <v>154</v>
      </c>
      <c r="F889" s="1" t="s">
        <v>318</v>
      </c>
      <c r="O889" s="1" t="s">
        <v>952</v>
      </c>
      <c r="P889" t="s">
        <v>108</v>
      </c>
      <c r="Q889" s="1" t="s">
        <v>244</v>
      </c>
      <c r="R889">
        <v>2</v>
      </c>
      <c r="S889">
        <v>50</v>
      </c>
      <c r="T889">
        <v>52</v>
      </c>
      <c r="U889">
        <v>40</v>
      </c>
      <c r="AA889">
        <v>1205.7627933799999</v>
      </c>
      <c r="AB889">
        <v>2791312.1647100002</v>
      </c>
      <c r="AC889" s="1" t="s">
        <v>245</v>
      </c>
      <c r="AD889" t="s">
        <v>246</v>
      </c>
    </row>
    <row r="890" spans="2:30" x14ac:dyDescent="0.25">
      <c r="B890" s="1" t="s">
        <v>1321</v>
      </c>
      <c r="C890">
        <v>889</v>
      </c>
      <c r="D890" s="1" t="s">
        <v>80</v>
      </c>
      <c r="E890" t="s">
        <v>154</v>
      </c>
      <c r="F890" s="1" t="s">
        <v>314</v>
      </c>
      <c r="O890" s="1" t="s">
        <v>952</v>
      </c>
      <c r="P890" t="s">
        <v>108</v>
      </c>
      <c r="Q890" s="1" t="s">
        <v>244</v>
      </c>
      <c r="R890">
        <v>2</v>
      </c>
      <c r="S890">
        <v>50</v>
      </c>
      <c r="T890">
        <v>52</v>
      </c>
      <c r="U890">
        <v>40</v>
      </c>
      <c r="AA890">
        <v>1205.7627933799999</v>
      </c>
      <c r="AB890">
        <v>2791324.9282499999</v>
      </c>
      <c r="AC890" s="1" t="s">
        <v>245</v>
      </c>
      <c r="AD890" t="s">
        <v>246</v>
      </c>
    </row>
    <row r="891" spans="2:30" x14ac:dyDescent="0.25">
      <c r="B891" s="1" t="s">
        <v>1338</v>
      </c>
      <c r="C891">
        <v>890</v>
      </c>
      <c r="D891" s="1" t="s">
        <v>80</v>
      </c>
      <c r="E891" t="s">
        <v>154</v>
      </c>
      <c r="F891" s="1" t="s">
        <v>318</v>
      </c>
      <c r="O891" s="1" t="s">
        <v>970</v>
      </c>
      <c r="P891" t="s">
        <v>108</v>
      </c>
      <c r="Q891" s="1" t="s">
        <v>244</v>
      </c>
      <c r="R891">
        <v>1</v>
      </c>
      <c r="S891">
        <v>50</v>
      </c>
      <c r="T891">
        <v>52</v>
      </c>
      <c r="U891">
        <v>40</v>
      </c>
      <c r="AA891">
        <v>1210.0102967299999</v>
      </c>
      <c r="AB891">
        <v>2799855.9152700002</v>
      </c>
      <c r="AC891" s="1" t="s">
        <v>245</v>
      </c>
      <c r="AD891" t="s">
        <v>246</v>
      </c>
    </row>
    <row r="892" spans="2:30" x14ac:dyDescent="0.25">
      <c r="B892" s="1" t="s">
        <v>1321</v>
      </c>
      <c r="C892">
        <v>891</v>
      </c>
      <c r="D892" s="1" t="s">
        <v>80</v>
      </c>
      <c r="E892" t="s">
        <v>154</v>
      </c>
      <c r="F892" s="1" t="s">
        <v>314</v>
      </c>
      <c r="O892" s="1" t="s">
        <v>970</v>
      </c>
      <c r="P892" t="s">
        <v>108</v>
      </c>
      <c r="Q892" s="1" t="s">
        <v>244</v>
      </c>
      <c r="R892">
        <v>1</v>
      </c>
      <c r="S892">
        <v>50</v>
      </c>
      <c r="T892">
        <v>52</v>
      </c>
      <c r="U892">
        <v>40</v>
      </c>
      <c r="AA892">
        <v>1210.0102967299999</v>
      </c>
      <c r="AB892">
        <v>2799868.7108300002</v>
      </c>
      <c r="AC892" s="1" t="s">
        <v>245</v>
      </c>
      <c r="AD892" t="s">
        <v>246</v>
      </c>
    </row>
    <row r="893" spans="2:30" x14ac:dyDescent="0.25">
      <c r="B893" s="1" t="s">
        <v>1318</v>
      </c>
      <c r="C893">
        <v>892</v>
      </c>
      <c r="D893" s="1" t="s">
        <v>80</v>
      </c>
      <c r="E893" t="s">
        <v>154</v>
      </c>
      <c r="F893" s="1" t="s">
        <v>314</v>
      </c>
      <c r="O893" s="1" t="s">
        <v>927</v>
      </c>
      <c r="P893" t="s">
        <v>108</v>
      </c>
      <c r="Q893" s="1" t="s">
        <v>244</v>
      </c>
      <c r="R893">
        <v>2</v>
      </c>
      <c r="S893">
        <v>50</v>
      </c>
      <c r="T893">
        <v>52</v>
      </c>
      <c r="U893">
        <v>40</v>
      </c>
      <c r="AA893">
        <v>1205.80660109</v>
      </c>
      <c r="AB893">
        <v>2791443.6168499999</v>
      </c>
      <c r="AC893" s="1" t="s">
        <v>245</v>
      </c>
      <c r="AD893" t="s">
        <v>246</v>
      </c>
    </row>
    <row r="894" spans="2:30" x14ac:dyDescent="0.25">
      <c r="B894" s="1" t="s">
        <v>1335</v>
      </c>
      <c r="C894">
        <v>893</v>
      </c>
      <c r="D894" s="1" t="s">
        <v>80</v>
      </c>
      <c r="E894" t="s">
        <v>154</v>
      </c>
      <c r="F894" s="1" t="s">
        <v>318</v>
      </c>
      <c r="O894" s="1" t="s">
        <v>927</v>
      </c>
      <c r="P894" t="s">
        <v>108</v>
      </c>
      <c r="Q894" s="1" t="s">
        <v>244</v>
      </c>
      <c r="R894">
        <v>2</v>
      </c>
      <c r="S894">
        <v>50</v>
      </c>
      <c r="T894">
        <v>52</v>
      </c>
      <c r="U894">
        <v>40</v>
      </c>
      <c r="AA894">
        <v>1205.80660109</v>
      </c>
      <c r="AB894">
        <v>2791443.6174300001</v>
      </c>
      <c r="AC894" s="1" t="s">
        <v>245</v>
      </c>
      <c r="AD894" t="s">
        <v>246</v>
      </c>
    </row>
    <row r="895" spans="2:30" x14ac:dyDescent="0.25">
      <c r="B895" s="1" t="s">
        <v>1318</v>
      </c>
      <c r="C895">
        <v>894</v>
      </c>
      <c r="D895" s="1" t="s">
        <v>80</v>
      </c>
      <c r="E895" t="s">
        <v>154</v>
      </c>
      <c r="F895" s="1" t="s">
        <v>314</v>
      </c>
      <c r="O895" s="1" t="s">
        <v>931</v>
      </c>
      <c r="P895" t="s">
        <v>108</v>
      </c>
      <c r="Q895" s="1" t="s">
        <v>244</v>
      </c>
      <c r="R895">
        <v>1</v>
      </c>
      <c r="S895">
        <v>50</v>
      </c>
      <c r="T895">
        <v>52</v>
      </c>
      <c r="U895">
        <v>40</v>
      </c>
      <c r="AA895">
        <v>1209.8427230699999</v>
      </c>
      <c r="AB895">
        <v>2799536.0905300002</v>
      </c>
      <c r="AC895" s="1" t="s">
        <v>245</v>
      </c>
      <c r="AD895" t="s">
        <v>246</v>
      </c>
    </row>
    <row r="896" spans="2:30" x14ac:dyDescent="0.25">
      <c r="B896" s="1" t="s">
        <v>1335</v>
      </c>
      <c r="C896">
        <v>895</v>
      </c>
      <c r="D896" s="1" t="s">
        <v>80</v>
      </c>
      <c r="E896" t="s">
        <v>154</v>
      </c>
      <c r="F896" s="1" t="s">
        <v>318</v>
      </c>
      <c r="O896" s="1" t="s">
        <v>931</v>
      </c>
      <c r="P896" t="s">
        <v>108</v>
      </c>
      <c r="Q896" s="1" t="s">
        <v>244</v>
      </c>
      <c r="R896">
        <v>1</v>
      </c>
      <c r="S896">
        <v>50</v>
      </c>
      <c r="T896">
        <v>52</v>
      </c>
      <c r="U896">
        <v>40</v>
      </c>
      <c r="AA896">
        <v>1209.8427230699999</v>
      </c>
      <c r="AB896">
        <v>2799536.0911099999</v>
      </c>
      <c r="AC896" s="1" t="s">
        <v>245</v>
      </c>
      <c r="AD896" t="s">
        <v>246</v>
      </c>
    </row>
    <row r="897" spans="2:30" x14ac:dyDescent="0.25">
      <c r="B897" s="1" t="s">
        <v>1354</v>
      </c>
      <c r="C897">
        <v>896</v>
      </c>
      <c r="D897" s="1" t="s">
        <v>80</v>
      </c>
      <c r="E897" t="s">
        <v>154</v>
      </c>
      <c r="F897" s="1" t="s">
        <v>322</v>
      </c>
      <c r="O897" s="1" t="s">
        <v>342</v>
      </c>
      <c r="P897" t="s">
        <v>108</v>
      </c>
      <c r="Q897" s="1" t="s">
        <v>244</v>
      </c>
      <c r="R897">
        <v>1</v>
      </c>
      <c r="S897">
        <v>50</v>
      </c>
      <c r="T897">
        <v>53</v>
      </c>
      <c r="U897">
        <v>53</v>
      </c>
      <c r="AA897">
        <v>1374.74379441</v>
      </c>
      <c r="AB897">
        <v>3648863.08929</v>
      </c>
      <c r="AC897" s="1" t="s">
        <v>245</v>
      </c>
      <c r="AD897" t="s">
        <v>246</v>
      </c>
    </row>
    <row r="898" spans="2:30" x14ac:dyDescent="0.25">
      <c r="B898" s="1" t="s">
        <v>1324</v>
      </c>
      <c r="C898">
        <v>897</v>
      </c>
      <c r="D898" s="1" t="s">
        <v>80</v>
      </c>
      <c r="E898" t="s">
        <v>154</v>
      </c>
      <c r="F898" s="1" t="s">
        <v>314</v>
      </c>
      <c r="O898" s="1" t="s">
        <v>959</v>
      </c>
      <c r="P898" t="s">
        <v>108</v>
      </c>
      <c r="Q898" s="1" t="s">
        <v>244</v>
      </c>
      <c r="R898">
        <v>1</v>
      </c>
      <c r="S898">
        <v>50</v>
      </c>
      <c r="T898">
        <v>55</v>
      </c>
      <c r="U898">
        <v>45</v>
      </c>
      <c r="AA898">
        <v>980.00000539099995</v>
      </c>
      <c r="AB898">
        <v>2447863.47762</v>
      </c>
      <c r="AC898" s="1" t="s">
        <v>245</v>
      </c>
      <c r="AD898" t="s">
        <v>246</v>
      </c>
    </row>
    <row r="899" spans="2:30" x14ac:dyDescent="0.25">
      <c r="B899" s="1" t="s">
        <v>1341</v>
      </c>
      <c r="C899">
        <v>898</v>
      </c>
      <c r="D899" s="1" t="s">
        <v>80</v>
      </c>
      <c r="E899" t="s">
        <v>154</v>
      </c>
      <c r="F899" s="1" t="s">
        <v>318</v>
      </c>
      <c r="O899" s="1" t="s">
        <v>959</v>
      </c>
      <c r="P899" t="s">
        <v>108</v>
      </c>
      <c r="Q899" s="1" t="s">
        <v>244</v>
      </c>
      <c r="R899">
        <v>1</v>
      </c>
      <c r="S899">
        <v>50</v>
      </c>
      <c r="T899">
        <v>55</v>
      </c>
      <c r="U899">
        <v>45</v>
      </c>
      <c r="AA899">
        <v>980.00000539099995</v>
      </c>
      <c r="AB899">
        <v>2447863.4776300001</v>
      </c>
      <c r="AC899" s="1" t="s">
        <v>245</v>
      </c>
      <c r="AD899" t="s">
        <v>246</v>
      </c>
    </row>
    <row r="900" spans="2:30" x14ac:dyDescent="0.25">
      <c r="B900" s="1" t="s">
        <v>1324</v>
      </c>
      <c r="C900">
        <v>899</v>
      </c>
      <c r="D900" s="1" t="s">
        <v>80</v>
      </c>
      <c r="E900" t="s">
        <v>154</v>
      </c>
      <c r="F900" s="1" t="s">
        <v>314</v>
      </c>
      <c r="O900" s="1" t="s">
        <v>459</v>
      </c>
      <c r="P900" t="s">
        <v>108</v>
      </c>
      <c r="Q900" s="1" t="s">
        <v>244</v>
      </c>
      <c r="R900">
        <v>2</v>
      </c>
      <c r="S900">
        <v>50</v>
      </c>
      <c r="T900">
        <v>55</v>
      </c>
      <c r="U900">
        <v>45</v>
      </c>
      <c r="AA900">
        <v>983.25948970000002</v>
      </c>
      <c r="AB900">
        <v>2455278.5732</v>
      </c>
      <c r="AC900" s="1" t="s">
        <v>245</v>
      </c>
      <c r="AD900" t="s">
        <v>246</v>
      </c>
    </row>
    <row r="901" spans="2:30" x14ac:dyDescent="0.25">
      <c r="B901" s="1" t="s">
        <v>1341</v>
      </c>
      <c r="C901">
        <v>900</v>
      </c>
      <c r="D901" s="1" t="s">
        <v>80</v>
      </c>
      <c r="E901" t="s">
        <v>154</v>
      </c>
      <c r="F901" s="1" t="s">
        <v>318</v>
      </c>
      <c r="O901" s="1" t="s">
        <v>459</v>
      </c>
      <c r="P901" t="s">
        <v>108</v>
      </c>
      <c r="Q901" s="1" t="s">
        <v>244</v>
      </c>
      <c r="R901">
        <v>2</v>
      </c>
      <c r="S901">
        <v>50</v>
      </c>
      <c r="T901">
        <v>55</v>
      </c>
      <c r="U901">
        <v>45</v>
      </c>
      <c r="AA901">
        <v>983.259489702</v>
      </c>
      <c r="AB901">
        <v>2455278.5732100001</v>
      </c>
      <c r="AC901" s="1" t="s">
        <v>245</v>
      </c>
      <c r="AD901" t="s">
        <v>246</v>
      </c>
    </row>
    <row r="902" spans="2:30" x14ac:dyDescent="0.25">
      <c r="B902" s="1" t="s">
        <v>1352</v>
      </c>
      <c r="C902">
        <v>901</v>
      </c>
      <c r="D902" s="1" t="s">
        <v>80</v>
      </c>
      <c r="E902" t="s">
        <v>154</v>
      </c>
      <c r="F902" s="1" t="s">
        <v>322</v>
      </c>
      <c r="O902" s="1" t="s">
        <v>393</v>
      </c>
      <c r="P902" t="s">
        <v>108</v>
      </c>
      <c r="Q902" s="1" t="s">
        <v>244</v>
      </c>
      <c r="R902">
        <v>2</v>
      </c>
      <c r="S902">
        <v>50</v>
      </c>
      <c r="T902">
        <v>55</v>
      </c>
      <c r="U902">
        <v>40</v>
      </c>
      <c r="AA902">
        <v>1470.77057702</v>
      </c>
      <c r="AB902">
        <v>3504910.0016899998</v>
      </c>
      <c r="AC902" s="1" t="s">
        <v>245</v>
      </c>
      <c r="AD902" t="s">
        <v>246</v>
      </c>
    </row>
    <row r="903" spans="2:30" x14ac:dyDescent="0.25">
      <c r="B903" s="1" t="s">
        <v>1338</v>
      </c>
      <c r="C903">
        <v>902</v>
      </c>
      <c r="D903" s="1" t="s">
        <v>80</v>
      </c>
      <c r="E903" t="s">
        <v>154</v>
      </c>
      <c r="F903" s="1" t="s">
        <v>318</v>
      </c>
      <c r="O903" s="1" t="s">
        <v>505</v>
      </c>
      <c r="P903" t="s">
        <v>108</v>
      </c>
      <c r="Q903" s="1" t="s">
        <v>244</v>
      </c>
      <c r="R903">
        <v>9</v>
      </c>
      <c r="S903">
        <v>50</v>
      </c>
      <c r="T903">
        <v>55</v>
      </c>
      <c r="U903">
        <v>39</v>
      </c>
      <c r="AA903">
        <v>1542.0683784600001</v>
      </c>
      <c r="AB903">
        <v>3646592.90582</v>
      </c>
      <c r="AC903" s="1" t="s">
        <v>245</v>
      </c>
      <c r="AD903" t="s">
        <v>246</v>
      </c>
    </row>
    <row r="904" spans="2:30" x14ac:dyDescent="0.25">
      <c r="B904" s="1" t="s">
        <v>1338</v>
      </c>
      <c r="C904">
        <v>903</v>
      </c>
      <c r="D904" s="1" t="s">
        <v>80</v>
      </c>
      <c r="E904" t="s">
        <v>154</v>
      </c>
      <c r="F904" s="1" t="s">
        <v>318</v>
      </c>
      <c r="O904" s="1" t="s">
        <v>954</v>
      </c>
      <c r="P904" t="s">
        <v>108</v>
      </c>
      <c r="Q904" s="1" t="s">
        <v>244</v>
      </c>
      <c r="R904">
        <v>1</v>
      </c>
      <c r="S904">
        <v>50</v>
      </c>
      <c r="T904">
        <v>55</v>
      </c>
      <c r="U904">
        <v>51</v>
      </c>
      <c r="AA904">
        <v>424.06837845799998</v>
      </c>
      <c r="AB904">
        <v>1124560.88353</v>
      </c>
      <c r="AC904" s="1" t="s">
        <v>245</v>
      </c>
      <c r="AD904" t="s">
        <v>246</v>
      </c>
    </row>
    <row r="905" spans="2:30" x14ac:dyDescent="0.25">
      <c r="B905" s="1" t="s">
        <v>1355</v>
      </c>
      <c r="C905">
        <v>904</v>
      </c>
      <c r="D905" s="1" t="s">
        <v>80</v>
      </c>
      <c r="E905" t="s">
        <v>154</v>
      </c>
      <c r="F905" s="1" t="s">
        <v>322</v>
      </c>
      <c r="O905" s="1" t="s">
        <v>505</v>
      </c>
      <c r="P905" t="s">
        <v>108</v>
      </c>
      <c r="Q905" s="1" t="s">
        <v>244</v>
      </c>
      <c r="R905">
        <v>10</v>
      </c>
      <c r="S905">
        <v>50</v>
      </c>
      <c r="T905">
        <v>55</v>
      </c>
      <c r="U905">
        <v>39</v>
      </c>
      <c r="AA905">
        <v>1542.0683784600001</v>
      </c>
      <c r="AB905">
        <v>3646609.9985500001</v>
      </c>
      <c r="AC905" s="1" t="s">
        <v>245</v>
      </c>
      <c r="AD905" t="s">
        <v>246</v>
      </c>
    </row>
    <row r="906" spans="2:30" x14ac:dyDescent="0.25">
      <c r="B906" s="1" t="s">
        <v>1355</v>
      </c>
      <c r="C906">
        <v>905</v>
      </c>
      <c r="D906" s="1" t="s">
        <v>80</v>
      </c>
      <c r="E906" t="s">
        <v>154</v>
      </c>
      <c r="F906" s="1" t="s">
        <v>322</v>
      </c>
      <c r="O906" s="1" t="s">
        <v>376</v>
      </c>
      <c r="P906" t="s">
        <v>108</v>
      </c>
      <c r="Q906" s="1" t="s">
        <v>244</v>
      </c>
      <c r="R906">
        <v>2</v>
      </c>
      <c r="S906">
        <v>50</v>
      </c>
      <c r="T906">
        <v>55</v>
      </c>
      <c r="U906">
        <v>40</v>
      </c>
      <c r="AA906">
        <v>1470.8121728799999</v>
      </c>
      <c r="AB906">
        <v>3505020.2871300001</v>
      </c>
      <c r="AC906" s="1" t="s">
        <v>245</v>
      </c>
      <c r="AD906" t="s">
        <v>246</v>
      </c>
    </row>
    <row r="907" spans="2:30" x14ac:dyDescent="0.25">
      <c r="B907" s="1" t="s">
        <v>1321</v>
      </c>
      <c r="C907">
        <v>906</v>
      </c>
      <c r="D907" s="1" t="s">
        <v>80</v>
      </c>
      <c r="E907" t="s">
        <v>154</v>
      </c>
      <c r="F907" s="1" t="s">
        <v>314</v>
      </c>
      <c r="O907" s="1" t="s">
        <v>505</v>
      </c>
      <c r="P907" t="s">
        <v>108</v>
      </c>
      <c r="Q907" s="1" t="s">
        <v>244</v>
      </c>
      <c r="R907">
        <v>9</v>
      </c>
      <c r="S907">
        <v>50</v>
      </c>
      <c r="T907">
        <v>55</v>
      </c>
      <c r="U907">
        <v>39</v>
      </c>
      <c r="AA907">
        <v>1542.0683784600001</v>
      </c>
      <c r="AB907">
        <v>3646609.9997899998</v>
      </c>
      <c r="AC907" s="1" t="s">
        <v>245</v>
      </c>
      <c r="AD907" t="s">
        <v>246</v>
      </c>
    </row>
    <row r="908" spans="2:30" x14ac:dyDescent="0.25">
      <c r="B908" s="1" t="s">
        <v>1321</v>
      </c>
      <c r="C908">
        <v>907</v>
      </c>
      <c r="D908" s="1" t="s">
        <v>80</v>
      </c>
      <c r="E908" t="s">
        <v>154</v>
      </c>
      <c r="F908" s="1" t="s">
        <v>314</v>
      </c>
      <c r="O908" s="1" t="s">
        <v>954</v>
      </c>
      <c r="P908" t="s">
        <v>108</v>
      </c>
      <c r="Q908" s="1" t="s">
        <v>244</v>
      </c>
      <c r="R908">
        <v>1</v>
      </c>
      <c r="S908">
        <v>50</v>
      </c>
      <c r="T908">
        <v>55</v>
      </c>
      <c r="U908">
        <v>51</v>
      </c>
      <c r="AA908">
        <v>424.06837845799998</v>
      </c>
      <c r="AB908">
        <v>1124566.8067099999</v>
      </c>
      <c r="AC908" s="1" t="s">
        <v>245</v>
      </c>
      <c r="AD908" t="s">
        <v>246</v>
      </c>
    </row>
    <row r="909" spans="2:30" x14ac:dyDescent="0.25">
      <c r="B909" s="1" t="s">
        <v>1318</v>
      </c>
      <c r="C909">
        <v>908</v>
      </c>
      <c r="D909" s="1" t="s">
        <v>80</v>
      </c>
      <c r="E909" t="s">
        <v>154</v>
      </c>
      <c r="F909" s="1" t="s">
        <v>314</v>
      </c>
      <c r="O909" s="1" t="s">
        <v>347</v>
      </c>
      <c r="P909" t="s">
        <v>108</v>
      </c>
      <c r="Q909" s="1" t="s">
        <v>244</v>
      </c>
      <c r="R909">
        <v>9</v>
      </c>
      <c r="S909">
        <v>50</v>
      </c>
      <c r="T909">
        <v>55</v>
      </c>
      <c r="U909">
        <v>39</v>
      </c>
      <c r="AA909">
        <v>1580.0673258100001</v>
      </c>
      <c r="AB909">
        <v>3721053.7349700001</v>
      </c>
      <c r="AC909" s="1" t="s">
        <v>245</v>
      </c>
      <c r="AD909" t="s">
        <v>246</v>
      </c>
    </row>
    <row r="910" spans="2:30" x14ac:dyDescent="0.25">
      <c r="B910" s="1" t="s">
        <v>1318</v>
      </c>
      <c r="C910">
        <v>909</v>
      </c>
      <c r="D910" s="1" t="s">
        <v>80</v>
      </c>
      <c r="E910" t="s">
        <v>154</v>
      </c>
      <c r="F910" s="1" t="s">
        <v>314</v>
      </c>
      <c r="O910" s="1" t="s">
        <v>948</v>
      </c>
      <c r="P910" t="s">
        <v>108</v>
      </c>
      <c r="Q910" s="1" t="s">
        <v>244</v>
      </c>
      <c r="R910">
        <v>1</v>
      </c>
      <c r="S910">
        <v>50</v>
      </c>
      <c r="T910">
        <v>55</v>
      </c>
      <c r="U910">
        <v>52</v>
      </c>
      <c r="AA910">
        <v>342.06732586999999</v>
      </c>
      <c r="AB910">
        <v>914316.12401300005</v>
      </c>
      <c r="AC910" s="1" t="s">
        <v>245</v>
      </c>
      <c r="AD910" t="s">
        <v>246</v>
      </c>
    </row>
    <row r="911" spans="2:30" x14ac:dyDescent="0.25">
      <c r="B911" s="1" t="s">
        <v>1335</v>
      </c>
      <c r="C911">
        <v>910</v>
      </c>
      <c r="D911" s="1" t="s">
        <v>80</v>
      </c>
      <c r="E911" t="s">
        <v>154</v>
      </c>
      <c r="F911" s="1" t="s">
        <v>318</v>
      </c>
      <c r="O911" s="1" t="s">
        <v>347</v>
      </c>
      <c r="P911" t="s">
        <v>108</v>
      </c>
      <c r="Q911" s="1" t="s">
        <v>244</v>
      </c>
      <c r="R911">
        <v>9</v>
      </c>
      <c r="S911">
        <v>50</v>
      </c>
      <c r="T911">
        <v>55</v>
      </c>
      <c r="U911">
        <v>39</v>
      </c>
      <c r="AA911">
        <v>1580.0673258100001</v>
      </c>
      <c r="AB911">
        <v>3721053.7357600001</v>
      </c>
      <c r="AC911" s="1" t="s">
        <v>245</v>
      </c>
      <c r="AD911" t="s">
        <v>246</v>
      </c>
    </row>
    <row r="912" spans="2:30" x14ac:dyDescent="0.25">
      <c r="B912" s="1" t="s">
        <v>1335</v>
      </c>
      <c r="C912">
        <v>911</v>
      </c>
      <c r="D912" s="1" t="s">
        <v>80</v>
      </c>
      <c r="E912" t="s">
        <v>154</v>
      </c>
      <c r="F912" s="1" t="s">
        <v>318</v>
      </c>
      <c r="O912" s="1" t="s">
        <v>948</v>
      </c>
      <c r="P912" t="s">
        <v>108</v>
      </c>
      <c r="Q912" s="1" t="s">
        <v>244</v>
      </c>
      <c r="R912">
        <v>1</v>
      </c>
      <c r="S912">
        <v>50</v>
      </c>
      <c r="T912">
        <v>55</v>
      </c>
      <c r="U912">
        <v>52</v>
      </c>
      <c r="AA912">
        <v>342.06732586999999</v>
      </c>
      <c r="AB912">
        <v>914316.12423299998</v>
      </c>
      <c r="AC912" s="1" t="s">
        <v>245</v>
      </c>
      <c r="AD912" t="s">
        <v>246</v>
      </c>
    </row>
    <row r="913" spans="2:30" x14ac:dyDescent="0.25">
      <c r="B913" s="1" t="s">
        <v>1352</v>
      </c>
      <c r="C913">
        <v>912</v>
      </c>
      <c r="D913" s="1" t="s">
        <v>80</v>
      </c>
      <c r="E913" t="s">
        <v>154</v>
      </c>
      <c r="F913" s="1" t="s">
        <v>322</v>
      </c>
      <c r="O913" s="1" t="s">
        <v>347</v>
      </c>
      <c r="P913" t="s">
        <v>108</v>
      </c>
      <c r="Q913" s="1" t="s">
        <v>244</v>
      </c>
      <c r="R913">
        <v>9</v>
      </c>
      <c r="S913">
        <v>50</v>
      </c>
      <c r="T913">
        <v>55</v>
      </c>
      <c r="U913">
        <v>39</v>
      </c>
      <c r="AA913">
        <v>1580.0673258100001</v>
      </c>
      <c r="AB913">
        <v>3721053.7621599999</v>
      </c>
      <c r="AC913" s="1" t="s">
        <v>245</v>
      </c>
      <c r="AD913" t="s">
        <v>246</v>
      </c>
    </row>
    <row r="914" spans="2:30" x14ac:dyDescent="0.25">
      <c r="B914" s="1" t="s">
        <v>1352</v>
      </c>
      <c r="C914">
        <v>913</v>
      </c>
      <c r="D914" s="1" t="s">
        <v>80</v>
      </c>
      <c r="E914" t="s">
        <v>154</v>
      </c>
      <c r="F914" s="1" t="s">
        <v>322</v>
      </c>
      <c r="O914" s="1" t="s">
        <v>364</v>
      </c>
      <c r="P914" t="s">
        <v>108</v>
      </c>
      <c r="Q914" s="1" t="s">
        <v>244</v>
      </c>
      <c r="R914">
        <v>1</v>
      </c>
      <c r="S914">
        <v>50</v>
      </c>
      <c r="T914">
        <v>55</v>
      </c>
      <c r="U914">
        <v>39</v>
      </c>
      <c r="AA914">
        <v>1580.1045173699999</v>
      </c>
      <c r="AB914">
        <v>3721156.4393199999</v>
      </c>
      <c r="AC914" s="1" t="s">
        <v>245</v>
      </c>
      <c r="AD914" t="s">
        <v>246</v>
      </c>
    </row>
    <row r="915" spans="2:30" x14ac:dyDescent="0.25">
      <c r="B915" s="1" t="s">
        <v>1324</v>
      </c>
      <c r="C915">
        <v>914</v>
      </c>
      <c r="D915" s="1" t="s">
        <v>80</v>
      </c>
      <c r="E915" t="s">
        <v>154</v>
      </c>
      <c r="F915" s="1" t="s">
        <v>314</v>
      </c>
      <c r="O915" s="1" t="s">
        <v>379</v>
      </c>
      <c r="P915" t="s">
        <v>108</v>
      </c>
      <c r="Q915" s="1" t="s">
        <v>244</v>
      </c>
      <c r="R915">
        <v>9</v>
      </c>
      <c r="S915">
        <v>50</v>
      </c>
      <c r="T915">
        <v>58</v>
      </c>
      <c r="U915">
        <v>45</v>
      </c>
      <c r="AA915">
        <v>1248.2594896999999</v>
      </c>
      <c r="AB915">
        <v>3201950.90056</v>
      </c>
      <c r="AC915" s="1" t="s">
        <v>245</v>
      </c>
      <c r="AD915" t="s">
        <v>246</v>
      </c>
    </row>
    <row r="916" spans="2:30" x14ac:dyDescent="0.25">
      <c r="B916" s="1" t="s">
        <v>1324</v>
      </c>
      <c r="C916">
        <v>915</v>
      </c>
      <c r="D916" s="1" t="s">
        <v>80</v>
      </c>
      <c r="E916" t="s">
        <v>154</v>
      </c>
      <c r="F916" s="1" t="s">
        <v>314</v>
      </c>
      <c r="O916" s="1" t="s">
        <v>452</v>
      </c>
      <c r="P916" t="s">
        <v>108</v>
      </c>
      <c r="Q916" s="1" t="s">
        <v>244</v>
      </c>
      <c r="R916">
        <v>1</v>
      </c>
      <c r="S916">
        <v>50</v>
      </c>
      <c r="T916">
        <v>58</v>
      </c>
      <c r="U916">
        <v>54</v>
      </c>
      <c r="AA916">
        <v>379.003442044</v>
      </c>
      <c r="AB916">
        <v>1056796.3614000001</v>
      </c>
      <c r="AC916" s="1" t="s">
        <v>245</v>
      </c>
      <c r="AD916" t="s">
        <v>246</v>
      </c>
    </row>
    <row r="917" spans="2:30" x14ac:dyDescent="0.25">
      <c r="B917" s="1" t="s">
        <v>1341</v>
      </c>
      <c r="C917">
        <v>916</v>
      </c>
      <c r="D917" s="1" t="s">
        <v>80</v>
      </c>
      <c r="E917" t="s">
        <v>154</v>
      </c>
      <c r="F917" s="1" t="s">
        <v>318</v>
      </c>
      <c r="O917" s="1" t="s">
        <v>379</v>
      </c>
      <c r="P917" t="s">
        <v>108</v>
      </c>
      <c r="Q917" s="1" t="s">
        <v>244</v>
      </c>
      <c r="R917">
        <v>9</v>
      </c>
      <c r="S917">
        <v>50</v>
      </c>
      <c r="T917">
        <v>58</v>
      </c>
      <c r="U917">
        <v>45</v>
      </c>
      <c r="AA917">
        <v>1248.2594896999999</v>
      </c>
      <c r="AB917">
        <v>3201950.90056</v>
      </c>
      <c r="AC917" s="1" t="s">
        <v>245</v>
      </c>
      <c r="AD917" t="s">
        <v>246</v>
      </c>
    </row>
    <row r="918" spans="2:30" x14ac:dyDescent="0.25">
      <c r="B918" s="1" t="s">
        <v>1341</v>
      </c>
      <c r="C918">
        <v>917</v>
      </c>
      <c r="D918" s="1" t="s">
        <v>80</v>
      </c>
      <c r="E918" t="s">
        <v>154</v>
      </c>
      <c r="F918" s="1" t="s">
        <v>318</v>
      </c>
      <c r="O918" s="1" t="s">
        <v>452</v>
      </c>
      <c r="P918" t="s">
        <v>108</v>
      </c>
      <c r="Q918" s="1" t="s">
        <v>244</v>
      </c>
      <c r="R918">
        <v>1</v>
      </c>
      <c r="S918">
        <v>50</v>
      </c>
      <c r="T918">
        <v>58</v>
      </c>
      <c r="U918">
        <v>54</v>
      </c>
      <c r="AA918">
        <v>379.003442044</v>
      </c>
      <c r="AB918">
        <v>1056796.3614000001</v>
      </c>
      <c r="AC918" s="1" t="s">
        <v>245</v>
      </c>
      <c r="AD918" t="s">
        <v>246</v>
      </c>
    </row>
    <row r="919" spans="2:30" x14ac:dyDescent="0.25">
      <c r="B919" s="1" t="s">
        <v>1358</v>
      </c>
      <c r="C919">
        <v>918</v>
      </c>
      <c r="D919" s="1" t="s">
        <v>80</v>
      </c>
      <c r="E919" t="s">
        <v>154</v>
      </c>
      <c r="F919" s="1" t="s">
        <v>322</v>
      </c>
      <c r="O919" s="1" t="s">
        <v>379</v>
      </c>
      <c r="P919" t="s">
        <v>108</v>
      </c>
      <c r="Q919" s="1" t="s">
        <v>244</v>
      </c>
      <c r="R919">
        <v>11</v>
      </c>
      <c r="S919">
        <v>50</v>
      </c>
      <c r="T919">
        <v>58</v>
      </c>
      <c r="U919">
        <v>45</v>
      </c>
      <c r="AA919">
        <v>1248.2594896999999</v>
      </c>
      <c r="AB919">
        <v>3201952.94789</v>
      </c>
      <c r="AC919" s="1" t="s">
        <v>245</v>
      </c>
      <c r="AD919" t="s">
        <v>246</v>
      </c>
    </row>
    <row r="920" spans="2:30" x14ac:dyDescent="0.25">
      <c r="B920" s="1" t="s">
        <v>1332</v>
      </c>
      <c r="C920">
        <v>919</v>
      </c>
      <c r="D920" s="1" t="s">
        <v>80</v>
      </c>
      <c r="E920" t="s">
        <v>154</v>
      </c>
      <c r="F920" s="1" t="s">
        <v>318</v>
      </c>
      <c r="O920" s="1" t="s">
        <v>481</v>
      </c>
      <c r="P920" t="s">
        <v>108</v>
      </c>
      <c r="Q920" s="1" t="s">
        <v>244</v>
      </c>
      <c r="R920">
        <v>2</v>
      </c>
      <c r="S920">
        <v>50</v>
      </c>
      <c r="T920">
        <v>58</v>
      </c>
      <c r="U920">
        <v>36</v>
      </c>
      <c r="AA920">
        <v>2108.6260582800001</v>
      </c>
      <c r="AB920">
        <v>4960561.9066899996</v>
      </c>
      <c r="AC920" s="1" t="s">
        <v>245</v>
      </c>
      <c r="AD920" t="s">
        <v>246</v>
      </c>
    </row>
    <row r="921" spans="2:30" x14ac:dyDescent="0.25">
      <c r="B921" s="1" t="s">
        <v>1315</v>
      </c>
      <c r="C921">
        <v>920</v>
      </c>
      <c r="D921" s="1" t="s">
        <v>80</v>
      </c>
      <c r="E921" t="s">
        <v>154</v>
      </c>
      <c r="F921" s="1" t="s">
        <v>314</v>
      </c>
      <c r="O921" s="1" t="s">
        <v>481</v>
      </c>
      <c r="P921" t="s">
        <v>108</v>
      </c>
      <c r="Q921" s="1" t="s">
        <v>244</v>
      </c>
      <c r="R921">
        <v>2</v>
      </c>
      <c r="S921">
        <v>50</v>
      </c>
      <c r="T921">
        <v>58</v>
      </c>
      <c r="U921">
        <v>36</v>
      </c>
      <c r="AA921">
        <v>2108.6260582800001</v>
      </c>
      <c r="AB921">
        <v>4960561.9205099996</v>
      </c>
      <c r="AC921" s="1" t="s">
        <v>245</v>
      </c>
      <c r="AD921" t="s">
        <v>246</v>
      </c>
    </row>
    <row r="922" spans="2:30" x14ac:dyDescent="0.25">
      <c r="B922" s="1" t="s">
        <v>1332</v>
      </c>
      <c r="C922">
        <v>921</v>
      </c>
      <c r="D922" s="1" t="s">
        <v>80</v>
      </c>
      <c r="E922" t="s">
        <v>154</v>
      </c>
      <c r="F922" s="1" t="s">
        <v>318</v>
      </c>
      <c r="O922" s="1" t="s">
        <v>480</v>
      </c>
      <c r="P922" t="s">
        <v>108</v>
      </c>
      <c r="Q922" s="1" t="s">
        <v>244</v>
      </c>
      <c r="R922">
        <v>1</v>
      </c>
      <c r="S922">
        <v>50</v>
      </c>
      <c r="T922">
        <v>58</v>
      </c>
      <c r="U922">
        <v>38</v>
      </c>
      <c r="AA922">
        <v>1887.26079263</v>
      </c>
      <c r="AB922">
        <v>4547116.8838900002</v>
      </c>
      <c r="AC922" s="1" t="s">
        <v>245</v>
      </c>
      <c r="AD922" t="s">
        <v>246</v>
      </c>
    </row>
    <row r="923" spans="2:30" x14ac:dyDescent="0.25">
      <c r="B923" s="1" t="s">
        <v>1315</v>
      </c>
      <c r="C923">
        <v>922</v>
      </c>
      <c r="D923" s="1" t="s">
        <v>80</v>
      </c>
      <c r="E923" t="s">
        <v>154</v>
      </c>
      <c r="F923" s="1" t="s">
        <v>314</v>
      </c>
      <c r="O923" s="1" t="s">
        <v>480</v>
      </c>
      <c r="P923" t="s">
        <v>108</v>
      </c>
      <c r="Q923" s="1" t="s">
        <v>244</v>
      </c>
      <c r="R923">
        <v>1</v>
      </c>
      <c r="S923">
        <v>50</v>
      </c>
      <c r="T923">
        <v>58</v>
      </c>
      <c r="U923">
        <v>38</v>
      </c>
      <c r="AA923">
        <v>1887.26079263</v>
      </c>
      <c r="AB923">
        <v>4547116.8975400003</v>
      </c>
      <c r="AC923" s="1" t="s">
        <v>245</v>
      </c>
      <c r="AD923" t="s">
        <v>246</v>
      </c>
    </row>
    <row r="924" spans="2:30" x14ac:dyDescent="0.25">
      <c r="B924" s="1" t="s">
        <v>1349</v>
      </c>
      <c r="C924">
        <v>923</v>
      </c>
      <c r="D924" s="1" t="s">
        <v>80</v>
      </c>
      <c r="E924" t="s">
        <v>154</v>
      </c>
      <c r="F924" s="1" t="s">
        <v>322</v>
      </c>
      <c r="O924" s="1" t="s">
        <v>392</v>
      </c>
      <c r="P924" t="s">
        <v>108</v>
      </c>
      <c r="Q924" s="1" t="s">
        <v>244</v>
      </c>
      <c r="R924">
        <v>4</v>
      </c>
      <c r="S924">
        <v>50</v>
      </c>
      <c r="T924">
        <v>60</v>
      </c>
      <c r="U924">
        <v>36</v>
      </c>
      <c r="AA924">
        <v>2373.1260582800001</v>
      </c>
      <c r="AB924">
        <v>5686433.4791999999</v>
      </c>
      <c r="AC924" s="1" t="s">
        <v>245</v>
      </c>
      <c r="AD924" t="s">
        <v>246</v>
      </c>
    </row>
    <row r="925" spans="2:30" x14ac:dyDescent="0.25">
      <c r="B925" s="1" t="s">
        <v>1349</v>
      </c>
      <c r="C925">
        <v>924</v>
      </c>
      <c r="D925" s="1" t="s">
        <v>80</v>
      </c>
      <c r="E925" t="s">
        <v>154</v>
      </c>
      <c r="F925" s="1" t="s">
        <v>322</v>
      </c>
      <c r="O925" s="1" t="s">
        <v>934</v>
      </c>
      <c r="P925" t="s">
        <v>108</v>
      </c>
      <c r="Q925" s="1" t="s">
        <v>244</v>
      </c>
      <c r="R925">
        <v>1</v>
      </c>
      <c r="S925">
        <v>50</v>
      </c>
      <c r="T925">
        <v>60</v>
      </c>
      <c r="U925">
        <v>44</v>
      </c>
      <c r="AA925">
        <v>1560.4610554999999</v>
      </c>
      <c r="AB925">
        <v>4051929.7082400001</v>
      </c>
      <c r="AC925" s="1" t="s">
        <v>245</v>
      </c>
      <c r="AD925" t="s">
        <v>246</v>
      </c>
    </row>
    <row r="926" spans="2:30" x14ac:dyDescent="0.25">
      <c r="B926" s="1" t="s">
        <v>1349</v>
      </c>
      <c r="C926">
        <v>925</v>
      </c>
      <c r="D926" s="1" t="s">
        <v>80</v>
      </c>
      <c r="E926" t="s">
        <v>154</v>
      </c>
      <c r="F926" s="1" t="s">
        <v>322</v>
      </c>
      <c r="O926" s="1" t="s">
        <v>964</v>
      </c>
      <c r="P926" t="s">
        <v>108</v>
      </c>
      <c r="Q926" s="1" t="s">
        <v>244</v>
      </c>
      <c r="R926">
        <v>1</v>
      </c>
      <c r="S926">
        <v>50</v>
      </c>
      <c r="T926">
        <v>60</v>
      </c>
      <c r="U926">
        <v>36</v>
      </c>
      <c r="AA926">
        <v>2373.62869679</v>
      </c>
      <c r="AB926">
        <v>5687932.1656200001</v>
      </c>
      <c r="AC926" s="1" t="s">
        <v>245</v>
      </c>
      <c r="AD926" t="s">
        <v>246</v>
      </c>
    </row>
    <row r="927" spans="2:30" x14ac:dyDescent="0.25">
      <c r="B927" s="1" t="s">
        <v>1349</v>
      </c>
      <c r="C927">
        <v>926</v>
      </c>
      <c r="D927" s="1" t="s">
        <v>80</v>
      </c>
      <c r="E927" t="s">
        <v>154</v>
      </c>
      <c r="F927" s="1" t="s">
        <v>322</v>
      </c>
      <c r="O927" s="1" t="s">
        <v>963</v>
      </c>
      <c r="P927" t="s">
        <v>108</v>
      </c>
      <c r="Q927" s="1" t="s">
        <v>244</v>
      </c>
      <c r="R927">
        <v>1</v>
      </c>
      <c r="S927">
        <v>50</v>
      </c>
      <c r="T927">
        <v>60</v>
      </c>
      <c r="U927">
        <v>36</v>
      </c>
      <c r="AA927">
        <v>2373.7001857700002</v>
      </c>
      <c r="AB927">
        <v>5688145.3299599998</v>
      </c>
      <c r="AC927" s="1" t="s">
        <v>245</v>
      </c>
      <c r="AD927" t="s">
        <v>246</v>
      </c>
    </row>
    <row r="928" spans="2:30" x14ac:dyDescent="0.25">
      <c r="B928" s="1" t="s">
        <v>1332</v>
      </c>
      <c r="C928">
        <v>927</v>
      </c>
      <c r="D928" s="1" t="s">
        <v>80</v>
      </c>
      <c r="E928" t="s">
        <v>154</v>
      </c>
      <c r="F928" s="1" t="s">
        <v>318</v>
      </c>
      <c r="O928" s="1" t="s">
        <v>488</v>
      </c>
      <c r="P928" t="s">
        <v>108</v>
      </c>
      <c r="Q928" s="1" t="s">
        <v>244</v>
      </c>
      <c r="R928">
        <v>4</v>
      </c>
      <c r="S928">
        <v>50</v>
      </c>
      <c r="T928">
        <v>61</v>
      </c>
      <c r="U928">
        <v>36</v>
      </c>
      <c r="AA928">
        <v>2373.1260582800001</v>
      </c>
      <c r="AB928">
        <v>5743990.5919199996</v>
      </c>
      <c r="AC928" s="1" t="s">
        <v>245</v>
      </c>
      <c r="AD928" t="s">
        <v>246</v>
      </c>
    </row>
    <row r="929" spans="2:30" x14ac:dyDescent="0.25">
      <c r="B929" s="1" t="s">
        <v>1332</v>
      </c>
      <c r="C929">
        <v>928</v>
      </c>
      <c r="D929" s="1" t="s">
        <v>80</v>
      </c>
      <c r="E929" t="s">
        <v>154</v>
      </c>
      <c r="F929" s="1" t="s">
        <v>318</v>
      </c>
      <c r="O929" s="1" t="s">
        <v>951</v>
      </c>
      <c r="P929" t="s">
        <v>108</v>
      </c>
      <c r="Q929" s="1" t="s">
        <v>244</v>
      </c>
      <c r="R929">
        <v>1</v>
      </c>
      <c r="S929">
        <v>50</v>
      </c>
      <c r="T929">
        <v>61</v>
      </c>
      <c r="U929">
        <v>57</v>
      </c>
      <c r="AA929">
        <v>379.72460007799998</v>
      </c>
      <c r="AB929">
        <v>1113479.25801</v>
      </c>
      <c r="AC929" s="1" t="s">
        <v>245</v>
      </c>
      <c r="AD929" t="s">
        <v>246</v>
      </c>
    </row>
    <row r="930" spans="2:30" x14ac:dyDescent="0.25">
      <c r="B930" s="1" t="s">
        <v>1315</v>
      </c>
      <c r="C930">
        <v>929</v>
      </c>
      <c r="D930" s="1" t="s">
        <v>80</v>
      </c>
      <c r="E930" t="s">
        <v>154</v>
      </c>
      <c r="F930" s="1" t="s">
        <v>314</v>
      </c>
      <c r="O930" s="1" t="s">
        <v>488</v>
      </c>
      <c r="P930" t="s">
        <v>108</v>
      </c>
      <c r="Q930" s="1" t="s">
        <v>244</v>
      </c>
      <c r="R930">
        <v>4</v>
      </c>
      <c r="S930">
        <v>50</v>
      </c>
      <c r="T930">
        <v>61</v>
      </c>
      <c r="U930">
        <v>36</v>
      </c>
      <c r="AA930">
        <v>2373.1260582800001</v>
      </c>
      <c r="AB930">
        <v>5743990.60941</v>
      </c>
      <c r="AC930" s="1" t="s">
        <v>245</v>
      </c>
      <c r="AD930" t="s">
        <v>246</v>
      </c>
    </row>
    <row r="931" spans="2:30" x14ac:dyDescent="0.25">
      <c r="B931" s="1" t="s">
        <v>1315</v>
      </c>
      <c r="C931">
        <v>930</v>
      </c>
      <c r="D931" s="1" t="s">
        <v>80</v>
      </c>
      <c r="E931" t="s">
        <v>154</v>
      </c>
      <c r="F931" s="1" t="s">
        <v>314</v>
      </c>
      <c r="O931" s="1" t="s">
        <v>951</v>
      </c>
      <c r="P931" t="s">
        <v>108</v>
      </c>
      <c r="Q931" s="1" t="s">
        <v>244</v>
      </c>
      <c r="R931">
        <v>1</v>
      </c>
      <c r="S931">
        <v>50</v>
      </c>
      <c r="T931">
        <v>61</v>
      </c>
      <c r="U931">
        <v>57</v>
      </c>
      <c r="AA931">
        <v>379.72460007799998</v>
      </c>
      <c r="AB931">
        <v>1113479.2631399999</v>
      </c>
      <c r="AC931" s="1" t="s">
        <v>245</v>
      </c>
      <c r="AD931" t="s">
        <v>246</v>
      </c>
    </row>
    <row r="932" spans="2:30" x14ac:dyDescent="0.25">
      <c r="B932" s="1" t="s">
        <v>255</v>
      </c>
      <c r="C932">
        <v>931</v>
      </c>
      <c r="D932" s="1" t="s">
        <v>80</v>
      </c>
      <c r="E932" t="s">
        <v>152</v>
      </c>
      <c r="F932" s="1" t="s">
        <v>318</v>
      </c>
      <c r="O932" s="1" t="s">
        <v>403</v>
      </c>
      <c r="P932" t="s">
        <v>108</v>
      </c>
      <c r="Q932" s="1" t="s">
        <v>244</v>
      </c>
      <c r="R932">
        <v>2</v>
      </c>
      <c r="S932">
        <v>50</v>
      </c>
      <c r="T932">
        <v>29</v>
      </c>
      <c r="U932">
        <v>26</v>
      </c>
      <c r="AA932">
        <v>185.001362325</v>
      </c>
      <c r="AB932">
        <v>253721.33102000001</v>
      </c>
      <c r="AC932" s="1" t="s">
        <v>245</v>
      </c>
      <c r="AD932">
        <v>607059</v>
      </c>
    </row>
    <row r="933" spans="2:30" x14ac:dyDescent="0.25">
      <c r="B933" s="1" t="s">
        <v>256</v>
      </c>
      <c r="C933">
        <v>932</v>
      </c>
      <c r="D933" s="1" t="s">
        <v>80</v>
      </c>
      <c r="E933" t="s">
        <v>152</v>
      </c>
      <c r="F933" s="1" t="s">
        <v>322</v>
      </c>
      <c r="O933" s="1" t="s">
        <v>403</v>
      </c>
      <c r="P933" t="s">
        <v>108</v>
      </c>
      <c r="Q933" s="1" t="s">
        <v>244</v>
      </c>
      <c r="R933">
        <v>2</v>
      </c>
      <c r="S933">
        <v>50</v>
      </c>
      <c r="T933">
        <v>29</v>
      </c>
      <c r="U933">
        <v>26</v>
      </c>
      <c r="AA933">
        <v>185.00136232400001</v>
      </c>
      <c r="AB933">
        <v>253721.331022</v>
      </c>
      <c r="AC933" s="1" t="s">
        <v>245</v>
      </c>
      <c r="AD933">
        <v>607059</v>
      </c>
    </row>
    <row r="934" spans="2:30" x14ac:dyDescent="0.25">
      <c r="B934" s="1" t="s">
        <v>250</v>
      </c>
      <c r="C934">
        <v>933</v>
      </c>
      <c r="D934" s="1" t="s">
        <v>80</v>
      </c>
      <c r="E934" t="s">
        <v>152</v>
      </c>
      <c r="F934" s="1" t="s">
        <v>314</v>
      </c>
      <c r="O934" s="1" t="s">
        <v>403</v>
      </c>
      <c r="P934" t="s">
        <v>108</v>
      </c>
      <c r="Q934" s="1" t="s">
        <v>244</v>
      </c>
      <c r="R934">
        <v>2</v>
      </c>
      <c r="S934">
        <v>50</v>
      </c>
      <c r="T934">
        <v>29</v>
      </c>
      <c r="U934">
        <v>26</v>
      </c>
      <c r="AA934">
        <v>185.00136232400001</v>
      </c>
      <c r="AB934">
        <v>253721.33102899999</v>
      </c>
      <c r="AC934" s="1" t="s">
        <v>245</v>
      </c>
      <c r="AD934">
        <v>607059</v>
      </c>
    </row>
    <row r="935" spans="2:30" x14ac:dyDescent="0.25">
      <c r="B935" s="1" t="s">
        <v>249</v>
      </c>
      <c r="C935">
        <v>934</v>
      </c>
      <c r="D935" s="1" t="s">
        <v>80</v>
      </c>
      <c r="E935" t="s">
        <v>152</v>
      </c>
      <c r="F935" s="1" t="s">
        <v>314</v>
      </c>
      <c r="O935" s="1" t="s">
        <v>400</v>
      </c>
      <c r="P935" t="s">
        <v>108</v>
      </c>
      <c r="Q935" s="1" t="s">
        <v>244</v>
      </c>
      <c r="R935">
        <v>1</v>
      </c>
      <c r="S935">
        <v>50</v>
      </c>
      <c r="T935">
        <v>46</v>
      </c>
      <c r="U935">
        <v>25</v>
      </c>
      <c r="AA935">
        <v>814.45309467300001</v>
      </c>
      <c r="AB935">
        <v>1457421.1320499999</v>
      </c>
      <c r="AC935" s="1" t="s">
        <v>245</v>
      </c>
      <c r="AD935">
        <v>607059</v>
      </c>
    </row>
    <row r="936" spans="2:30" x14ac:dyDescent="0.25">
      <c r="B936" s="1" t="s">
        <v>268</v>
      </c>
      <c r="C936">
        <v>935</v>
      </c>
      <c r="D936" s="1" t="s">
        <v>80</v>
      </c>
      <c r="E936" t="s">
        <v>152</v>
      </c>
      <c r="F936" s="1" t="s">
        <v>322</v>
      </c>
      <c r="O936" s="1" t="s">
        <v>400</v>
      </c>
      <c r="P936" t="s">
        <v>108</v>
      </c>
      <c r="Q936" s="1" t="s">
        <v>244</v>
      </c>
      <c r="R936">
        <v>1</v>
      </c>
      <c r="S936">
        <v>50</v>
      </c>
      <c r="T936">
        <v>46</v>
      </c>
      <c r="U936">
        <v>25</v>
      </c>
      <c r="AA936">
        <v>814.45309467300001</v>
      </c>
      <c r="AB936">
        <v>1457421.1320499999</v>
      </c>
      <c r="AC936" s="1" t="s">
        <v>245</v>
      </c>
      <c r="AD936">
        <v>607059</v>
      </c>
    </row>
    <row r="937" spans="2:30" x14ac:dyDescent="0.25">
      <c r="B937" s="1" t="s">
        <v>254</v>
      </c>
      <c r="C937">
        <v>936</v>
      </c>
      <c r="D937" s="1" t="s">
        <v>80</v>
      </c>
      <c r="E937" t="s">
        <v>152</v>
      </c>
      <c r="F937" s="1" t="s">
        <v>318</v>
      </c>
      <c r="O937" s="1" t="s">
        <v>400</v>
      </c>
      <c r="P937" t="s">
        <v>108</v>
      </c>
      <c r="Q937" s="1" t="s">
        <v>244</v>
      </c>
      <c r="R937">
        <v>1</v>
      </c>
      <c r="S937">
        <v>50</v>
      </c>
      <c r="T937">
        <v>46</v>
      </c>
      <c r="U937">
        <v>25</v>
      </c>
      <c r="AA937">
        <v>814.45309467300001</v>
      </c>
      <c r="AB937">
        <v>1457421.13206</v>
      </c>
      <c r="AC937" s="1" t="s">
        <v>245</v>
      </c>
      <c r="AD937">
        <v>607059</v>
      </c>
    </row>
    <row r="938" spans="2:30" x14ac:dyDescent="0.25">
      <c r="B938" s="1" t="s">
        <v>249</v>
      </c>
      <c r="C938">
        <v>937</v>
      </c>
      <c r="D938" s="1" t="s">
        <v>80</v>
      </c>
      <c r="E938" t="s">
        <v>152</v>
      </c>
      <c r="F938" s="1" t="s">
        <v>314</v>
      </c>
      <c r="O938" s="1" t="s">
        <v>399</v>
      </c>
      <c r="P938" t="s">
        <v>108</v>
      </c>
      <c r="Q938" s="1" t="s">
        <v>244</v>
      </c>
      <c r="R938">
        <v>1</v>
      </c>
      <c r="S938">
        <v>50</v>
      </c>
      <c r="T938">
        <v>51</v>
      </c>
      <c r="U938">
        <v>44</v>
      </c>
      <c r="AA938">
        <v>256.80014520399999</v>
      </c>
      <c r="AB938">
        <v>609361.06891200005</v>
      </c>
      <c r="AC938" s="1" t="s">
        <v>245</v>
      </c>
      <c r="AD938">
        <v>607059</v>
      </c>
    </row>
    <row r="939" spans="2:30" x14ac:dyDescent="0.25">
      <c r="B939" s="1" t="s">
        <v>249</v>
      </c>
      <c r="C939">
        <v>938</v>
      </c>
      <c r="D939" s="1" t="s">
        <v>80</v>
      </c>
      <c r="E939" t="s">
        <v>152</v>
      </c>
      <c r="F939" s="1" t="s">
        <v>314</v>
      </c>
      <c r="O939" s="1" t="s">
        <v>402</v>
      </c>
      <c r="P939" t="s">
        <v>108</v>
      </c>
      <c r="Q939" s="1" t="s">
        <v>244</v>
      </c>
      <c r="R939">
        <v>9</v>
      </c>
      <c r="S939">
        <v>50</v>
      </c>
      <c r="T939">
        <v>51</v>
      </c>
      <c r="U939">
        <v>25</v>
      </c>
      <c r="AA939">
        <v>981.24960073299997</v>
      </c>
      <c r="AB939">
        <v>1863040.33207</v>
      </c>
      <c r="AC939" s="1" t="s">
        <v>245</v>
      </c>
      <c r="AD939">
        <v>607059</v>
      </c>
    </row>
    <row r="940" spans="2:30" x14ac:dyDescent="0.25">
      <c r="B940" s="1" t="s">
        <v>268</v>
      </c>
      <c r="C940">
        <v>939</v>
      </c>
      <c r="D940" s="1" t="s">
        <v>80</v>
      </c>
      <c r="E940" t="s">
        <v>152</v>
      </c>
      <c r="F940" s="1" t="s">
        <v>322</v>
      </c>
      <c r="O940" s="1" t="s">
        <v>399</v>
      </c>
      <c r="P940" t="s">
        <v>108</v>
      </c>
      <c r="Q940" s="1" t="s">
        <v>244</v>
      </c>
      <c r="R940">
        <v>1</v>
      </c>
      <c r="S940">
        <v>50</v>
      </c>
      <c r="T940">
        <v>51</v>
      </c>
      <c r="U940">
        <v>44</v>
      </c>
      <c r="AA940">
        <v>256.80014520399999</v>
      </c>
      <c r="AB940">
        <v>609361.06891200005</v>
      </c>
      <c r="AC940" s="1" t="s">
        <v>245</v>
      </c>
      <c r="AD940">
        <v>607059</v>
      </c>
    </row>
    <row r="941" spans="2:30" x14ac:dyDescent="0.25">
      <c r="B941" s="1" t="s">
        <v>268</v>
      </c>
      <c r="C941">
        <v>940</v>
      </c>
      <c r="D941" s="1" t="s">
        <v>80</v>
      </c>
      <c r="E941" t="s">
        <v>152</v>
      </c>
      <c r="F941" s="1" t="s">
        <v>322</v>
      </c>
      <c r="O941" s="1" t="s">
        <v>402</v>
      </c>
      <c r="P941" t="s">
        <v>108</v>
      </c>
      <c r="Q941" s="1" t="s">
        <v>244</v>
      </c>
      <c r="R941">
        <v>9</v>
      </c>
      <c r="S941">
        <v>50</v>
      </c>
      <c r="T941">
        <v>51</v>
      </c>
      <c r="U941">
        <v>25</v>
      </c>
      <c r="AA941">
        <v>981.24960073299997</v>
      </c>
      <c r="AB941">
        <v>1863040.33207</v>
      </c>
      <c r="AC941" s="1" t="s">
        <v>245</v>
      </c>
      <c r="AD941">
        <v>607059</v>
      </c>
    </row>
    <row r="942" spans="2:30" x14ac:dyDescent="0.25">
      <c r="B942" s="1" t="s">
        <v>254</v>
      </c>
      <c r="C942">
        <v>941</v>
      </c>
      <c r="D942" s="1" t="s">
        <v>80</v>
      </c>
      <c r="E942" t="s">
        <v>152</v>
      </c>
      <c r="F942" s="1" t="s">
        <v>318</v>
      </c>
      <c r="O942" s="1" t="s">
        <v>399</v>
      </c>
      <c r="P942" t="s">
        <v>108</v>
      </c>
      <c r="Q942" s="1" t="s">
        <v>244</v>
      </c>
      <c r="R942">
        <v>1</v>
      </c>
      <c r="S942">
        <v>50</v>
      </c>
      <c r="T942">
        <v>51</v>
      </c>
      <c r="U942">
        <v>44</v>
      </c>
      <c r="AA942">
        <v>256.80014520399999</v>
      </c>
      <c r="AB942">
        <v>609361.06891499995</v>
      </c>
      <c r="AC942" s="1" t="s">
        <v>245</v>
      </c>
      <c r="AD942">
        <v>607059</v>
      </c>
    </row>
    <row r="943" spans="2:30" x14ac:dyDescent="0.25">
      <c r="B943" s="1" t="s">
        <v>254</v>
      </c>
      <c r="C943">
        <v>942</v>
      </c>
      <c r="D943" s="1" t="s">
        <v>80</v>
      </c>
      <c r="E943" t="s">
        <v>152</v>
      </c>
      <c r="F943" s="1" t="s">
        <v>318</v>
      </c>
      <c r="O943" s="1" t="s">
        <v>402</v>
      </c>
      <c r="P943" t="s">
        <v>108</v>
      </c>
      <c r="Q943" s="1" t="s">
        <v>244</v>
      </c>
      <c r="R943">
        <v>9</v>
      </c>
      <c r="S943">
        <v>50</v>
      </c>
      <c r="T943">
        <v>51</v>
      </c>
      <c r="U943">
        <v>25</v>
      </c>
      <c r="AA943">
        <v>981.24960073299997</v>
      </c>
      <c r="AB943">
        <v>1863040.3320800001</v>
      </c>
      <c r="AC943" s="1" t="s">
        <v>245</v>
      </c>
      <c r="AD943">
        <v>607059</v>
      </c>
    </row>
    <row r="944" spans="2:30" x14ac:dyDescent="0.25">
      <c r="B944" s="1" t="s">
        <v>256</v>
      </c>
      <c r="C944">
        <v>943</v>
      </c>
      <c r="D944" s="1" t="s">
        <v>80</v>
      </c>
      <c r="E944" t="s">
        <v>152</v>
      </c>
      <c r="F944" s="1" t="s">
        <v>322</v>
      </c>
      <c r="O944" s="1" t="s">
        <v>411</v>
      </c>
      <c r="P944" t="s">
        <v>108</v>
      </c>
      <c r="Q944" s="1" t="s">
        <v>244</v>
      </c>
      <c r="R944">
        <v>2</v>
      </c>
      <c r="S944">
        <v>50</v>
      </c>
      <c r="T944">
        <v>55</v>
      </c>
      <c r="U944">
        <v>22</v>
      </c>
      <c r="AA944">
        <v>1118.9940113600001</v>
      </c>
      <c r="AB944">
        <v>2152920.6290099998</v>
      </c>
      <c r="AC944" s="1" t="s">
        <v>245</v>
      </c>
      <c r="AD944">
        <v>607059</v>
      </c>
    </row>
    <row r="945" spans="2:30" x14ac:dyDescent="0.25">
      <c r="B945" s="1" t="s">
        <v>256</v>
      </c>
      <c r="C945">
        <v>944</v>
      </c>
      <c r="D945" s="1" t="s">
        <v>80</v>
      </c>
      <c r="E945" t="s">
        <v>152</v>
      </c>
      <c r="F945" s="1" t="s">
        <v>322</v>
      </c>
      <c r="O945" s="1" t="s">
        <v>412</v>
      </c>
      <c r="P945" t="s">
        <v>108</v>
      </c>
      <c r="Q945" s="1" t="s">
        <v>244</v>
      </c>
      <c r="R945">
        <v>2</v>
      </c>
      <c r="S945">
        <v>50</v>
      </c>
      <c r="T945">
        <v>55</v>
      </c>
      <c r="U945">
        <v>24</v>
      </c>
      <c r="AA945">
        <v>1188.1974921399999</v>
      </c>
      <c r="AB945">
        <v>2332265.2434999999</v>
      </c>
      <c r="AC945" s="1" t="s">
        <v>245</v>
      </c>
      <c r="AD945">
        <v>607059</v>
      </c>
    </row>
    <row r="946" spans="2:30" x14ac:dyDescent="0.25">
      <c r="B946" s="1" t="s">
        <v>256</v>
      </c>
      <c r="C946">
        <v>945</v>
      </c>
      <c r="D946" s="1" t="s">
        <v>80</v>
      </c>
      <c r="E946" t="s">
        <v>152</v>
      </c>
      <c r="F946" s="1" t="s">
        <v>322</v>
      </c>
      <c r="O946" s="1" t="s">
        <v>413</v>
      </c>
      <c r="P946" t="s">
        <v>108</v>
      </c>
      <c r="Q946" s="1" t="s">
        <v>244</v>
      </c>
      <c r="R946">
        <v>2</v>
      </c>
      <c r="S946">
        <v>50</v>
      </c>
      <c r="T946">
        <v>55</v>
      </c>
      <c r="U946">
        <v>24</v>
      </c>
      <c r="AA946">
        <v>1188.1951004</v>
      </c>
      <c r="AB946">
        <v>2332262.0149900001</v>
      </c>
      <c r="AC946" s="1" t="s">
        <v>245</v>
      </c>
      <c r="AD946">
        <v>607059</v>
      </c>
    </row>
    <row r="947" spans="2:30" x14ac:dyDescent="0.25">
      <c r="B947" s="1" t="s">
        <v>256</v>
      </c>
      <c r="C947">
        <v>946</v>
      </c>
      <c r="D947" s="1" t="s">
        <v>80</v>
      </c>
      <c r="E947" t="s">
        <v>152</v>
      </c>
      <c r="F947" s="1" t="s">
        <v>322</v>
      </c>
      <c r="O947" s="1" t="s">
        <v>414</v>
      </c>
      <c r="P947" t="s">
        <v>108</v>
      </c>
      <c r="Q947" s="1" t="s">
        <v>244</v>
      </c>
      <c r="R947">
        <v>6</v>
      </c>
      <c r="S947">
        <v>50</v>
      </c>
      <c r="T947">
        <v>55</v>
      </c>
      <c r="U947">
        <v>22</v>
      </c>
      <c r="AA947">
        <v>1253.19691519</v>
      </c>
      <c r="AB947">
        <v>2418345.7994900001</v>
      </c>
      <c r="AC947" s="1" t="s">
        <v>245</v>
      </c>
      <c r="AD947">
        <v>607059</v>
      </c>
    </row>
    <row r="948" spans="2:30" x14ac:dyDescent="0.25">
      <c r="B948" s="1" t="s">
        <v>255</v>
      </c>
      <c r="C948">
        <v>947</v>
      </c>
      <c r="D948" s="1" t="s">
        <v>80</v>
      </c>
      <c r="E948" t="s">
        <v>152</v>
      </c>
      <c r="F948" s="1" t="s">
        <v>318</v>
      </c>
      <c r="O948" s="1" t="s">
        <v>408</v>
      </c>
      <c r="P948" t="s">
        <v>108</v>
      </c>
      <c r="Q948" s="1" t="s">
        <v>244</v>
      </c>
      <c r="R948">
        <v>2</v>
      </c>
      <c r="S948">
        <v>50</v>
      </c>
      <c r="T948">
        <v>55</v>
      </c>
      <c r="U948">
        <v>24</v>
      </c>
      <c r="AA948">
        <v>1188.1974921399999</v>
      </c>
      <c r="AB948">
        <v>2334938.8107099999</v>
      </c>
      <c r="AC948" s="1" t="s">
        <v>245</v>
      </c>
      <c r="AD948">
        <v>607059</v>
      </c>
    </row>
    <row r="949" spans="2:30" x14ac:dyDescent="0.25">
      <c r="B949" s="1" t="s">
        <v>255</v>
      </c>
      <c r="C949">
        <v>948</v>
      </c>
      <c r="D949" s="1" t="s">
        <v>80</v>
      </c>
      <c r="E949" t="s">
        <v>152</v>
      </c>
      <c r="F949" s="1" t="s">
        <v>318</v>
      </c>
      <c r="O949" s="1" t="s">
        <v>410</v>
      </c>
      <c r="P949" t="s">
        <v>108</v>
      </c>
      <c r="Q949" s="1" t="s">
        <v>244</v>
      </c>
      <c r="R949">
        <v>6</v>
      </c>
      <c r="S949">
        <v>50</v>
      </c>
      <c r="T949">
        <v>55</v>
      </c>
      <c r="U949">
        <v>22</v>
      </c>
      <c r="AA949">
        <v>1253.19691519</v>
      </c>
      <c r="AB949">
        <v>2421019.36674</v>
      </c>
      <c r="AC949" s="1" t="s">
        <v>245</v>
      </c>
      <c r="AD949">
        <v>607059</v>
      </c>
    </row>
    <row r="950" spans="2:30" x14ac:dyDescent="0.25">
      <c r="B950" s="1" t="s">
        <v>255</v>
      </c>
      <c r="C950">
        <v>949</v>
      </c>
      <c r="D950" s="1" t="s">
        <v>80</v>
      </c>
      <c r="E950" t="s">
        <v>152</v>
      </c>
      <c r="F950" s="1" t="s">
        <v>318</v>
      </c>
      <c r="O950" s="1" t="s">
        <v>409</v>
      </c>
      <c r="P950" t="s">
        <v>108</v>
      </c>
      <c r="Q950" s="1" t="s">
        <v>244</v>
      </c>
      <c r="R950">
        <v>2</v>
      </c>
      <c r="S950">
        <v>50</v>
      </c>
      <c r="T950">
        <v>55</v>
      </c>
      <c r="U950">
        <v>24</v>
      </c>
      <c r="AA950">
        <v>1188.1952044699999</v>
      </c>
      <c r="AB950">
        <v>2334935.7226800001</v>
      </c>
      <c r="AC950" s="1" t="s">
        <v>245</v>
      </c>
      <c r="AD950">
        <v>607059</v>
      </c>
    </row>
    <row r="951" spans="2:30" x14ac:dyDescent="0.25">
      <c r="B951" s="1" t="s">
        <v>255</v>
      </c>
      <c r="C951">
        <v>950</v>
      </c>
      <c r="D951" s="1" t="s">
        <v>80</v>
      </c>
      <c r="E951" t="s">
        <v>152</v>
      </c>
      <c r="F951" s="1" t="s">
        <v>318</v>
      </c>
      <c r="O951" s="1" t="s">
        <v>407</v>
      </c>
      <c r="P951" t="s">
        <v>108</v>
      </c>
      <c r="Q951" s="1" t="s">
        <v>244</v>
      </c>
      <c r="R951">
        <v>2</v>
      </c>
      <c r="S951">
        <v>50</v>
      </c>
      <c r="T951">
        <v>55</v>
      </c>
      <c r="U951">
        <v>22</v>
      </c>
      <c r="AA951">
        <v>1118.9940113600001</v>
      </c>
      <c r="AB951">
        <v>2155594.1957399999</v>
      </c>
      <c r="AC951" s="1" t="s">
        <v>245</v>
      </c>
      <c r="AD951">
        <v>607059</v>
      </c>
    </row>
    <row r="952" spans="2:30" x14ac:dyDescent="0.25">
      <c r="B952" s="1" t="s">
        <v>250</v>
      </c>
      <c r="C952">
        <v>951</v>
      </c>
      <c r="D952" s="1" t="s">
        <v>80</v>
      </c>
      <c r="E952" t="s">
        <v>152</v>
      </c>
      <c r="F952" s="1" t="s">
        <v>314</v>
      </c>
      <c r="O952" s="1" t="s">
        <v>404</v>
      </c>
      <c r="P952" t="s">
        <v>108</v>
      </c>
      <c r="Q952" s="1" t="s">
        <v>244</v>
      </c>
      <c r="R952">
        <v>2</v>
      </c>
      <c r="S952">
        <v>50</v>
      </c>
      <c r="T952">
        <v>55</v>
      </c>
      <c r="U952">
        <v>24</v>
      </c>
      <c r="AA952">
        <v>1188.1974921399999</v>
      </c>
      <c r="AB952">
        <v>2334275.61417</v>
      </c>
      <c r="AC952" s="1" t="s">
        <v>245</v>
      </c>
      <c r="AD952">
        <v>607059</v>
      </c>
    </row>
    <row r="953" spans="2:30" x14ac:dyDescent="0.25">
      <c r="B953" s="1" t="s">
        <v>250</v>
      </c>
      <c r="C953">
        <v>952</v>
      </c>
      <c r="D953" s="1" t="s">
        <v>80</v>
      </c>
      <c r="E953" t="s">
        <v>152</v>
      </c>
      <c r="F953" s="1" t="s">
        <v>314</v>
      </c>
      <c r="O953" s="1" t="s">
        <v>406</v>
      </c>
      <c r="P953" t="s">
        <v>108</v>
      </c>
      <c r="Q953" s="1" t="s">
        <v>244</v>
      </c>
      <c r="R953">
        <v>6</v>
      </c>
      <c r="S953">
        <v>50</v>
      </c>
      <c r="T953">
        <v>55</v>
      </c>
      <c r="U953">
        <v>22</v>
      </c>
      <c r="AA953">
        <v>1253.19691519</v>
      </c>
      <c r="AB953">
        <v>2420356.1691200002</v>
      </c>
      <c r="AC953" s="1" t="s">
        <v>245</v>
      </c>
      <c r="AD953">
        <v>607059</v>
      </c>
    </row>
    <row r="954" spans="2:30" x14ac:dyDescent="0.25">
      <c r="B954" s="1" t="s">
        <v>250</v>
      </c>
      <c r="C954">
        <v>953</v>
      </c>
      <c r="D954" s="1" t="s">
        <v>80</v>
      </c>
      <c r="E954" t="s">
        <v>152</v>
      </c>
      <c r="F954" s="1" t="s">
        <v>314</v>
      </c>
      <c r="O954" s="1" t="s">
        <v>405</v>
      </c>
      <c r="P954" t="s">
        <v>108</v>
      </c>
      <c r="Q954" s="1" t="s">
        <v>244</v>
      </c>
      <c r="R954">
        <v>2</v>
      </c>
      <c r="S954">
        <v>50</v>
      </c>
      <c r="T954">
        <v>55</v>
      </c>
      <c r="U954">
        <v>24</v>
      </c>
      <c r="AA954">
        <v>1188.1952044699999</v>
      </c>
      <c r="AB954">
        <v>2334272.5255300002</v>
      </c>
      <c r="AC954" s="1" t="s">
        <v>245</v>
      </c>
      <c r="AD954">
        <v>607059</v>
      </c>
    </row>
    <row r="955" spans="2:30" x14ac:dyDescent="0.25">
      <c r="B955" s="1" t="s">
        <v>250</v>
      </c>
      <c r="C955">
        <v>954</v>
      </c>
      <c r="D955" s="1" t="s">
        <v>80</v>
      </c>
      <c r="E955" t="s">
        <v>152</v>
      </c>
      <c r="F955" s="1" t="s">
        <v>314</v>
      </c>
      <c r="O955" s="1" t="s">
        <v>401</v>
      </c>
      <c r="P955" t="s">
        <v>108</v>
      </c>
      <c r="Q955" s="1" t="s">
        <v>244</v>
      </c>
      <c r="R955">
        <v>2</v>
      </c>
      <c r="S955">
        <v>50</v>
      </c>
      <c r="T955">
        <v>55</v>
      </c>
      <c r="U955">
        <v>22</v>
      </c>
      <c r="AA955">
        <v>1118.9940113600001</v>
      </c>
      <c r="AB955">
        <v>2154930.9983100002</v>
      </c>
      <c r="AC955" s="1" t="s">
        <v>245</v>
      </c>
      <c r="AD955">
        <v>607059</v>
      </c>
    </row>
    <row r="956" spans="2:30" x14ac:dyDescent="0.25">
      <c r="B956" s="1" t="s">
        <v>1782</v>
      </c>
      <c r="C956">
        <v>955</v>
      </c>
      <c r="D956" s="1" t="s">
        <v>80</v>
      </c>
      <c r="E956" t="s">
        <v>1829</v>
      </c>
      <c r="F956" s="1" t="s">
        <v>1830</v>
      </c>
      <c r="G956">
        <v>2257</v>
      </c>
      <c r="H956">
        <v>180</v>
      </c>
      <c r="I956">
        <v>2257</v>
      </c>
      <c r="L956">
        <v>901</v>
      </c>
      <c r="M956">
        <v>901</v>
      </c>
      <c r="N956">
        <v>2.0342193541755105</v>
      </c>
      <c r="O956" s="1"/>
      <c r="Q956" s="1"/>
      <c r="AC956" s="1"/>
    </row>
    <row r="957" spans="2:30" x14ac:dyDescent="0.25">
      <c r="B957" s="1" t="s">
        <v>1783</v>
      </c>
      <c r="C957">
        <v>956</v>
      </c>
      <c r="D957" s="1" t="s">
        <v>80</v>
      </c>
      <c r="E957" t="s">
        <v>1829</v>
      </c>
      <c r="F957" s="1" t="s">
        <v>1830</v>
      </c>
      <c r="G957">
        <v>4240</v>
      </c>
      <c r="H957">
        <v>180</v>
      </c>
      <c r="I957">
        <v>4240</v>
      </c>
      <c r="L957">
        <v>1426</v>
      </c>
      <c r="M957">
        <v>1426</v>
      </c>
      <c r="N957">
        <v>6.0455715957385259</v>
      </c>
      <c r="O957" s="1"/>
      <c r="Q957" s="1"/>
      <c r="AC957" s="1"/>
    </row>
    <row r="958" spans="2:30" x14ac:dyDescent="0.25">
      <c r="B958" s="1" t="s">
        <v>1784</v>
      </c>
      <c r="C958">
        <v>957</v>
      </c>
      <c r="D958" s="1" t="s">
        <v>80</v>
      </c>
      <c r="E958" t="s">
        <v>1829</v>
      </c>
      <c r="F958" s="1" t="s">
        <v>1830</v>
      </c>
      <c r="G958">
        <v>4345</v>
      </c>
      <c r="H958">
        <v>180</v>
      </c>
      <c r="I958">
        <v>4345</v>
      </c>
      <c r="L958">
        <v>1180</v>
      </c>
      <c r="M958">
        <v>1180</v>
      </c>
      <c r="N958">
        <v>5.127092308324392</v>
      </c>
      <c r="O958" s="1"/>
      <c r="Q958" s="1"/>
      <c r="AC958" s="1"/>
    </row>
    <row r="959" spans="2:30" x14ac:dyDescent="0.25">
      <c r="B959" s="1" t="s">
        <v>1785</v>
      </c>
      <c r="C959">
        <v>958</v>
      </c>
      <c r="D959" s="1" t="s">
        <v>80</v>
      </c>
      <c r="E959" t="s">
        <v>1829</v>
      </c>
      <c r="F959" s="1" t="s">
        <v>1830</v>
      </c>
      <c r="G959">
        <v>2333</v>
      </c>
      <c r="H959">
        <v>180</v>
      </c>
      <c r="I959">
        <v>2333</v>
      </c>
      <c r="L959">
        <v>1416</v>
      </c>
      <c r="M959">
        <v>1416</v>
      </c>
      <c r="N959">
        <v>3.302906413554699</v>
      </c>
      <c r="O959" s="1"/>
      <c r="Q959" s="1"/>
      <c r="AC959" s="1"/>
    </row>
    <row r="960" spans="2:30" x14ac:dyDescent="0.25">
      <c r="B960" s="1" t="s">
        <v>1786</v>
      </c>
      <c r="C960">
        <v>959</v>
      </c>
      <c r="D960" s="1" t="s">
        <v>80</v>
      </c>
      <c r="E960" t="s">
        <v>1829</v>
      </c>
      <c r="F960" s="1" t="s">
        <v>1830</v>
      </c>
      <c r="G960">
        <v>3948</v>
      </c>
      <c r="H960">
        <v>180</v>
      </c>
      <c r="I960">
        <v>3948</v>
      </c>
      <c r="L960">
        <v>1416</v>
      </c>
      <c r="M960">
        <v>1416</v>
      </c>
      <c r="N960">
        <v>5.5892012237426458</v>
      </c>
      <c r="O960" s="1"/>
      <c r="Q960" s="1"/>
      <c r="AC960" s="1"/>
    </row>
    <row r="961" spans="2:29" x14ac:dyDescent="0.25">
      <c r="B961" s="1" t="s">
        <v>1787</v>
      </c>
      <c r="C961">
        <v>960</v>
      </c>
      <c r="D961" s="1" t="s">
        <v>80</v>
      </c>
      <c r="E961" t="s">
        <v>1829</v>
      </c>
      <c r="F961" s="1" t="s">
        <v>1830</v>
      </c>
      <c r="G961">
        <v>3958</v>
      </c>
      <c r="H961">
        <v>180</v>
      </c>
      <c r="I961">
        <v>3958</v>
      </c>
      <c r="L961">
        <v>1440</v>
      </c>
      <c r="M961">
        <v>1440</v>
      </c>
      <c r="N961">
        <v>5.6996156426450177</v>
      </c>
      <c r="O961" s="1"/>
      <c r="Q961" s="1"/>
      <c r="AC961" s="1"/>
    </row>
    <row r="962" spans="2:29" x14ac:dyDescent="0.25">
      <c r="B962" s="1" t="s">
        <v>1788</v>
      </c>
      <c r="C962">
        <v>961</v>
      </c>
      <c r="D962" s="1" t="s">
        <v>80</v>
      </c>
      <c r="E962" t="s">
        <v>1829</v>
      </c>
      <c r="F962" s="1" t="s">
        <v>1830</v>
      </c>
      <c r="G962">
        <v>4300</v>
      </c>
      <c r="H962">
        <v>180</v>
      </c>
      <c r="I962">
        <v>4300</v>
      </c>
      <c r="L962">
        <v>1416</v>
      </c>
      <c r="M962">
        <v>1416</v>
      </c>
      <c r="N962">
        <v>6.0879454832347353</v>
      </c>
      <c r="O962" s="1"/>
      <c r="Q962" s="1"/>
      <c r="AC962" s="1"/>
    </row>
    <row r="963" spans="2:29" x14ac:dyDescent="0.25">
      <c r="B963" s="1" t="s">
        <v>1789</v>
      </c>
      <c r="C963">
        <v>962</v>
      </c>
      <c r="D963" s="1" t="s">
        <v>80</v>
      </c>
      <c r="E963" t="s">
        <v>1829</v>
      </c>
      <c r="F963" s="1" t="s">
        <v>1830</v>
      </c>
      <c r="G963">
        <v>3696</v>
      </c>
      <c r="H963">
        <v>180</v>
      </c>
      <c r="I963">
        <v>3696</v>
      </c>
      <c r="L963">
        <v>1416</v>
      </c>
      <c r="M963">
        <v>1416</v>
      </c>
      <c r="N963">
        <v>5.2328650766271974</v>
      </c>
      <c r="O963" s="1"/>
      <c r="Q963" s="1"/>
      <c r="AC963" s="1"/>
    </row>
    <row r="964" spans="2:29" x14ac:dyDescent="0.25">
      <c r="B964" s="1" t="s">
        <v>1790</v>
      </c>
      <c r="C964">
        <v>963</v>
      </c>
      <c r="D964" s="1" t="s">
        <v>80</v>
      </c>
      <c r="E964" t="s">
        <v>1829</v>
      </c>
      <c r="F964" s="1" t="s">
        <v>1830</v>
      </c>
      <c r="G964">
        <v>3958</v>
      </c>
      <c r="H964">
        <v>180</v>
      </c>
      <c r="I964">
        <v>3958</v>
      </c>
      <c r="L964">
        <v>1440</v>
      </c>
      <c r="M964">
        <v>1440</v>
      </c>
      <c r="N964">
        <v>5.6996904286319827</v>
      </c>
      <c r="O964" s="1"/>
      <c r="Q964" s="1"/>
      <c r="AC964" s="1"/>
    </row>
    <row r="965" spans="2:29" x14ac:dyDescent="0.25">
      <c r="B965" s="1" t="s">
        <v>1791</v>
      </c>
      <c r="C965">
        <v>964</v>
      </c>
      <c r="D965" s="1" t="s">
        <v>80</v>
      </c>
      <c r="E965" t="s">
        <v>1829</v>
      </c>
      <c r="F965" s="1" t="s">
        <v>1830</v>
      </c>
      <c r="G965">
        <v>4300</v>
      </c>
      <c r="H965">
        <v>180</v>
      </c>
      <c r="I965">
        <v>4300</v>
      </c>
      <c r="L965">
        <v>1416</v>
      </c>
      <c r="M965">
        <v>1416</v>
      </c>
      <c r="N965">
        <v>6.0879505732029484</v>
      </c>
      <c r="O965" s="1"/>
      <c r="Q965" s="1"/>
      <c r="AC965" s="1"/>
    </row>
    <row r="966" spans="2:29" x14ac:dyDescent="0.25">
      <c r="B966" s="1" t="s">
        <v>1792</v>
      </c>
      <c r="C966">
        <v>965</v>
      </c>
      <c r="D966" s="1" t="s">
        <v>80</v>
      </c>
      <c r="E966" t="s">
        <v>1829</v>
      </c>
      <c r="F966" s="1" t="s">
        <v>1830</v>
      </c>
      <c r="G966">
        <v>3696</v>
      </c>
      <c r="H966">
        <v>180</v>
      </c>
      <c r="I966">
        <v>3696</v>
      </c>
      <c r="L966">
        <v>1416</v>
      </c>
      <c r="M966">
        <v>1416</v>
      </c>
      <c r="N966">
        <v>5.2327044190359473</v>
      </c>
      <c r="O966" s="1"/>
      <c r="Q966" s="1"/>
      <c r="AC966" s="1"/>
    </row>
    <row r="967" spans="2:29" x14ac:dyDescent="0.25">
      <c r="B967" s="1" t="s">
        <v>1793</v>
      </c>
      <c r="C967">
        <v>966</v>
      </c>
      <c r="D967" s="1" t="s">
        <v>80</v>
      </c>
      <c r="E967" t="s">
        <v>1826</v>
      </c>
      <c r="F967" s="1" t="s">
        <v>1827</v>
      </c>
      <c r="G967">
        <v>2242</v>
      </c>
      <c r="H967">
        <v>58</v>
      </c>
      <c r="I967">
        <v>2267</v>
      </c>
      <c r="L967">
        <v>901</v>
      </c>
      <c r="M967">
        <v>988</v>
      </c>
      <c r="N967">
        <v>2.2397529516370809</v>
      </c>
      <c r="O967" s="1"/>
      <c r="Q967" s="1"/>
      <c r="AC967" s="1"/>
    </row>
    <row r="968" spans="2:29" x14ac:dyDescent="0.25">
      <c r="B968" s="1" t="s">
        <v>1794</v>
      </c>
      <c r="C968">
        <v>967</v>
      </c>
      <c r="D968" s="1" t="s">
        <v>80</v>
      </c>
      <c r="E968" t="s">
        <v>1826</v>
      </c>
      <c r="F968" s="1" t="s">
        <v>1827</v>
      </c>
      <c r="G968">
        <v>4235</v>
      </c>
      <c r="H968">
        <v>58</v>
      </c>
      <c r="I968">
        <v>4240</v>
      </c>
      <c r="L968">
        <v>1466</v>
      </c>
      <c r="M968">
        <v>1530</v>
      </c>
      <c r="N968">
        <v>6.4869197453979996</v>
      </c>
      <c r="O968" s="1"/>
      <c r="Q968" s="1"/>
      <c r="AC968" s="1"/>
    </row>
    <row r="969" spans="2:29" x14ac:dyDescent="0.25">
      <c r="B969" s="1" t="s">
        <v>1795</v>
      </c>
      <c r="C969">
        <v>968</v>
      </c>
      <c r="D969" s="1" t="s">
        <v>80</v>
      </c>
      <c r="E969" t="s">
        <v>1826</v>
      </c>
      <c r="F969" s="1" t="s">
        <v>1827</v>
      </c>
      <c r="G969">
        <v>4335</v>
      </c>
      <c r="H969">
        <v>58</v>
      </c>
      <c r="I969">
        <v>4360</v>
      </c>
      <c r="L969">
        <v>1180</v>
      </c>
      <c r="M969">
        <v>1236</v>
      </c>
      <c r="N969">
        <v>5.3888320721844751</v>
      </c>
      <c r="O969" s="1"/>
      <c r="Q969" s="1"/>
      <c r="AC969" s="1"/>
    </row>
    <row r="970" spans="2:29" x14ac:dyDescent="0.25">
      <c r="B970" s="1" t="s">
        <v>1796</v>
      </c>
      <c r="C970">
        <v>969</v>
      </c>
      <c r="D970" s="1" t="s">
        <v>80</v>
      </c>
      <c r="E970" t="s">
        <v>1826</v>
      </c>
      <c r="F970" s="1" t="s">
        <v>1827</v>
      </c>
      <c r="G970">
        <v>2203</v>
      </c>
      <c r="H970">
        <v>58</v>
      </c>
      <c r="I970">
        <v>2288</v>
      </c>
      <c r="L970">
        <v>1416</v>
      </c>
      <c r="M970">
        <v>1484</v>
      </c>
      <c r="N970">
        <v>3.3953099321198539</v>
      </c>
      <c r="O970" s="1"/>
      <c r="Q970" s="1"/>
      <c r="AC970" s="1"/>
    </row>
    <row r="971" spans="2:29" x14ac:dyDescent="0.25">
      <c r="B971" s="1" t="s">
        <v>1797</v>
      </c>
      <c r="C971">
        <v>970</v>
      </c>
      <c r="D971" s="1" t="s">
        <v>80</v>
      </c>
      <c r="E971" t="s">
        <v>1826</v>
      </c>
      <c r="F971" s="1" t="s">
        <v>1827</v>
      </c>
      <c r="G971">
        <v>3948</v>
      </c>
      <c r="H971">
        <v>58</v>
      </c>
      <c r="I971">
        <v>4013</v>
      </c>
      <c r="L971">
        <v>1456</v>
      </c>
      <c r="M971">
        <v>1484</v>
      </c>
      <c r="N971">
        <v>5.955159771088212</v>
      </c>
      <c r="O971" s="1"/>
      <c r="Q971" s="1"/>
      <c r="AC971" s="1"/>
    </row>
    <row r="972" spans="2:29" x14ac:dyDescent="0.25">
      <c r="B972" s="1" t="s">
        <v>1798</v>
      </c>
      <c r="C972">
        <v>971</v>
      </c>
      <c r="D972" s="1" t="s">
        <v>80</v>
      </c>
      <c r="E972" t="s">
        <v>1826</v>
      </c>
      <c r="F972" s="1" t="s">
        <v>1827</v>
      </c>
      <c r="G972">
        <v>3953</v>
      </c>
      <c r="H972">
        <v>58</v>
      </c>
      <c r="I972">
        <v>4078</v>
      </c>
      <c r="L972">
        <v>1480</v>
      </c>
      <c r="M972">
        <v>1496</v>
      </c>
      <c r="N972">
        <v>6.1007324394323899</v>
      </c>
      <c r="O972" s="1"/>
      <c r="Q972" s="1"/>
      <c r="AC972" s="1"/>
    </row>
    <row r="973" spans="2:29" x14ac:dyDescent="0.25">
      <c r="B973" s="1" t="s">
        <v>1799</v>
      </c>
      <c r="C973">
        <v>972</v>
      </c>
      <c r="D973" s="1" t="s">
        <v>80</v>
      </c>
      <c r="E973" t="s">
        <v>1826</v>
      </c>
      <c r="F973" s="1" t="s">
        <v>1827</v>
      </c>
      <c r="G973">
        <v>4295</v>
      </c>
      <c r="H973">
        <v>58</v>
      </c>
      <c r="I973">
        <v>4380</v>
      </c>
      <c r="L973">
        <v>1456</v>
      </c>
      <c r="M973">
        <v>1506</v>
      </c>
      <c r="N973">
        <v>6.5961296797872553</v>
      </c>
      <c r="O973" s="1"/>
      <c r="Q973" s="1"/>
      <c r="AC973" s="1"/>
    </row>
    <row r="974" spans="2:29" x14ac:dyDescent="0.25">
      <c r="B974" s="1" t="s">
        <v>1800</v>
      </c>
      <c r="C974">
        <v>973</v>
      </c>
      <c r="D974" s="1" t="s">
        <v>80</v>
      </c>
      <c r="E974" t="s">
        <v>1826</v>
      </c>
      <c r="F974" s="1" t="s">
        <v>1827</v>
      </c>
      <c r="G974">
        <v>3696</v>
      </c>
      <c r="H974">
        <v>58</v>
      </c>
      <c r="I974">
        <v>3761</v>
      </c>
      <c r="L974">
        <v>1456</v>
      </c>
      <c r="M974">
        <v>1506</v>
      </c>
      <c r="N974">
        <v>5.6640959586429478</v>
      </c>
      <c r="O974" s="1"/>
      <c r="Q974" s="1"/>
      <c r="AC974" s="1"/>
    </row>
    <row r="975" spans="2:29" x14ac:dyDescent="0.25">
      <c r="B975" s="1" t="s">
        <v>1801</v>
      </c>
      <c r="C975">
        <v>974</v>
      </c>
      <c r="D975" s="1" t="s">
        <v>80</v>
      </c>
      <c r="E975" t="s">
        <v>1826</v>
      </c>
      <c r="F975" s="1" t="s">
        <v>1827</v>
      </c>
      <c r="G975">
        <v>3953</v>
      </c>
      <c r="H975">
        <v>58</v>
      </c>
      <c r="I975">
        <v>4256</v>
      </c>
      <c r="L975">
        <v>1480</v>
      </c>
      <c r="M975">
        <v>1506</v>
      </c>
      <c r="N975">
        <v>6.4094118139586227</v>
      </c>
      <c r="O975" s="1"/>
      <c r="Q975" s="1"/>
      <c r="AC975" s="1"/>
    </row>
    <row r="976" spans="2:29" x14ac:dyDescent="0.25">
      <c r="B976" s="1" t="s">
        <v>1802</v>
      </c>
      <c r="C976">
        <v>975</v>
      </c>
      <c r="D976" s="1" t="s">
        <v>80</v>
      </c>
      <c r="E976" t="s">
        <v>1826</v>
      </c>
      <c r="F976" s="1" t="s">
        <v>1827</v>
      </c>
      <c r="G976">
        <v>4295</v>
      </c>
      <c r="H976">
        <v>58</v>
      </c>
      <c r="I976">
        <v>4380</v>
      </c>
      <c r="L976">
        <v>1456</v>
      </c>
      <c r="M976">
        <v>1608</v>
      </c>
      <c r="N976">
        <v>7.0428953166820332</v>
      </c>
      <c r="O976" s="1"/>
      <c r="Q976" s="1"/>
      <c r="AC976" s="1"/>
    </row>
    <row r="977" spans="2:29" x14ac:dyDescent="0.25">
      <c r="B977" s="1" t="s">
        <v>1803</v>
      </c>
      <c r="C977">
        <v>976</v>
      </c>
      <c r="D977" s="1" t="s">
        <v>80</v>
      </c>
      <c r="E977" t="s">
        <v>1826</v>
      </c>
      <c r="F977" s="1" t="s">
        <v>1827</v>
      </c>
      <c r="G977">
        <v>3696</v>
      </c>
      <c r="H977">
        <v>58</v>
      </c>
      <c r="I977">
        <v>3761</v>
      </c>
      <c r="L977">
        <v>1456</v>
      </c>
      <c r="M977">
        <v>1608</v>
      </c>
      <c r="N977">
        <v>6.0475549380295925</v>
      </c>
      <c r="O977" s="1"/>
      <c r="Q977" s="1"/>
      <c r="AC977" s="1"/>
    </row>
    <row r="978" spans="2:29" x14ac:dyDescent="0.25">
      <c r="B978" s="1" t="s">
        <v>1804</v>
      </c>
      <c r="C978">
        <v>977</v>
      </c>
      <c r="D978" s="1" t="s">
        <v>82</v>
      </c>
      <c r="E978" t="s">
        <v>1829</v>
      </c>
      <c r="F978" s="1" t="s">
        <v>1831</v>
      </c>
      <c r="G978">
        <v>1813</v>
      </c>
      <c r="H978">
        <v>180</v>
      </c>
      <c r="I978">
        <v>1813</v>
      </c>
      <c r="L978">
        <v>1815</v>
      </c>
      <c r="M978">
        <v>1815</v>
      </c>
      <c r="N978">
        <v>3.2902260333218192</v>
      </c>
      <c r="O978" s="1"/>
      <c r="Q978" s="1"/>
      <c r="AC978" s="1"/>
    </row>
    <row r="979" spans="2:29" x14ac:dyDescent="0.25">
      <c r="B979" s="1" t="s">
        <v>1805</v>
      </c>
      <c r="C979">
        <v>978</v>
      </c>
      <c r="D979" s="1" t="s">
        <v>82</v>
      </c>
      <c r="E979" t="s">
        <v>1829</v>
      </c>
      <c r="F979" s="1" t="s">
        <v>1831</v>
      </c>
      <c r="G979">
        <v>2258</v>
      </c>
      <c r="H979">
        <v>180</v>
      </c>
      <c r="I979">
        <v>2258</v>
      </c>
      <c r="L979">
        <v>2275</v>
      </c>
      <c r="M979">
        <v>2275</v>
      </c>
      <c r="N979">
        <v>5.1362477219552467</v>
      </c>
      <c r="O979" s="1"/>
      <c r="Q979" s="1"/>
      <c r="AC979" s="1"/>
    </row>
    <row r="980" spans="2:29" x14ac:dyDescent="0.25">
      <c r="B980" s="1" t="s">
        <v>1806</v>
      </c>
      <c r="C980">
        <v>979</v>
      </c>
      <c r="D980" s="1" t="s">
        <v>82</v>
      </c>
      <c r="E980" t="s">
        <v>1829</v>
      </c>
      <c r="F980" s="1" t="s">
        <v>1831</v>
      </c>
      <c r="G980">
        <v>2514</v>
      </c>
      <c r="H980">
        <v>180</v>
      </c>
      <c r="I980">
        <v>2514</v>
      </c>
      <c r="L980">
        <v>3441</v>
      </c>
      <c r="M980">
        <v>3441</v>
      </c>
      <c r="N980">
        <v>8.6506992105558087</v>
      </c>
      <c r="O980" s="1"/>
      <c r="Q980" s="1"/>
      <c r="AC980" s="1"/>
    </row>
    <row r="981" spans="2:29" x14ac:dyDescent="0.25">
      <c r="B981" s="1" t="s">
        <v>1807</v>
      </c>
      <c r="C981">
        <v>980</v>
      </c>
      <c r="D981" s="1" t="s">
        <v>82</v>
      </c>
      <c r="E981" t="s">
        <v>1829</v>
      </c>
      <c r="F981" s="1" t="s">
        <v>1831</v>
      </c>
      <c r="G981">
        <v>2241</v>
      </c>
      <c r="H981">
        <v>180</v>
      </c>
      <c r="I981">
        <v>2241</v>
      </c>
      <c r="L981">
        <v>2276</v>
      </c>
      <c r="M981">
        <v>2276</v>
      </c>
      <c r="N981">
        <v>5.0998413158250813</v>
      </c>
      <c r="O981" s="1"/>
      <c r="Q981" s="1"/>
      <c r="AC981" s="1"/>
    </row>
    <row r="982" spans="2:29" x14ac:dyDescent="0.25">
      <c r="B982" s="1" t="s">
        <v>1808</v>
      </c>
      <c r="C982">
        <v>981</v>
      </c>
      <c r="D982" s="1" t="s">
        <v>82</v>
      </c>
      <c r="E982" t="s">
        <v>1829</v>
      </c>
      <c r="F982" s="1" t="s">
        <v>1831</v>
      </c>
      <c r="G982">
        <v>1922</v>
      </c>
      <c r="H982">
        <v>180</v>
      </c>
      <c r="I982">
        <v>1922</v>
      </c>
      <c r="L982">
        <v>2660</v>
      </c>
      <c r="M982">
        <v>2660</v>
      </c>
      <c r="N982">
        <v>5.1125174669979998</v>
      </c>
      <c r="O982" s="1"/>
      <c r="Q982" s="1"/>
      <c r="AC982" s="1"/>
    </row>
    <row r="983" spans="2:29" x14ac:dyDescent="0.25">
      <c r="B983" s="1" t="s">
        <v>1809</v>
      </c>
      <c r="C983">
        <v>982</v>
      </c>
      <c r="D983" s="1" t="s">
        <v>82</v>
      </c>
      <c r="E983" t="s">
        <v>1829</v>
      </c>
      <c r="F983" s="1" t="s">
        <v>1831</v>
      </c>
      <c r="G983">
        <v>2258</v>
      </c>
      <c r="H983">
        <v>180</v>
      </c>
      <c r="I983">
        <v>2258</v>
      </c>
      <c r="L983">
        <v>2664</v>
      </c>
      <c r="M983">
        <v>2664</v>
      </c>
      <c r="N983">
        <v>6.0154880243861841</v>
      </c>
      <c r="O983" s="1"/>
      <c r="Q983" s="1"/>
      <c r="AC983" s="1"/>
    </row>
    <row r="984" spans="2:29" x14ac:dyDescent="0.25">
      <c r="B984" s="1" t="s">
        <v>1810</v>
      </c>
      <c r="C984">
        <v>983</v>
      </c>
      <c r="D984" s="1" t="s">
        <v>82</v>
      </c>
      <c r="E984" t="s">
        <v>1829</v>
      </c>
      <c r="F984" s="1" t="s">
        <v>1831</v>
      </c>
      <c r="G984">
        <v>1922</v>
      </c>
      <c r="H984">
        <v>180</v>
      </c>
      <c r="I984">
        <v>1922</v>
      </c>
      <c r="L984">
        <v>2206</v>
      </c>
      <c r="M984">
        <v>2206</v>
      </c>
      <c r="N984">
        <v>4.2416259863548493</v>
      </c>
      <c r="O984" s="1"/>
      <c r="Q984" s="1"/>
      <c r="AC984" s="1"/>
    </row>
    <row r="985" spans="2:29" x14ac:dyDescent="0.25">
      <c r="B985" s="1" t="s">
        <v>1811</v>
      </c>
      <c r="C985">
        <v>984</v>
      </c>
      <c r="D985" s="1" t="s">
        <v>82</v>
      </c>
      <c r="E985" t="s">
        <v>1829</v>
      </c>
      <c r="F985" s="1" t="s">
        <v>1831</v>
      </c>
      <c r="G985">
        <v>2258</v>
      </c>
      <c r="H985">
        <v>180</v>
      </c>
      <c r="I985">
        <v>2258</v>
      </c>
      <c r="L985">
        <v>2275</v>
      </c>
      <c r="M985">
        <v>2275</v>
      </c>
      <c r="N985">
        <v>5.1355375783183908</v>
      </c>
      <c r="O985" s="1"/>
      <c r="Q985" s="1"/>
      <c r="AC985" s="1"/>
    </row>
    <row r="986" spans="2:29" x14ac:dyDescent="0.25">
      <c r="B986" s="1" t="s">
        <v>1812</v>
      </c>
      <c r="C986">
        <v>985</v>
      </c>
      <c r="D986" s="1" t="s">
        <v>82</v>
      </c>
      <c r="E986" t="s">
        <v>1829</v>
      </c>
      <c r="F986" s="1" t="s">
        <v>1831</v>
      </c>
      <c r="G986">
        <v>1922</v>
      </c>
      <c r="H986">
        <v>180</v>
      </c>
      <c r="I986">
        <v>1922</v>
      </c>
      <c r="L986">
        <v>2659</v>
      </c>
      <c r="M986">
        <v>2659</v>
      </c>
      <c r="N986">
        <v>5.1104246894451437</v>
      </c>
      <c r="O986" s="1"/>
      <c r="Q986" s="1"/>
      <c r="AC986" s="1"/>
    </row>
    <row r="987" spans="2:29" x14ac:dyDescent="0.25">
      <c r="B987" s="1" t="s">
        <v>1813</v>
      </c>
      <c r="C987">
        <v>986</v>
      </c>
      <c r="D987" s="1" t="s">
        <v>82</v>
      </c>
      <c r="E987" t="s">
        <v>1829</v>
      </c>
      <c r="F987" s="1" t="s">
        <v>1831</v>
      </c>
      <c r="G987">
        <v>2258</v>
      </c>
      <c r="H987">
        <v>180</v>
      </c>
      <c r="I987">
        <v>2258</v>
      </c>
      <c r="L987">
        <v>2659</v>
      </c>
      <c r="M987">
        <v>2659</v>
      </c>
      <c r="N987">
        <v>6.0036213640921847</v>
      </c>
      <c r="O987" s="1"/>
      <c r="Q987" s="1"/>
      <c r="AC987" s="1"/>
    </row>
    <row r="988" spans="2:29" x14ac:dyDescent="0.25">
      <c r="B988" s="1" t="s">
        <v>1814</v>
      </c>
      <c r="C988">
        <v>987</v>
      </c>
      <c r="D988" s="1" t="s">
        <v>82</v>
      </c>
      <c r="E988" t="s">
        <v>1829</v>
      </c>
      <c r="F988" s="1" t="s">
        <v>1831</v>
      </c>
      <c r="G988">
        <v>1922</v>
      </c>
      <c r="H988">
        <v>180</v>
      </c>
      <c r="I988">
        <v>1922</v>
      </c>
      <c r="L988">
        <v>2204</v>
      </c>
      <c r="M988">
        <v>2204</v>
      </c>
      <c r="N988">
        <v>4.2366265427163654</v>
      </c>
      <c r="O988" s="1"/>
      <c r="Q988" s="1"/>
      <c r="AC988" s="1"/>
    </row>
    <row r="989" spans="2:29" x14ac:dyDescent="0.25">
      <c r="B989" s="1" t="s">
        <v>1815</v>
      </c>
      <c r="C989">
        <v>988</v>
      </c>
      <c r="D989" s="1" t="s">
        <v>82</v>
      </c>
      <c r="E989" t="s">
        <v>1826</v>
      </c>
      <c r="F989" s="1" t="s">
        <v>1828</v>
      </c>
      <c r="G989">
        <v>1808</v>
      </c>
      <c r="H989">
        <v>58</v>
      </c>
      <c r="I989">
        <v>1878</v>
      </c>
      <c r="L989">
        <v>1856</v>
      </c>
      <c r="M989">
        <v>1980</v>
      </c>
      <c r="N989">
        <v>3.7181527962839982</v>
      </c>
      <c r="O989" s="1"/>
      <c r="Q989" s="1"/>
      <c r="AC989" s="1"/>
    </row>
    <row r="990" spans="2:29" x14ac:dyDescent="0.25">
      <c r="B990" s="1" t="s">
        <v>1816</v>
      </c>
      <c r="C990">
        <v>989</v>
      </c>
      <c r="D990" s="1" t="s">
        <v>82</v>
      </c>
      <c r="E990" t="s">
        <v>1826</v>
      </c>
      <c r="F990" s="1" t="s">
        <v>1828</v>
      </c>
      <c r="G990">
        <v>2253</v>
      </c>
      <c r="H990">
        <v>58</v>
      </c>
      <c r="I990">
        <v>2323</v>
      </c>
      <c r="L990">
        <v>2301</v>
      </c>
      <c r="M990">
        <v>2448</v>
      </c>
      <c r="N990">
        <v>5.6865726791929712</v>
      </c>
      <c r="O990" s="1"/>
      <c r="Q990" s="1"/>
      <c r="AC990" s="1"/>
    </row>
    <row r="991" spans="2:29" x14ac:dyDescent="0.25">
      <c r="B991" s="1" t="s">
        <v>1817</v>
      </c>
      <c r="C991">
        <v>990</v>
      </c>
      <c r="D991" s="1" t="s">
        <v>82</v>
      </c>
      <c r="E991" t="s">
        <v>1826</v>
      </c>
      <c r="F991" s="1" t="s">
        <v>1828</v>
      </c>
      <c r="G991">
        <v>2384</v>
      </c>
      <c r="H991">
        <v>58</v>
      </c>
      <c r="I991">
        <v>2384</v>
      </c>
      <c r="L991">
        <v>2762</v>
      </c>
      <c r="M991">
        <v>2943</v>
      </c>
      <c r="N991">
        <v>7.0167375606228815</v>
      </c>
      <c r="O991" s="1"/>
      <c r="Q991" s="1"/>
      <c r="AC991" s="1"/>
    </row>
    <row r="992" spans="2:29" x14ac:dyDescent="0.25">
      <c r="B992" s="1" t="s">
        <v>1818</v>
      </c>
      <c r="C992">
        <v>991</v>
      </c>
      <c r="D992" s="1" t="s">
        <v>82</v>
      </c>
      <c r="E992" t="s">
        <v>1826</v>
      </c>
      <c r="F992" s="1" t="s">
        <v>1828</v>
      </c>
      <c r="G992">
        <v>2235</v>
      </c>
      <c r="H992">
        <v>58</v>
      </c>
      <c r="I992">
        <v>2305</v>
      </c>
      <c r="L992">
        <v>2304</v>
      </c>
      <c r="M992">
        <v>2449</v>
      </c>
      <c r="N992">
        <v>5.6465129132526748</v>
      </c>
      <c r="O992" s="1"/>
      <c r="Q992" s="1"/>
      <c r="AC992" s="1"/>
    </row>
    <row r="993" spans="2:29" x14ac:dyDescent="0.25">
      <c r="B993" s="1" t="s">
        <v>1819</v>
      </c>
      <c r="C993">
        <v>992</v>
      </c>
      <c r="D993" s="1" t="s">
        <v>82</v>
      </c>
      <c r="E993" t="s">
        <v>1826</v>
      </c>
      <c r="F993" s="1" t="s">
        <v>1828</v>
      </c>
      <c r="G993">
        <v>1917</v>
      </c>
      <c r="H993">
        <v>58</v>
      </c>
      <c r="I993">
        <v>1982</v>
      </c>
      <c r="L993">
        <v>2689</v>
      </c>
      <c r="M993">
        <v>2848</v>
      </c>
      <c r="N993">
        <v>5.645091096462763</v>
      </c>
      <c r="O993" s="1"/>
      <c r="Q993" s="1"/>
      <c r="AC993" s="1"/>
    </row>
    <row r="994" spans="2:29" x14ac:dyDescent="0.25">
      <c r="B994" s="1" t="s">
        <v>1820</v>
      </c>
      <c r="C994">
        <v>993</v>
      </c>
      <c r="D994" s="1" t="s">
        <v>82</v>
      </c>
      <c r="E994" t="s">
        <v>1826</v>
      </c>
      <c r="F994" s="1" t="s">
        <v>1828</v>
      </c>
      <c r="G994">
        <v>2253</v>
      </c>
      <c r="H994">
        <v>58</v>
      </c>
      <c r="I994">
        <v>2323</v>
      </c>
      <c r="L994">
        <v>2694</v>
      </c>
      <c r="M994">
        <v>2837</v>
      </c>
      <c r="N994">
        <v>6.5892507754344596</v>
      </c>
      <c r="O994" s="1"/>
      <c r="Q994" s="1"/>
      <c r="AC994" s="1"/>
    </row>
    <row r="995" spans="2:29" x14ac:dyDescent="0.25">
      <c r="B995" s="1" t="s">
        <v>1821</v>
      </c>
      <c r="C995">
        <v>994</v>
      </c>
      <c r="D995" s="1" t="s">
        <v>82</v>
      </c>
      <c r="E995" t="s">
        <v>1826</v>
      </c>
      <c r="F995" s="1" t="s">
        <v>1828</v>
      </c>
      <c r="G995">
        <v>1917</v>
      </c>
      <c r="H995">
        <v>58</v>
      </c>
      <c r="I995">
        <v>1982</v>
      </c>
      <c r="L995">
        <v>2235</v>
      </c>
      <c r="M995">
        <v>2352</v>
      </c>
      <c r="N995">
        <v>4.6627206634299903</v>
      </c>
      <c r="O995" s="1"/>
      <c r="Q995" s="1"/>
      <c r="AC995" s="1"/>
    </row>
    <row r="996" spans="2:29" x14ac:dyDescent="0.25">
      <c r="B996" s="1" t="s">
        <v>1822</v>
      </c>
      <c r="C996">
        <v>995</v>
      </c>
      <c r="D996" s="1" t="s">
        <v>82</v>
      </c>
      <c r="E996" t="s">
        <v>1826</v>
      </c>
      <c r="F996" s="1" t="s">
        <v>1828</v>
      </c>
      <c r="G996">
        <v>2253</v>
      </c>
      <c r="H996">
        <v>58</v>
      </c>
      <c r="I996">
        <v>2323</v>
      </c>
      <c r="L996">
        <v>2302</v>
      </c>
      <c r="M996">
        <v>2448</v>
      </c>
      <c r="N996">
        <v>5.6858271331852439</v>
      </c>
      <c r="O996" s="1"/>
      <c r="Q996" s="1"/>
      <c r="AC996" s="1"/>
    </row>
    <row r="997" spans="2:29" x14ac:dyDescent="0.25">
      <c r="B997" s="1" t="s">
        <v>1823</v>
      </c>
      <c r="C997">
        <v>996</v>
      </c>
      <c r="D997" s="1" t="s">
        <v>82</v>
      </c>
      <c r="E997" t="s">
        <v>1826</v>
      </c>
      <c r="F997" s="1" t="s">
        <v>1828</v>
      </c>
      <c r="G997">
        <v>1917</v>
      </c>
      <c r="H997">
        <v>58</v>
      </c>
      <c r="I997">
        <v>1982</v>
      </c>
      <c r="L997">
        <v>2687</v>
      </c>
      <c r="M997">
        <v>2845</v>
      </c>
      <c r="N997">
        <v>5.6389044945962903</v>
      </c>
      <c r="O997" s="1"/>
      <c r="Q997" s="1"/>
      <c r="AC997" s="1"/>
    </row>
    <row r="998" spans="2:29" x14ac:dyDescent="0.25">
      <c r="B998" s="1" t="s">
        <v>1824</v>
      </c>
      <c r="C998">
        <v>997</v>
      </c>
      <c r="D998" s="1" t="s">
        <v>82</v>
      </c>
      <c r="E998" t="s">
        <v>1826</v>
      </c>
      <c r="F998" s="1" t="s">
        <v>1828</v>
      </c>
      <c r="G998">
        <v>2253</v>
      </c>
      <c r="H998">
        <v>58</v>
      </c>
      <c r="I998">
        <v>2323</v>
      </c>
      <c r="L998">
        <v>2686</v>
      </c>
      <c r="M998">
        <v>2831</v>
      </c>
      <c r="N998">
        <v>6.5768584544194661</v>
      </c>
      <c r="O998" s="1"/>
      <c r="Q998" s="1"/>
      <c r="AC998" s="1"/>
    </row>
    <row r="999" spans="2:29" x14ac:dyDescent="0.25">
      <c r="B999" s="1" t="s">
        <v>1825</v>
      </c>
      <c r="C999">
        <v>998</v>
      </c>
      <c r="D999" s="1" t="s">
        <v>82</v>
      </c>
      <c r="E999" t="s">
        <v>1826</v>
      </c>
      <c r="F999" s="1" t="s">
        <v>1828</v>
      </c>
      <c r="G999">
        <v>1917</v>
      </c>
      <c r="H999">
        <v>58</v>
      </c>
      <c r="I999">
        <v>1982</v>
      </c>
      <c r="L999">
        <v>2230</v>
      </c>
      <c r="M999">
        <v>2351</v>
      </c>
      <c r="N999">
        <v>4.6601475436001545</v>
      </c>
      <c r="O999" s="1"/>
      <c r="Q999" s="1"/>
      <c r="AC999" s="1"/>
    </row>
    <row r="1000" spans="2:29" x14ac:dyDescent="0.25">
      <c r="B1000" s="1" t="s">
        <v>1845</v>
      </c>
      <c r="C1000">
        <v>999</v>
      </c>
      <c r="D1000" s="1" t="s">
        <v>80</v>
      </c>
      <c r="E1000" t="s">
        <v>1899</v>
      </c>
      <c r="F1000" s="1" t="s">
        <v>1902</v>
      </c>
      <c r="G1000">
        <v>4135</v>
      </c>
      <c r="H1000">
        <v>180</v>
      </c>
      <c r="I1000">
        <v>4135</v>
      </c>
      <c r="L1000">
        <v>792</v>
      </c>
      <c r="M1000">
        <v>792</v>
      </c>
      <c r="N1000">
        <v>3.274486203778872</v>
      </c>
      <c r="O1000" s="1"/>
      <c r="Q1000" s="1"/>
      <c r="AC1000" s="1"/>
    </row>
    <row r="1001" spans="2:29" x14ac:dyDescent="0.25">
      <c r="B1001" s="1" t="s">
        <v>1846</v>
      </c>
      <c r="C1001">
        <v>1000</v>
      </c>
      <c r="D1001" s="1" t="s">
        <v>80</v>
      </c>
      <c r="E1001" t="s">
        <v>1899</v>
      </c>
      <c r="F1001" s="1" t="s">
        <v>1902</v>
      </c>
      <c r="G1001">
        <v>4276</v>
      </c>
      <c r="H1001">
        <v>180</v>
      </c>
      <c r="I1001">
        <v>4276</v>
      </c>
      <c r="L1001">
        <v>1468</v>
      </c>
      <c r="M1001">
        <v>1468</v>
      </c>
      <c r="N1001">
        <v>6.2769626366120841</v>
      </c>
      <c r="O1001" s="1"/>
      <c r="Q1001" s="1"/>
      <c r="AC1001" s="1"/>
    </row>
    <row r="1002" spans="2:29" x14ac:dyDescent="0.25">
      <c r="B1002" s="1" t="s">
        <v>1847</v>
      </c>
      <c r="C1002">
        <v>1001</v>
      </c>
      <c r="D1002" s="1" t="s">
        <v>80</v>
      </c>
      <c r="E1002" t="s">
        <v>1899</v>
      </c>
      <c r="F1002" s="1" t="s">
        <v>1902</v>
      </c>
      <c r="G1002">
        <v>3499</v>
      </c>
      <c r="H1002">
        <v>180</v>
      </c>
      <c r="I1002">
        <v>3499</v>
      </c>
      <c r="L1002">
        <v>1468</v>
      </c>
      <c r="M1002">
        <v>1468</v>
      </c>
      <c r="N1002">
        <v>5.1365734536454113</v>
      </c>
      <c r="O1002" s="1"/>
      <c r="Q1002" s="1"/>
      <c r="AC1002" s="1"/>
    </row>
    <row r="1003" spans="2:29" x14ac:dyDescent="0.25">
      <c r="B1003" s="1" t="s">
        <v>1848</v>
      </c>
      <c r="C1003">
        <v>1002</v>
      </c>
      <c r="D1003" s="1" t="s">
        <v>80</v>
      </c>
      <c r="E1003" t="s">
        <v>1899</v>
      </c>
      <c r="F1003" s="1" t="s">
        <v>1902</v>
      </c>
      <c r="G1003">
        <v>4364</v>
      </c>
      <c r="H1003">
        <v>180</v>
      </c>
      <c r="I1003">
        <v>4364</v>
      </c>
      <c r="L1003">
        <v>790</v>
      </c>
      <c r="M1003">
        <v>790</v>
      </c>
      <c r="N1003">
        <v>3.4476663770161591</v>
      </c>
      <c r="O1003" s="1"/>
      <c r="Q1003" s="1"/>
      <c r="AC1003" s="1"/>
    </row>
    <row r="1004" spans="2:29" x14ac:dyDescent="0.25">
      <c r="B1004" s="1" t="s">
        <v>1849</v>
      </c>
      <c r="C1004">
        <v>1003</v>
      </c>
      <c r="D1004" s="1" t="s">
        <v>80</v>
      </c>
      <c r="E1004" t="s">
        <v>1899</v>
      </c>
      <c r="F1004" s="1" t="s">
        <v>1902</v>
      </c>
      <c r="G1004">
        <v>4180</v>
      </c>
      <c r="H1004">
        <v>180</v>
      </c>
      <c r="I1004">
        <v>4180</v>
      </c>
      <c r="L1004">
        <v>1501</v>
      </c>
      <c r="M1004">
        <v>1501</v>
      </c>
      <c r="N1004">
        <v>6.2748010304451594</v>
      </c>
      <c r="O1004" s="1"/>
      <c r="Q1004" s="1"/>
      <c r="AC1004" s="1"/>
    </row>
    <row r="1005" spans="2:29" x14ac:dyDescent="0.25">
      <c r="B1005" s="1" t="s">
        <v>1850</v>
      </c>
      <c r="C1005">
        <v>1004</v>
      </c>
      <c r="D1005" s="1" t="s">
        <v>80</v>
      </c>
      <c r="E1005" t="s">
        <v>1899</v>
      </c>
      <c r="F1005" s="1" t="s">
        <v>1902</v>
      </c>
      <c r="G1005">
        <v>3499</v>
      </c>
      <c r="H1005">
        <v>180</v>
      </c>
      <c r="I1005">
        <v>3499</v>
      </c>
      <c r="L1005">
        <v>1501</v>
      </c>
      <c r="M1005">
        <v>1501</v>
      </c>
      <c r="N1005">
        <v>5.2519243453640323</v>
      </c>
      <c r="O1005" s="1"/>
      <c r="Q1005" s="1"/>
      <c r="AC1005" s="1"/>
    </row>
    <row r="1006" spans="2:29" x14ac:dyDescent="0.25">
      <c r="B1006" s="1" t="s">
        <v>1851</v>
      </c>
      <c r="C1006">
        <v>1005</v>
      </c>
      <c r="D1006" s="1" t="s">
        <v>80</v>
      </c>
      <c r="E1006" t="s">
        <v>1899</v>
      </c>
      <c r="F1006" s="1" t="s">
        <v>1902</v>
      </c>
      <c r="G1006">
        <v>4385</v>
      </c>
      <c r="H1006">
        <v>180</v>
      </c>
      <c r="I1006">
        <v>4385</v>
      </c>
      <c r="L1006">
        <v>690</v>
      </c>
      <c r="M1006">
        <v>690</v>
      </c>
      <c r="N1006">
        <v>3.0251368835002435</v>
      </c>
      <c r="O1006" s="1"/>
      <c r="Q1006" s="1"/>
      <c r="AC1006" s="1"/>
    </row>
    <row r="1007" spans="2:29" x14ac:dyDescent="0.25">
      <c r="B1007" s="1" t="s">
        <v>1852</v>
      </c>
      <c r="C1007">
        <v>1006</v>
      </c>
      <c r="D1007" s="1" t="s">
        <v>80</v>
      </c>
      <c r="E1007" t="s">
        <v>1899</v>
      </c>
      <c r="F1007" s="1" t="s">
        <v>1902</v>
      </c>
      <c r="G1007">
        <v>4197</v>
      </c>
      <c r="H1007">
        <v>180</v>
      </c>
      <c r="I1007">
        <v>4197</v>
      </c>
      <c r="L1007">
        <v>1501</v>
      </c>
      <c r="M1007">
        <v>1501</v>
      </c>
      <c r="N1007">
        <v>6.2996797170709851</v>
      </c>
      <c r="O1007" s="1"/>
      <c r="Q1007" s="1"/>
      <c r="AC1007" s="1"/>
    </row>
    <row r="1008" spans="2:29" x14ac:dyDescent="0.25">
      <c r="B1008" s="1" t="s">
        <v>1853</v>
      </c>
      <c r="C1008">
        <v>1007</v>
      </c>
      <c r="D1008" s="1" t="s">
        <v>80</v>
      </c>
      <c r="E1008" t="s">
        <v>1899</v>
      </c>
      <c r="F1008" s="1" t="s">
        <v>1902</v>
      </c>
      <c r="G1008">
        <v>3953</v>
      </c>
      <c r="H1008">
        <v>180</v>
      </c>
      <c r="I1008">
        <v>3953</v>
      </c>
      <c r="L1008">
        <v>1501</v>
      </c>
      <c r="M1008">
        <v>1501</v>
      </c>
      <c r="N1008">
        <v>5.9333643621622745</v>
      </c>
      <c r="O1008" s="1"/>
      <c r="Q1008" s="1"/>
      <c r="AC1008" s="1"/>
    </row>
    <row r="1009" spans="2:29" x14ac:dyDescent="0.25">
      <c r="B1009" s="1" t="s">
        <v>1854</v>
      </c>
      <c r="C1009">
        <v>1008</v>
      </c>
      <c r="D1009" s="1" t="s">
        <v>80</v>
      </c>
      <c r="E1009" t="s">
        <v>1826</v>
      </c>
      <c r="F1009" s="1" t="s">
        <v>1903</v>
      </c>
      <c r="G1009">
        <v>3964</v>
      </c>
      <c r="H1009">
        <v>58</v>
      </c>
      <c r="I1009">
        <v>3964</v>
      </c>
      <c r="L1009">
        <v>1363</v>
      </c>
      <c r="M1009">
        <v>1363</v>
      </c>
      <c r="N1009">
        <v>5.4025378919199989</v>
      </c>
      <c r="O1009" s="1"/>
      <c r="Q1009" s="1"/>
      <c r="AC1009" s="1"/>
    </row>
    <row r="1010" spans="2:29" x14ac:dyDescent="0.25">
      <c r="B1010" s="1" t="s">
        <v>1855</v>
      </c>
      <c r="C1010">
        <v>1009</v>
      </c>
      <c r="D1010" s="1" t="s">
        <v>80</v>
      </c>
      <c r="E1010" t="s">
        <v>1826</v>
      </c>
      <c r="F1010" s="1" t="s">
        <v>1903</v>
      </c>
      <c r="G1010">
        <v>4141</v>
      </c>
      <c r="H1010">
        <v>58</v>
      </c>
      <c r="I1010">
        <v>4141</v>
      </c>
      <c r="L1010">
        <v>983</v>
      </c>
      <c r="M1010">
        <v>1045</v>
      </c>
      <c r="N1010">
        <v>4.3271120146093551</v>
      </c>
      <c r="O1010" s="1"/>
      <c r="Q1010" s="1"/>
      <c r="AC1010" s="1"/>
    </row>
    <row r="1011" spans="2:29" x14ac:dyDescent="0.25">
      <c r="B1011" s="1" t="s">
        <v>1856</v>
      </c>
      <c r="C1011">
        <v>1010</v>
      </c>
      <c r="D1011" s="1" t="s">
        <v>80</v>
      </c>
      <c r="E1011" t="s">
        <v>1826</v>
      </c>
      <c r="F1011" s="1" t="s">
        <v>1903</v>
      </c>
      <c r="G1011">
        <v>3502</v>
      </c>
      <c r="H1011">
        <v>58</v>
      </c>
      <c r="I1011">
        <v>3502</v>
      </c>
      <c r="L1011">
        <v>1548</v>
      </c>
      <c r="M1011">
        <v>1548</v>
      </c>
      <c r="N1011">
        <v>5.4208960852222994</v>
      </c>
      <c r="O1011" s="1"/>
      <c r="Q1011" s="1"/>
      <c r="AC1011" s="1"/>
    </row>
    <row r="1012" spans="2:29" x14ac:dyDescent="0.25">
      <c r="B1012" s="1" t="s">
        <v>1857</v>
      </c>
      <c r="C1012">
        <v>1011</v>
      </c>
      <c r="D1012" s="1" t="s">
        <v>80</v>
      </c>
      <c r="E1012" t="s">
        <v>1826</v>
      </c>
      <c r="F1012" s="1" t="s">
        <v>1903</v>
      </c>
      <c r="G1012">
        <v>4061</v>
      </c>
      <c r="H1012">
        <v>58</v>
      </c>
      <c r="I1012">
        <v>4183</v>
      </c>
      <c r="L1012">
        <v>1410</v>
      </c>
      <c r="M1012">
        <v>1410</v>
      </c>
      <c r="N1012">
        <v>5.8976553912765519</v>
      </c>
      <c r="O1012" s="1"/>
      <c r="Q1012" s="1"/>
      <c r="AC1012" s="1"/>
    </row>
    <row r="1013" spans="2:29" x14ac:dyDescent="0.25">
      <c r="B1013" s="1" t="s">
        <v>1858</v>
      </c>
      <c r="C1013">
        <v>1012</v>
      </c>
      <c r="D1013" s="1" t="s">
        <v>80</v>
      </c>
      <c r="E1013" t="s">
        <v>1826</v>
      </c>
      <c r="F1013" s="1" t="s">
        <v>1903</v>
      </c>
      <c r="G1013">
        <v>4360</v>
      </c>
      <c r="H1013">
        <v>58</v>
      </c>
      <c r="I1013">
        <v>4360</v>
      </c>
      <c r="L1013">
        <v>967</v>
      </c>
      <c r="M1013">
        <v>1029</v>
      </c>
      <c r="N1013">
        <v>4.4876949739397176</v>
      </c>
      <c r="O1013" s="1"/>
      <c r="Q1013" s="1"/>
      <c r="AC1013" s="1"/>
    </row>
    <row r="1014" spans="2:29" x14ac:dyDescent="0.25">
      <c r="B1014" s="1" t="s">
        <v>1859</v>
      </c>
      <c r="C1014">
        <v>1013</v>
      </c>
      <c r="D1014" s="1" t="s">
        <v>80</v>
      </c>
      <c r="E1014" t="s">
        <v>1826</v>
      </c>
      <c r="F1014" s="1" t="s">
        <v>1903</v>
      </c>
      <c r="G1014">
        <v>3473</v>
      </c>
      <c r="H1014">
        <v>58</v>
      </c>
      <c r="I1014">
        <v>3473</v>
      </c>
      <c r="L1014">
        <v>1581</v>
      </c>
      <c r="M1014">
        <v>1581</v>
      </c>
      <c r="N1014">
        <v>5.4900809333487306</v>
      </c>
      <c r="O1014" s="1"/>
      <c r="Q1014" s="1"/>
      <c r="AC1014" s="1"/>
    </row>
    <row r="1015" spans="2:29" x14ac:dyDescent="0.25">
      <c r="B1015" s="1" t="s">
        <v>1860</v>
      </c>
      <c r="C1015">
        <v>1014</v>
      </c>
      <c r="D1015" s="1" t="s">
        <v>80</v>
      </c>
      <c r="E1015" t="s">
        <v>1826</v>
      </c>
      <c r="F1015" s="1" t="s">
        <v>1903</v>
      </c>
      <c r="G1015">
        <v>4069</v>
      </c>
      <c r="H1015">
        <v>58</v>
      </c>
      <c r="I1015">
        <v>4200</v>
      </c>
      <c r="L1015">
        <v>1460</v>
      </c>
      <c r="M1015">
        <v>1460</v>
      </c>
      <c r="N1015">
        <v>6.1315940008385192</v>
      </c>
      <c r="O1015" s="1"/>
      <c r="Q1015" s="1"/>
      <c r="AC1015" s="1"/>
    </row>
    <row r="1016" spans="2:29" x14ac:dyDescent="0.25">
      <c r="B1016" s="1" t="s">
        <v>1861</v>
      </c>
      <c r="C1016">
        <v>1015</v>
      </c>
      <c r="D1016" s="1" t="s">
        <v>80</v>
      </c>
      <c r="E1016" t="s">
        <v>1826</v>
      </c>
      <c r="F1016" s="1" t="s">
        <v>1903</v>
      </c>
      <c r="G1016">
        <v>4377</v>
      </c>
      <c r="H1016">
        <v>58</v>
      </c>
      <c r="I1016">
        <v>4377</v>
      </c>
      <c r="L1016">
        <v>867</v>
      </c>
      <c r="M1016">
        <v>913</v>
      </c>
      <c r="N1016">
        <v>3.9965283929511535</v>
      </c>
      <c r="O1016" s="1"/>
      <c r="Q1016" s="1"/>
      <c r="AC1016" s="1"/>
    </row>
    <row r="1017" spans="2:29" x14ac:dyDescent="0.25">
      <c r="B1017" s="1" t="s">
        <v>1862</v>
      </c>
      <c r="C1017">
        <v>1016</v>
      </c>
      <c r="D1017" s="1" t="s">
        <v>80</v>
      </c>
      <c r="E1017" t="s">
        <v>1826</v>
      </c>
      <c r="F1017" s="1" t="s">
        <v>1903</v>
      </c>
      <c r="G1017">
        <v>3956</v>
      </c>
      <c r="H1017">
        <v>58</v>
      </c>
      <c r="I1017">
        <v>3956</v>
      </c>
      <c r="L1017">
        <v>1631</v>
      </c>
      <c r="M1017">
        <v>1631</v>
      </c>
      <c r="N1017">
        <v>6.4527727619584621</v>
      </c>
      <c r="O1017" s="1"/>
      <c r="Q1017" s="1"/>
      <c r="AC1017" s="1"/>
    </row>
    <row r="1018" spans="2:29" x14ac:dyDescent="0.25">
      <c r="B1018" s="1" t="s">
        <v>1863</v>
      </c>
      <c r="C1018">
        <v>1017</v>
      </c>
      <c r="D1018" s="1" t="s">
        <v>81</v>
      </c>
      <c r="E1018" t="s">
        <v>1899</v>
      </c>
      <c r="F1018" s="1" t="s">
        <v>1901</v>
      </c>
      <c r="G1018">
        <v>3259</v>
      </c>
      <c r="H1018">
        <v>180</v>
      </c>
      <c r="I1018">
        <v>3259</v>
      </c>
      <c r="L1018">
        <v>1661</v>
      </c>
      <c r="M1018">
        <v>1661</v>
      </c>
      <c r="N1018">
        <v>5.4149989581584519</v>
      </c>
      <c r="O1018" s="1"/>
      <c r="Q1018" s="1"/>
      <c r="AC1018" s="1"/>
    </row>
    <row r="1019" spans="2:29" x14ac:dyDescent="0.25">
      <c r="B1019" s="1" t="s">
        <v>1864</v>
      </c>
      <c r="C1019">
        <v>1018</v>
      </c>
      <c r="D1019" s="1" t="s">
        <v>81</v>
      </c>
      <c r="E1019" t="s">
        <v>1899</v>
      </c>
      <c r="F1019" s="1" t="s">
        <v>1901</v>
      </c>
      <c r="G1019">
        <v>2945</v>
      </c>
      <c r="H1019">
        <v>180</v>
      </c>
      <c r="I1019">
        <v>2945</v>
      </c>
      <c r="L1019">
        <v>1154</v>
      </c>
      <c r="M1019">
        <v>1154</v>
      </c>
      <c r="N1019">
        <v>3.3976981356462272</v>
      </c>
      <c r="O1019" s="1"/>
      <c r="Q1019" s="1"/>
      <c r="AC1019" s="1"/>
    </row>
    <row r="1020" spans="2:29" x14ac:dyDescent="0.25">
      <c r="B1020" s="1" t="s">
        <v>1865</v>
      </c>
      <c r="C1020">
        <v>1019</v>
      </c>
      <c r="D1020" s="1" t="s">
        <v>81</v>
      </c>
      <c r="E1020" t="s">
        <v>1899</v>
      </c>
      <c r="F1020" s="1" t="s">
        <v>1901</v>
      </c>
      <c r="G1020">
        <v>3259</v>
      </c>
      <c r="H1020">
        <v>180</v>
      </c>
      <c r="I1020">
        <v>3259</v>
      </c>
      <c r="L1020">
        <v>1682</v>
      </c>
      <c r="M1020">
        <v>1682</v>
      </c>
      <c r="N1020">
        <v>5.4821841241116545</v>
      </c>
      <c r="O1020" s="1"/>
      <c r="Q1020" s="1"/>
      <c r="AC1020" s="1"/>
    </row>
    <row r="1021" spans="2:29" x14ac:dyDescent="0.25">
      <c r="B1021" s="1" t="s">
        <v>1866</v>
      </c>
      <c r="C1021">
        <v>1020</v>
      </c>
      <c r="D1021" s="1" t="s">
        <v>81</v>
      </c>
      <c r="E1021" t="s">
        <v>1899</v>
      </c>
      <c r="F1021" s="1" t="s">
        <v>1901</v>
      </c>
      <c r="G1021">
        <v>2939</v>
      </c>
      <c r="H1021">
        <v>180</v>
      </c>
      <c r="I1021">
        <v>2939</v>
      </c>
      <c r="L1021">
        <v>1141</v>
      </c>
      <c r="M1021">
        <v>1141</v>
      </c>
      <c r="N1021">
        <v>3.3530282295008531</v>
      </c>
      <c r="O1021" s="1"/>
      <c r="Q1021" s="1"/>
      <c r="AC1021" s="1"/>
    </row>
    <row r="1022" spans="2:29" x14ac:dyDescent="0.25">
      <c r="B1022" s="1" t="s">
        <v>1867</v>
      </c>
      <c r="C1022">
        <v>1021</v>
      </c>
      <c r="D1022" s="1" t="s">
        <v>81</v>
      </c>
      <c r="E1022" t="s">
        <v>1899</v>
      </c>
      <c r="F1022" s="1" t="s">
        <v>1901</v>
      </c>
      <c r="G1022">
        <v>3139</v>
      </c>
      <c r="H1022">
        <v>180</v>
      </c>
      <c r="I1022">
        <v>3139</v>
      </c>
      <c r="L1022">
        <v>1211</v>
      </c>
      <c r="M1022">
        <v>1211</v>
      </c>
      <c r="N1022">
        <v>3.8009543172871525</v>
      </c>
      <c r="O1022" s="1"/>
      <c r="Q1022" s="1"/>
      <c r="AC1022" s="1"/>
    </row>
    <row r="1023" spans="2:29" x14ac:dyDescent="0.25">
      <c r="B1023" s="1" t="s">
        <v>1868</v>
      </c>
      <c r="C1023">
        <v>1022</v>
      </c>
      <c r="D1023" s="1" t="s">
        <v>81</v>
      </c>
      <c r="E1023" t="s">
        <v>1899</v>
      </c>
      <c r="F1023" s="1" t="s">
        <v>1901</v>
      </c>
      <c r="G1023">
        <v>2831</v>
      </c>
      <c r="H1023">
        <v>180</v>
      </c>
      <c r="I1023">
        <v>2831</v>
      </c>
      <c r="L1023">
        <v>1112</v>
      </c>
      <c r="M1023">
        <v>1112</v>
      </c>
      <c r="N1023">
        <v>3.1480138936014344</v>
      </c>
      <c r="O1023" s="1"/>
      <c r="Q1023" s="1"/>
      <c r="AC1023" s="1"/>
    </row>
    <row r="1024" spans="2:29" x14ac:dyDescent="0.25">
      <c r="B1024" s="1" t="s">
        <v>1869</v>
      </c>
      <c r="C1024">
        <v>1023</v>
      </c>
      <c r="D1024" s="1" t="s">
        <v>81</v>
      </c>
      <c r="E1024" t="s">
        <v>1899</v>
      </c>
      <c r="F1024" s="1" t="s">
        <v>1901</v>
      </c>
      <c r="G1024">
        <v>3038</v>
      </c>
      <c r="H1024">
        <v>180</v>
      </c>
      <c r="I1024">
        <v>3038</v>
      </c>
      <c r="L1024">
        <v>1281</v>
      </c>
      <c r="M1024">
        <v>1281</v>
      </c>
      <c r="N1024">
        <v>3.8916544196676264</v>
      </c>
      <c r="O1024" s="1"/>
      <c r="Q1024" s="1"/>
      <c r="AC1024" s="1"/>
    </row>
    <row r="1025" spans="2:29" x14ac:dyDescent="0.25">
      <c r="B1025" s="1" t="s">
        <v>1870</v>
      </c>
      <c r="C1025">
        <v>1024</v>
      </c>
      <c r="D1025" s="1" t="s">
        <v>81</v>
      </c>
      <c r="E1025" t="s">
        <v>1899</v>
      </c>
      <c r="F1025" s="1" t="s">
        <v>1901</v>
      </c>
      <c r="G1025">
        <v>2832</v>
      </c>
      <c r="H1025">
        <v>180</v>
      </c>
      <c r="I1025">
        <v>2832</v>
      </c>
      <c r="L1025">
        <v>1042</v>
      </c>
      <c r="M1025">
        <v>1042</v>
      </c>
      <c r="N1025">
        <v>2.9508264377279976</v>
      </c>
      <c r="O1025" s="1"/>
      <c r="Q1025" s="1"/>
      <c r="AC1025" s="1"/>
    </row>
    <row r="1026" spans="2:29" x14ac:dyDescent="0.25">
      <c r="B1026" s="1" t="s">
        <v>1871</v>
      </c>
      <c r="C1026">
        <v>1025</v>
      </c>
      <c r="D1026" s="1" t="s">
        <v>81</v>
      </c>
      <c r="E1026" t="s">
        <v>1826</v>
      </c>
      <c r="F1026" s="1" t="s">
        <v>1904</v>
      </c>
      <c r="G1026">
        <v>2954</v>
      </c>
      <c r="H1026">
        <v>58</v>
      </c>
      <c r="I1026">
        <v>2954</v>
      </c>
      <c r="L1026">
        <v>1369</v>
      </c>
      <c r="M1026">
        <v>1369</v>
      </c>
      <c r="N1026">
        <v>4.0440352829490314</v>
      </c>
      <c r="O1026" s="1"/>
      <c r="Q1026" s="1"/>
      <c r="AC1026" s="1"/>
    </row>
    <row r="1027" spans="2:29" x14ac:dyDescent="0.25">
      <c r="B1027" s="1" t="s">
        <v>1872</v>
      </c>
      <c r="C1027">
        <v>1026</v>
      </c>
      <c r="D1027" s="1" t="s">
        <v>81</v>
      </c>
      <c r="E1027" t="s">
        <v>1826</v>
      </c>
      <c r="F1027" s="1" t="s">
        <v>1904</v>
      </c>
      <c r="G1027">
        <v>2954</v>
      </c>
      <c r="H1027">
        <v>58</v>
      </c>
      <c r="I1027">
        <v>2954</v>
      </c>
      <c r="L1027">
        <v>1525</v>
      </c>
      <c r="M1027">
        <v>1587</v>
      </c>
      <c r="N1027">
        <v>4.6882871625799396</v>
      </c>
      <c r="O1027" s="1"/>
      <c r="Q1027" s="1"/>
      <c r="AC1027" s="1"/>
    </row>
    <row r="1028" spans="2:29" x14ac:dyDescent="0.25">
      <c r="B1028" s="1" t="s">
        <v>1873</v>
      </c>
      <c r="C1028">
        <v>1027</v>
      </c>
      <c r="D1028" s="1" t="s">
        <v>81</v>
      </c>
      <c r="E1028" t="s">
        <v>1826</v>
      </c>
      <c r="F1028" s="1" t="s">
        <v>1904</v>
      </c>
      <c r="G1028">
        <v>2954</v>
      </c>
      <c r="H1028">
        <v>58</v>
      </c>
      <c r="I1028">
        <v>2954</v>
      </c>
      <c r="L1028">
        <v>1369</v>
      </c>
      <c r="M1028">
        <v>1369</v>
      </c>
      <c r="N1028">
        <v>4.044036361207338</v>
      </c>
      <c r="O1028" s="1"/>
      <c r="Q1028" s="1"/>
      <c r="AC1028" s="1"/>
    </row>
    <row r="1029" spans="2:29" x14ac:dyDescent="0.25">
      <c r="B1029" s="1" t="s">
        <v>1874</v>
      </c>
      <c r="C1029">
        <v>1028</v>
      </c>
      <c r="D1029" s="1" t="s">
        <v>81</v>
      </c>
      <c r="E1029" t="s">
        <v>1826</v>
      </c>
      <c r="F1029" s="1" t="s">
        <v>1904</v>
      </c>
      <c r="G1029">
        <v>2954</v>
      </c>
      <c r="H1029">
        <v>58</v>
      </c>
      <c r="I1029">
        <v>2954</v>
      </c>
      <c r="L1029">
        <v>1525</v>
      </c>
      <c r="M1029">
        <v>1587</v>
      </c>
      <c r="N1029">
        <v>4.6882878481150296</v>
      </c>
      <c r="O1029" s="1"/>
      <c r="Q1029" s="1"/>
      <c r="AC1029" s="1"/>
    </row>
    <row r="1030" spans="2:29" x14ac:dyDescent="0.25">
      <c r="B1030" s="1" t="s">
        <v>1875</v>
      </c>
      <c r="C1030">
        <v>1029</v>
      </c>
      <c r="D1030" s="1" t="s">
        <v>81</v>
      </c>
      <c r="E1030" t="s">
        <v>1826</v>
      </c>
      <c r="F1030" s="1" t="s">
        <v>1904</v>
      </c>
      <c r="G1030">
        <v>2831</v>
      </c>
      <c r="H1030">
        <v>58</v>
      </c>
      <c r="I1030">
        <v>2836</v>
      </c>
      <c r="L1030">
        <v>1357</v>
      </c>
      <c r="M1030">
        <v>1421</v>
      </c>
      <c r="N1030">
        <v>4.0300853837501451</v>
      </c>
      <c r="O1030" s="1"/>
      <c r="Q1030" s="1"/>
      <c r="AC1030" s="1"/>
    </row>
    <row r="1031" spans="2:29" x14ac:dyDescent="0.25">
      <c r="B1031" s="1" t="s">
        <v>1876</v>
      </c>
      <c r="C1031">
        <v>1030</v>
      </c>
      <c r="D1031" s="1" t="s">
        <v>81</v>
      </c>
      <c r="E1031" t="s">
        <v>1826</v>
      </c>
      <c r="F1031" s="1" t="s">
        <v>1904</v>
      </c>
      <c r="G1031">
        <v>2831</v>
      </c>
      <c r="H1031">
        <v>58</v>
      </c>
      <c r="I1031">
        <v>2836</v>
      </c>
      <c r="L1031">
        <v>1031</v>
      </c>
      <c r="M1031">
        <v>1031</v>
      </c>
      <c r="N1031">
        <v>2.9251403664760067</v>
      </c>
      <c r="O1031" s="1"/>
      <c r="Q1031" s="1"/>
      <c r="AC1031" s="1"/>
    </row>
    <row r="1032" spans="2:29" x14ac:dyDescent="0.25">
      <c r="B1032" s="1" t="s">
        <v>1877</v>
      </c>
      <c r="C1032">
        <v>1031</v>
      </c>
      <c r="D1032" s="1" t="s">
        <v>81</v>
      </c>
      <c r="E1032" t="s">
        <v>1826</v>
      </c>
      <c r="F1032" s="1" t="s">
        <v>1904</v>
      </c>
      <c r="G1032">
        <v>2718</v>
      </c>
      <c r="H1032">
        <v>58</v>
      </c>
      <c r="I1032">
        <v>2723</v>
      </c>
      <c r="L1032">
        <v>1369</v>
      </c>
      <c r="M1032">
        <v>1431</v>
      </c>
      <c r="N1032">
        <v>3.8967225758658408</v>
      </c>
      <c r="O1032" s="1"/>
      <c r="Q1032" s="1"/>
      <c r="AC1032" s="1"/>
    </row>
    <row r="1033" spans="2:29" x14ac:dyDescent="0.25">
      <c r="B1033" s="1" t="s">
        <v>1878</v>
      </c>
      <c r="C1033">
        <v>1032</v>
      </c>
      <c r="D1033" s="1" t="s">
        <v>81</v>
      </c>
      <c r="E1033" t="s">
        <v>1826</v>
      </c>
      <c r="F1033" s="1" t="s">
        <v>1904</v>
      </c>
      <c r="G1033">
        <v>2718</v>
      </c>
      <c r="H1033">
        <v>58</v>
      </c>
      <c r="I1033">
        <v>2723</v>
      </c>
      <c r="L1033">
        <v>1025</v>
      </c>
      <c r="M1033">
        <v>1025</v>
      </c>
      <c r="N1033">
        <v>2.7914199881538999</v>
      </c>
      <c r="O1033" s="1"/>
      <c r="Q1033" s="1"/>
      <c r="AC1033" s="1"/>
    </row>
    <row r="1034" spans="2:29" x14ac:dyDescent="0.25">
      <c r="B1034" s="1" t="s">
        <v>1879</v>
      </c>
      <c r="C1034">
        <v>1033</v>
      </c>
      <c r="D1034" s="1" t="s">
        <v>82</v>
      </c>
      <c r="E1034" t="s">
        <v>1899</v>
      </c>
      <c r="F1034" s="1" t="s">
        <v>1900</v>
      </c>
      <c r="G1034">
        <v>3992</v>
      </c>
      <c r="H1034">
        <v>180</v>
      </c>
      <c r="I1034">
        <v>3992</v>
      </c>
      <c r="L1034">
        <v>1020</v>
      </c>
      <c r="M1034">
        <v>1020</v>
      </c>
      <c r="N1034">
        <v>4.0717619909830605</v>
      </c>
      <c r="O1034" s="1"/>
      <c r="Q1034" s="1"/>
      <c r="AC1034" s="1"/>
    </row>
    <row r="1035" spans="2:29" x14ac:dyDescent="0.25">
      <c r="B1035" s="1" t="s">
        <v>1880</v>
      </c>
      <c r="C1035">
        <v>1034</v>
      </c>
      <c r="D1035" s="1" t="s">
        <v>82</v>
      </c>
      <c r="E1035" t="s">
        <v>1899</v>
      </c>
      <c r="F1035" s="1" t="s">
        <v>1900</v>
      </c>
      <c r="G1035">
        <v>3992</v>
      </c>
      <c r="H1035">
        <v>180</v>
      </c>
      <c r="I1035">
        <v>3992</v>
      </c>
      <c r="L1035">
        <v>1042</v>
      </c>
      <c r="M1035">
        <v>1042</v>
      </c>
      <c r="N1035">
        <v>4.1592569875432348</v>
      </c>
      <c r="O1035" s="1"/>
      <c r="Q1035" s="1"/>
      <c r="AC1035" s="1"/>
    </row>
    <row r="1036" spans="2:29" x14ac:dyDescent="0.25">
      <c r="B1036" s="1" t="s">
        <v>1881</v>
      </c>
      <c r="C1036">
        <v>1035</v>
      </c>
      <c r="D1036" s="1" t="s">
        <v>82</v>
      </c>
      <c r="E1036" t="s">
        <v>1899</v>
      </c>
      <c r="F1036" s="1" t="s">
        <v>1900</v>
      </c>
      <c r="G1036">
        <v>4190</v>
      </c>
      <c r="H1036">
        <v>180</v>
      </c>
      <c r="I1036">
        <v>4190</v>
      </c>
      <c r="L1036">
        <v>1020</v>
      </c>
      <c r="M1036">
        <v>1020</v>
      </c>
      <c r="N1036">
        <v>4.2737509981551991</v>
      </c>
      <c r="O1036" s="1"/>
      <c r="Q1036" s="1"/>
      <c r="AC1036" s="1"/>
    </row>
    <row r="1037" spans="2:29" x14ac:dyDescent="0.25">
      <c r="B1037" s="1" t="s">
        <v>1882</v>
      </c>
      <c r="C1037">
        <v>1036</v>
      </c>
      <c r="D1037" s="1" t="s">
        <v>82</v>
      </c>
      <c r="E1037" t="s">
        <v>1899</v>
      </c>
      <c r="F1037" s="1" t="s">
        <v>1900</v>
      </c>
      <c r="G1037">
        <v>4190</v>
      </c>
      <c r="H1037">
        <v>180</v>
      </c>
      <c r="I1037">
        <v>4190</v>
      </c>
      <c r="L1037">
        <v>1042</v>
      </c>
      <c r="M1037">
        <v>1042</v>
      </c>
      <c r="N1037">
        <v>4.3655863828635146</v>
      </c>
      <c r="O1037" s="1"/>
      <c r="Q1037" s="1"/>
      <c r="AC1037" s="1"/>
    </row>
    <row r="1038" spans="2:29" x14ac:dyDescent="0.25">
      <c r="B1038" s="1" t="s">
        <v>1883</v>
      </c>
      <c r="C1038">
        <v>1037</v>
      </c>
      <c r="D1038" s="1" t="s">
        <v>82</v>
      </c>
      <c r="E1038" t="s">
        <v>1899</v>
      </c>
      <c r="F1038" s="1" t="s">
        <v>1900</v>
      </c>
      <c r="G1038">
        <v>4190</v>
      </c>
      <c r="H1038">
        <v>180</v>
      </c>
      <c r="I1038">
        <v>4190</v>
      </c>
      <c r="L1038">
        <v>1020</v>
      </c>
      <c r="M1038">
        <v>1020</v>
      </c>
      <c r="N1038">
        <v>4.2739693965126948</v>
      </c>
      <c r="O1038" s="1"/>
      <c r="Q1038" s="1"/>
      <c r="AC1038" s="1"/>
    </row>
    <row r="1039" spans="2:29" x14ac:dyDescent="0.25">
      <c r="B1039" s="1" t="s">
        <v>1884</v>
      </c>
      <c r="C1039">
        <v>1038</v>
      </c>
      <c r="D1039" s="1" t="s">
        <v>82</v>
      </c>
      <c r="E1039" t="s">
        <v>1899</v>
      </c>
      <c r="F1039" s="1" t="s">
        <v>1900</v>
      </c>
      <c r="G1039">
        <v>4190</v>
      </c>
      <c r="H1039">
        <v>180</v>
      </c>
      <c r="I1039">
        <v>4190</v>
      </c>
      <c r="L1039">
        <v>1042</v>
      </c>
      <c r="M1039">
        <v>1042</v>
      </c>
      <c r="N1039">
        <v>4.3658094820840008</v>
      </c>
      <c r="O1039" s="1"/>
      <c r="Q1039" s="1"/>
      <c r="AC1039" s="1"/>
    </row>
    <row r="1040" spans="2:29" x14ac:dyDescent="0.25">
      <c r="B1040" s="1" t="s">
        <v>1885</v>
      </c>
      <c r="C1040">
        <v>1039</v>
      </c>
      <c r="D1040" s="1" t="s">
        <v>82</v>
      </c>
      <c r="E1040" t="s">
        <v>1899</v>
      </c>
      <c r="F1040" s="1" t="s">
        <v>1900</v>
      </c>
      <c r="G1040">
        <v>4190</v>
      </c>
      <c r="H1040">
        <v>180</v>
      </c>
      <c r="I1040">
        <v>4190</v>
      </c>
      <c r="L1040">
        <v>1020</v>
      </c>
      <c r="M1040">
        <v>1020</v>
      </c>
      <c r="N1040">
        <v>4.2739542988330799</v>
      </c>
      <c r="O1040" s="1"/>
      <c r="Q1040" s="1"/>
      <c r="AC1040" s="1"/>
    </row>
    <row r="1041" spans="2:29" x14ac:dyDescent="0.25">
      <c r="B1041" s="1" t="s">
        <v>1886</v>
      </c>
      <c r="C1041">
        <v>1040</v>
      </c>
      <c r="D1041" s="1" t="s">
        <v>82</v>
      </c>
      <c r="E1041" t="s">
        <v>1899</v>
      </c>
      <c r="F1041" s="1" t="s">
        <v>1900</v>
      </c>
      <c r="G1041">
        <v>4190</v>
      </c>
      <c r="H1041">
        <v>180</v>
      </c>
      <c r="I1041">
        <v>4190</v>
      </c>
      <c r="L1041">
        <v>1042</v>
      </c>
      <c r="M1041">
        <v>1042</v>
      </c>
      <c r="N1041">
        <v>4.3657940521150378</v>
      </c>
      <c r="O1041" s="1"/>
      <c r="Q1041" s="1"/>
      <c r="AC1041" s="1"/>
    </row>
    <row r="1042" spans="2:29" x14ac:dyDescent="0.25">
      <c r="B1042" s="1" t="s">
        <v>1887</v>
      </c>
      <c r="C1042">
        <v>1041</v>
      </c>
      <c r="D1042" s="1" t="s">
        <v>82</v>
      </c>
      <c r="E1042" t="s">
        <v>1899</v>
      </c>
      <c r="F1042" s="1" t="s">
        <v>1900</v>
      </c>
      <c r="G1042">
        <v>4210</v>
      </c>
      <c r="H1042">
        <v>180</v>
      </c>
      <c r="I1042">
        <v>4210</v>
      </c>
      <c r="L1042">
        <v>1020</v>
      </c>
      <c r="M1042">
        <v>1020</v>
      </c>
      <c r="N1042">
        <v>4.294417818126993</v>
      </c>
      <c r="O1042" s="1"/>
      <c r="Q1042" s="1"/>
      <c r="AC1042" s="1"/>
    </row>
    <row r="1043" spans="2:29" x14ac:dyDescent="0.25">
      <c r="B1043" s="1" t="s">
        <v>1888</v>
      </c>
      <c r="C1043">
        <v>1042</v>
      </c>
      <c r="D1043" s="1" t="s">
        <v>82</v>
      </c>
      <c r="E1043" t="s">
        <v>1899</v>
      </c>
      <c r="F1043" s="1" t="s">
        <v>1900</v>
      </c>
      <c r="G1043">
        <v>4210</v>
      </c>
      <c r="H1043">
        <v>180</v>
      </c>
      <c r="I1043">
        <v>4210</v>
      </c>
      <c r="L1043">
        <v>1042</v>
      </c>
      <c r="M1043">
        <v>1042</v>
      </c>
      <c r="N1043">
        <v>4.3866973026015676</v>
      </c>
      <c r="O1043" s="1"/>
      <c r="Q1043" s="1"/>
      <c r="AC1043" s="1"/>
    </row>
    <row r="1044" spans="2:29" x14ac:dyDescent="0.25">
      <c r="B1044" s="1" t="s">
        <v>1889</v>
      </c>
      <c r="C1044">
        <v>1043</v>
      </c>
      <c r="D1044" s="1" t="s">
        <v>82</v>
      </c>
      <c r="E1044" t="s">
        <v>1826</v>
      </c>
      <c r="F1044" s="1" t="s">
        <v>1905</v>
      </c>
      <c r="G1044">
        <v>3927</v>
      </c>
      <c r="H1044">
        <v>58</v>
      </c>
      <c r="I1044">
        <v>4010</v>
      </c>
      <c r="L1044">
        <v>979</v>
      </c>
      <c r="M1044">
        <v>1036</v>
      </c>
      <c r="N1044">
        <v>4.154223404644684</v>
      </c>
      <c r="O1044" s="1"/>
      <c r="Q1044" s="1"/>
      <c r="AC1044" s="1"/>
    </row>
    <row r="1045" spans="2:29" x14ac:dyDescent="0.25">
      <c r="B1045" s="1" t="s">
        <v>1890</v>
      </c>
      <c r="C1045">
        <v>1044</v>
      </c>
      <c r="D1045" s="1" t="s">
        <v>82</v>
      </c>
      <c r="E1045" t="s">
        <v>1826</v>
      </c>
      <c r="F1045" s="1" t="s">
        <v>1905</v>
      </c>
      <c r="G1045">
        <v>3927</v>
      </c>
      <c r="H1045">
        <v>58</v>
      </c>
      <c r="I1045">
        <v>3942</v>
      </c>
      <c r="L1045">
        <v>1169</v>
      </c>
      <c r="M1045">
        <v>1169</v>
      </c>
      <c r="N1045">
        <v>4.6078039695763806</v>
      </c>
      <c r="O1045" s="1"/>
      <c r="Q1045" s="1"/>
      <c r="AC1045" s="1"/>
    </row>
    <row r="1046" spans="2:29" x14ac:dyDescent="0.25">
      <c r="B1046" s="1" t="s">
        <v>1891</v>
      </c>
      <c r="C1046">
        <v>1045</v>
      </c>
      <c r="D1046" s="1" t="s">
        <v>82</v>
      </c>
      <c r="E1046" t="s">
        <v>1826</v>
      </c>
      <c r="F1046" s="1" t="s">
        <v>1905</v>
      </c>
      <c r="G1046">
        <v>4060</v>
      </c>
      <c r="H1046">
        <v>58</v>
      </c>
      <c r="I1046">
        <v>4196</v>
      </c>
      <c r="L1046">
        <v>979</v>
      </c>
      <c r="M1046">
        <v>1036</v>
      </c>
      <c r="N1046">
        <v>4.347196346469163</v>
      </c>
      <c r="O1046" s="1"/>
      <c r="Q1046" s="1"/>
      <c r="AC1046" s="1"/>
    </row>
    <row r="1047" spans="2:29" x14ac:dyDescent="0.25">
      <c r="B1047" s="1" t="s">
        <v>1892</v>
      </c>
      <c r="C1047">
        <v>1046</v>
      </c>
      <c r="D1047" s="1" t="s">
        <v>82</v>
      </c>
      <c r="E1047" t="s">
        <v>1826</v>
      </c>
      <c r="F1047" s="1" t="s">
        <v>1905</v>
      </c>
      <c r="G1047">
        <v>4060</v>
      </c>
      <c r="H1047">
        <v>58</v>
      </c>
      <c r="I1047">
        <v>4060</v>
      </c>
      <c r="L1047">
        <v>1169</v>
      </c>
      <c r="M1047">
        <v>1169</v>
      </c>
      <c r="N1047">
        <v>4.7454462864343601</v>
      </c>
      <c r="O1047" s="1"/>
      <c r="Q1047" s="1"/>
      <c r="AC1047" s="1"/>
    </row>
    <row r="1048" spans="2:29" x14ac:dyDescent="0.25">
      <c r="B1048" s="1" t="s">
        <v>1893</v>
      </c>
      <c r="C1048">
        <v>1047</v>
      </c>
      <c r="D1048" s="1" t="s">
        <v>82</v>
      </c>
      <c r="E1048" t="s">
        <v>1826</v>
      </c>
      <c r="F1048" s="1" t="s">
        <v>1905</v>
      </c>
      <c r="G1048">
        <v>4060</v>
      </c>
      <c r="H1048">
        <v>58</v>
      </c>
      <c r="I1048">
        <v>4196</v>
      </c>
      <c r="L1048">
        <v>979</v>
      </c>
      <c r="M1048">
        <v>1036</v>
      </c>
      <c r="N1048">
        <v>4.3471615886531483</v>
      </c>
      <c r="O1048" s="1"/>
      <c r="Q1048" s="1"/>
      <c r="AC1048" s="1"/>
    </row>
    <row r="1049" spans="2:29" x14ac:dyDescent="0.25">
      <c r="B1049" s="1" t="s">
        <v>1894</v>
      </c>
      <c r="C1049">
        <v>1048</v>
      </c>
      <c r="D1049" s="1" t="s">
        <v>82</v>
      </c>
      <c r="E1049" t="s">
        <v>1826</v>
      </c>
      <c r="F1049" s="1" t="s">
        <v>1905</v>
      </c>
      <c r="G1049">
        <v>4060</v>
      </c>
      <c r="H1049">
        <v>58</v>
      </c>
      <c r="I1049">
        <v>4060</v>
      </c>
      <c r="L1049">
        <v>1169</v>
      </c>
      <c r="M1049">
        <v>1169</v>
      </c>
      <c r="N1049">
        <v>4.7454462864343601</v>
      </c>
      <c r="O1049" s="1"/>
      <c r="Q1049" s="1"/>
      <c r="AC1049" s="1"/>
    </row>
    <row r="1050" spans="2:29" x14ac:dyDescent="0.25">
      <c r="B1050" s="1" t="s">
        <v>1895</v>
      </c>
      <c r="C1050">
        <v>1049</v>
      </c>
      <c r="D1050" s="1" t="s">
        <v>82</v>
      </c>
      <c r="E1050" t="s">
        <v>1826</v>
      </c>
      <c r="F1050" s="1" t="s">
        <v>1905</v>
      </c>
      <c r="G1050">
        <v>4060</v>
      </c>
      <c r="H1050">
        <v>58</v>
      </c>
      <c r="I1050">
        <v>4196</v>
      </c>
      <c r="L1050">
        <v>979</v>
      </c>
      <c r="M1050">
        <v>1036</v>
      </c>
      <c r="N1050">
        <v>4.3470130295948248</v>
      </c>
      <c r="O1050" s="1"/>
      <c r="Q1050" s="1"/>
      <c r="AC1050" s="1"/>
    </row>
    <row r="1051" spans="2:29" x14ac:dyDescent="0.25">
      <c r="B1051" s="1" t="s">
        <v>1896</v>
      </c>
      <c r="C1051">
        <v>1050</v>
      </c>
      <c r="D1051" s="1" t="s">
        <v>82</v>
      </c>
      <c r="E1051" t="s">
        <v>1826</v>
      </c>
      <c r="F1051" s="1" t="s">
        <v>1905</v>
      </c>
      <c r="G1051">
        <v>4060</v>
      </c>
      <c r="H1051">
        <v>58</v>
      </c>
      <c r="I1051">
        <v>4060</v>
      </c>
      <c r="L1051">
        <v>1169</v>
      </c>
      <c r="M1051">
        <v>1169</v>
      </c>
      <c r="N1051">
        <v>4.7454462903889487</v>
      </c>
      <c r="O1051" s="1"/>
      <c r="Q1051" s="1"/>
      <c r="AC1051" s="1"/>
    </row>
    <row r="1052" spans="2:29" x14ac:dyDescent="0.25">
      <c r="B1052" s="1" t="s">
        <v>1897</v>
      </c>
      <c r="C1052">
        <v>1051</v>
      </c>
      <c r="D1052" s="1" t="s">
        <v>82</v>
      </c>
      <c r="E1052" t="s">
        <v>1826</v>
      </c>
      <c r="F1052" s="1" t="s">
        <v>1905</v>
      </c>
      <c r="G1052">
        <v>3825</v>
      </c>
      <c r="H1052">
        <v>58</v>
      </c>
      <c r="I1052">
        <v>4149</v>
      </c>
      <c r="L1052">
        <v>979</v>
      </c>
      <c r="M1052">
        <v>1036</v>
      </c>
      <c r="N1052">
        <v>4.2985236629729915</v>
      </c>
      <c r="O1052" s="1"/>
      <c r="Q1052" s="1"/>
      <c r="AC1052" s="1"/>
    </row>
    <row r="1053" spans="2:29" x14ac:dyDescent="0.25">
      <c r="B1053" s="1" t="s">
        <v>1898</v>
      </c>
      <c r="C1053">
        <v>1052</v>
      </c>
      <c r="D1053" s="1" t="s">
        <v>82</v>
      </c>
      <c r="E1053" t="s">
        <v>1826</v>
      </c>
      <c r="F1053" s="1" t="s">
        <v>1905</v>
      </c>
      <c r="G1053">
        <v>3825</v>
      </c>
      <c r="H1053">
        <v>58</v>
      </c>
      <c r="I1053">
        <v>3825</v>
      </c>
      <c r="L1053">
        <v>1169</v>
      </c>
      <c r="M1053">
        <v>1169</v>
      </c>
      <c r="N1053">
        <v>4.471276200414585</v>
      </c>
      <c r="O1053" s="1"/>
      <c r="Q1053" s="1"/>
      <c r="AC1053" s="1"/>
    </row>
    <row r="1054" spans="2:29" x14ac:dyDescent="0.25">
      <c r="B1054" s="1" t="s">
        <v>1929</v>
      </c>
      <c r="C1054">
        <v>1053</v>
      </c>
      <c r="D1054" s="1" t="s">
        <v>80</v>
      </c>
      <c r="E1054" t="s">
        <v>2012</v>
      </c>
      <c r="F1054" s="1" t="s">
        <v>2013</v>
      </c>
      <c r="G1054">
        <v>1169</v>
      </c>
      <c r="H1054">
        <v>101</v>
      </c>
      <c r="I1054">
        <v>1489</v>
      </c>
      <c r="O1054" s="1"/>
      <c r="Q1054" s="1"/>
      <c r="V1054">
        <v>80</v>
      </c>
      <c r="W1054">
        <v>2782</v>
      </c>
      <c r="X1054">
        <v>2782</v>
      </c>
      <c r="Z1054">
        <v>3.2519446386351603</v>
      </c>
      <c r="AC1054" s="1"/>
    </row>
    <row r="1055" spans="2:29" x14ac:dyDescent="0.25">
      <c r="B1055" s="1" t="s">
        <v>1930</v>
      </c>
      <c r="C1055">
        <v>1054</v>
      </c>
      <c r="D1055" s="1" t="s">
        <v>80</v>
      </c>
      <c r="E1055" t="s">
        <v>2012</v>
      </c>
      <c r="F1055" s="1" t="s">
        <v>2013</v>
      </c>
      <c r="G1055">
        <v>1111</v>
      </c>
      <c r="H1055">
        <v>234</v>
      </c>
      <c r="I1055">
        <v>1195</v>
      </c>
      <c r="O1055" s="1"/>
      <c r="Q1055" s="1"/>
      <c r="V1055">
        <v>120</v>
      </c>
      <c r="W1055">
        <v>2950</v>
      </c>
      <c r="X1055">
        <v>3176</v>
      </c>
      <c r="Z1055">
        <v>3.2772762114738714</v>
      </c>
      <c r="AC1055" s="1"/>
    </row>
    <row r="1056" spans="2:29" x14ac:dyDescent="0.25">
      <c r="B1056" s="1" t="s">
        <v>1931</v>
      </c>
      <c r="C1056">
        <v>1055</v>
      </c>
      <c r="D1056" s="1" t="s">
        <v>80</v>
      </c>
      <c r="E1056" t="s">
        <v>2012</v>
      </c>
      <c r="F1056" s="1" t="s">
        <v>2013</v>
      </c>
      <c r="G1056">
        <v>1194</v>
      </c>
      <c r="H1056">
        <v>182</v>
      </c>
      <c r="I1056">
        <v>1196</v>
      </c>
      <c r="O1056" s="1"/>
      <c r="Q1056" s="1"/>
      <c r="V1056">
        <v>80</v>
      </c>
      <c r="W1056">
        <v>2170</v>
      </c>
      <c r="X1056">
        <v>2170</v>
      </c>
      <c r="Z1056">
        <v>2.5906100575293562</v>
      </c>
      <c r="AC1056" s="1"/>
    </row>
    <row r="1057" spans="2:29" x14ac:dyDescent="0.25">
      <c r="B1057" s="1" t="s">
        <v>1932</v>
      </c>
      <c r="C1057">
        <v>1056</v>
      </c>
      <c r="D1057" s="1" t="s">
        <v>80</v>
      </c>
      <c r="E1057" t="s">
        <v>2012</v>
      </c>
      <c r="F1057" s="1" t="s">
        <v>2013</v>
      </c>
      <c r="G1057">
        <v>1143</v>
      </c>
      <c r="H1057">
        <v>182</v>
      </c>
      <c r="I1057">
        <v>1143</v>
      </c>
      <c r="O1057" s="1"/>
      <c r="Q1057" s="1"/>
      <c r="V1057">
        <v>80</v>
      </c>
      <c r="W1057">
        <v>2170</v>
      </c>
      <c r="X1057">
        <v>2170</v>
      </c>
      <c r="Z1057">
        <v>2.4812128366785622</v>
      </c>
      <c r="AC1057" s="1"/>
    </row>
    <row r="1058" spans="2:29" x14ac:dyDescent="0.25">
      <c r="B1058" s="1" t="s">
        <v>1933</v>
      </c>
      <c r="C1058">
        <v>1057</v>
      </c>
      <c r="D1058" s="1" t="s">
        <v>80</v>
      </c>
      <c r="E1058" t="s">
        <v>2012</v>
      </c>
      <c r="F1058" s="1" t="s">
        <v>2013</v>
      </c>
      <c r="G1058">
        <v>936</v>
      </c>
      <c r="H1058">
        <v>172</v>
      </c>
      <c r="I1058">
        <v>978</v>
      </c>
      <c r="O1058" s="1"/>
      <c r="Q1058" s="1"/>
      <c r="V1058">
        <v>80</v>
      </c>
      <c r="W1058">
        <v>2812</v>
      </c>
      <c r="X1058">
        <v>2812</v>
      </c>
      <c r="Z1058">
        <v>2.6316639353428952</v>
      </c>
      <c r="AC1058" s="1"/>
    </row>
    <row r="1059" spans="2:29" x14ac:dyDescent="0.25">
      <c r="B1059" s="1" t="s">
        <v>1934</v>
      </c>
      <c r="C1059">
        <v>1058</v>
      </c>
      <c r="D1059" s="1" t="s">
        <v>80</v>
      </c>
      <c r="E1059" t="s">
        <v>2012</v>
      </c>
      <c r="F1059" s="1" t="s">
        <v>2013</v>
      </c>
      <c r="G1059">
        <v>1159</v>
      </c>
      <c r="H1059">
        <v>131</v>
      </c>
      <c r="I1059">
        <v>1515</v>
      </c>
      <c r="O1059" s="1"/>
      <c r="Q1059" s="1"/>
      <c r="V1059">
        <v>80</v>
      </c>
      <c r="W1059">
        <v>2782</v>
      </c>
      <c r="X1059">
        <v>2782</v>
      </c>
      <c r="Z1059">
        <v>3.2245258569441266</v>
      </c>
      <c r="AC1059" s="1"/>
    </row>
    <row r="1060" spans="2:29" x14ac:dyDescent="0.25">
      <c r="B1060" s="1" t="s">
        <v>1935</v>
      </c>
      <c r="C1060">
        <v>1059</v>
      </c>
      <c r="D1060" s="1" t="s">
        <v>80</v>
      </c>
      <c r="E1060" t="s">
        <v>2012</v>
      </c>
      <c r="F1060" s="1" t="s">
        <v>322</v>
      </c>
      <c r="G1060">
        <v>1144</v>
      </c>
      <c r="H1060">
        <v>182</v>
      </c>
      <c r="I1060">
        <v>1144</v>
      </c>
      <c r="O1060" s="1"/>
      <c r="Q1060" s="1"/>
      <c r="V1060">
        <v>80</v>
      </c>
      <c r="W1060">
        <v>2200</v>
      </c>
      <c r="X1060">
        <v>2200</v>
      </c>
      <c r="Z1060">
        <v>2.5162155784683677</v>
      </c>
      <c r="AC1060" s="1"/>
    </row>
    <row r="1061" spans="2:29" x14ac:dyDescent="0.25">
      <c r="B1061" s="1" t="s">
        <v>1936</v>
      </c>
      <c r="C1061">
        <v>1060</v>
      </c>
      <c r="D1061" s="1" t="s">
        <v>80</v>
      </c>
      <c r="E1061" t="s">
        <v>2012</v>
      </c>
      <c r="F1061" s="1" t="s">
        <v>314</v>
      </c>
      <c r="G1061">
        <v>1159</v>
      </c>
      <c r="H1061">
        <v>131</v>
      </c>
      <c r="I1061">
        <v>1515</v>
      </c>
      <c r="O1061" s="1"/>
      <c r="Q1061" s="1"/>
      <c r="V1061">
        <v>80</v>
      </c>
      <c r="W1061">
        <v>3120</v>
      </c>
      <c r="X1061">
        <v>3120</v>
      </c>
      <c r="Z1061">
        <v>3.616183498499677</v>
      </c>
      <c r="AC1061" s="1"/>
    </row>
    <row r="1062" spans="2:29" x14ac:dyDescent="0.25">
      <c r="B1062" s="1" t="s">
        <v>1937</v>
      </c>
      <c r="C1062">
        <v>1061</v>
      </c>
      <c r="D1062" s="1" t="s">
        <v>80</v>
      </c>
      <c r="E1062" t="s">
        <v>2012</v>
      </c>
      <c r="F1062" s="1" t="s">
        <v>314</v>
      </c>
      <c r="G1062">
        <v>1169</v>
      </c>
      <c r="H1062">
        <v>101</v>
      </c>
      <c r="I1062">
        <v>1489</v>
      </c>
      <c r="O1062" s="1"/>
      <c r="Q1062" s="1"/>
      <c r="V1062">
        <v>81</v>
      </c>
      <c r="W1062">
        <v>2788</v>
      </c>
      <c r="X1062">
        <v>2788</v>
      </c>
      <c r="Z1062">
        <v>3.2591526130667496</v>
      </c>
      <c r="AC1062" s="1"/>
    </row>
    <row r="1063" spans="2:29" x14ac:dyDescent="0.25">
      <c r="B1063" s="1" t="s">
        <v>1938</v>
      </c>
      <c r="C1063">
        <v>1062</v>
      </c>
      <c r="D1063" s="1" t="s">
        <v>80</v>
      </c>
      <c r="E1063" t="s">
        <v>2012</v>
      </c>
      <c r="F1063" s="1" t="s">
        <v>318</v>
      </c>
      <c r="G1063">
        <v>1159</v>
      </c>
      <c r="H1063">
        <v>131</v>
      </c>
      <c r="I1063">
        <v>1515</v>
      </c>
      <c r="O1063" s="1"/>
      <c r="Q1063" s="1"/>
      <c r="V1063">
        <v>80</v>
      </c>
      <c r="W1063">
        <v>3120</v>
      </c>
      <c r="X1063">
        <v>3120</v>
      </c>
      <c r="Z1063">
        <v>3.616183498464983</v>
      </c>
      <c r="AC1063" s="1"/>
    </row>
    <row r="1064" spans="2:29" x14ac:dyDescent="0.25">
      <c r="B1064" s="1" t="s">
        <v>1939</v>
      </c>
      <c r="C1064">
        <v>1063</v>
      </c>
      <c r="D1064" s="1" t="s">
        <v>80</v>
      </c>
      <c r="E1064" t="s">
        <v>2012</v>
      </c>
      <c r="F1064" s="1" t="s">
        <v>318</v>
      </c>
      <c r="G1064">
        <v>1169</v>
      </c>
      <c r="H1064">
        <v>101</v>
      </c>
      <c r="I1064">
        <v>1489</v>
      </c>
      <c r="O1064" s="1"/>
      <c r="Q1064" s="1"/>
      <c r="V1064">
        <v>81</v>
      </c>
      <c r="W1064">
        <v>2788</v>
      </c>
      <c r="X1064">
        <v>2788</v>
      </c>
      <c r="Z1064">
        <v>3.2591550797141866</v>
      </c>
      <c r="AC1064" s="1"/>
    </row>
    <row r="1065" spans="2:29" x14ac:dyDescent="0.25">
      <c r="B1065" s="1" t="s">
        <v>1940</v>
      </c>
      <c r="C1065">
        <v>1064</v>
      </c>
      <c r="D1065" s="1" t="s">
        <v>80</v>
      </c>
      <c r="E1065" t="s">
        <v>2012</v>
      </c>
      <c r="F1065" s="1" t="s">
        <v>322</v>
      </c>
      <c r="G1065">
        <v>1159</v>
      </c>
      <c r="H1065">
        <v>131</v>
      </c>
      <c r="I1065">
        <v>1515</v>
      </c>
      <c r="O1065" s="1"/>
      <c r="Q1065" s="1"/>
      <c r="V1065">
        <v>80</v>
      </c>
      <c r="W1065">
        <v>3003</v>
      </c>
      <c r="X1065">
        <v>3004</v>
      </c>
      <c r="Z1065">
        <v>3.4812666879229526</v>
      </c>
      <c r="AC1065" s="1"/>
    </row>
    <row r="1066" spans="2:29" x14ac:dyDescent="0.25">
      <c r="B1066" s="1" t="s">
        <v>1941</v>
      </c>
      <c r="C1066">
        <v>1065</v>
      </c>
      <c r="D1066" s="1" t="s">
        <v>80</v>
      </c>
      <c r="E1066" t="s">
        <v>2012</v>
      </c>
      <c r="F1066" s="1" t="s">
        <v>322</v>
      </c>
      <c r="G1066">
        <v>1169</v>
      </c>
      <c r="H1066">
        <v>101</v>
      </c>
      <c r="I1066">
        <v>1489</v>
      </c>
      <c r="O1066" s="1"/>
      <c r="Q1066" s="1"/>
      <c r="V1066">
        <v>80</v>
      </c>
      <c r="W1066">
        <v>2671</v>
      </c>
      <c r="X1066">
        <v>2671</v>
      </c>
      <c r="Z1066">
        <v>3.1230626867623661</v>
      </c>
      <c r="AC1066" s="1"/>
    </row>
    <row r="1067" spans="2:29" x14ac:dyDescent="0.25">
      <c r="B1067" s="1" t="s">
        <v>1942</v>
      </c>
      <c r="C1067">
        <v>1066</v>
      </c>
      <c r="D1067" s="1" t="s">
        <v>80</v>
      </c>
      <c r="E1067" t="s">
        <v>2012</v>
      </c>
      <c r="F1067" s="1" t="s">
        <v>314</v>
      </c>
      <c r="G1067">
        <v>936</v>
      </c>
      <c r="H1067">
        <v>172</v>
      </c>
      <c r="I1067">
        <v>978</v>
      </c>
      <c r="O1067" s="1"/>
      <c r="Q1067" s="1"/>
      <c r="V1067">
        <v>80</v>
      </c>
      <c r="W1067">
        <v>2816</v>
      </c>
      <c r="X1067">
        <v>2816</v>
      </c>
      <c r="Z1067">
        <v>2.6360604147891329</v>
      </c>
      <c r="AC1067" s="1"/>
    </row>
    <row r="1068" spans="2:29" x14ac:dyDescent="0.25">
      <c r="B1068" s="1" t="s">
        <v>1943</v>
      </c>
      <c r="C1068">
        <v>1067</v>
      </c>
      <c r="D1068" s="1" t="s">
        <v>80</v>
      </c>
      <c r="E1068" t="s">
        <v>2012</v>
      </c>
      <c r="F1068" s="1" t="s">
        <v>318</v>
      </c>
      <c r="G1068">
        <v>936</v>
      </c>
      <c r="H1068">
        <v>172</v>
      </c>
      <c r="I1068">
        <v>978</v>
      </c>
      <c r="O1068" s="1"/>
      <c r="Q1068" s="1"/>
      <c r="V1068">
        <v>80</v>
      </c>
      <c r="W1068">
        <v>2816</v>
      </c>
      <c r="X1068">
        <v>2816</v>
      </c>
      <c r="Z1068">
        <v>2.6360721495275734</v>
      </c>
      <c r="AC1068" s="1"/>
    </row>
    <row r="1069" spans="2:29" x14ac:dyDescent="0.25">
      <c r="B1069" s="1" t="s">
        <v>1944</v>
      </c>
      <c r="C1069">
        <v>1068</v>
      </c>
      <c r="D1069" s="1" t="s">
        <v>80</v>
      </c>
      <c r="E1069" t="s">
        <v>2012</v>
      </c>
      <c r="F1069" s="1" t="s">
        <v>322</v>
      </c>
      <c r="G1069">
        <v>936</v>
      </c>
      <c r="H1069">
        <v>172</v>
      </c>
      <c r="I1069">
        <v>978</v>
      </c>
      <c r="O1069" s="1"/>
      <c r="Q1069" s="1"/>
      <c r="V1069">
        <v>80</v>
      </c>
      <c r="W1069">
        <v>2638</v>
      </c>
      <c r="X1069">
        <v>2638</v>
      </c>
      <c r="Z1069">
        <v>2.4696223495062282</v>
      </c>
      <c r="AC1069" s="1"/>
    </row>
    <row r="1070" spans="2:29" x14ac:dyDescent="0.25">
      <c r="B1070" s="1" t="s">
        <v>1945</v>
      </c>
      <c r="C1070">
        <v>1069</v>
      </c>
      <c r="D1070" s="1" t="s">
        <v>80</v>
      </c>
      <c r="E1070" t="s">
        <v>2012</v>
      </c>
      <c r="F1070" s="1" t="s">
        <v>314</v>
      </c>
      <c r="G1070">
        <v>1111</v>
      </c>
      <c r="H1070">
        <v>234</v>
      </c>
      <c r="I1070">
        <v>1195</v>
      </c>
      <c r="O1070" s="1"/>
      <c r="Q1070" s="1"/>
      <c r="V1070">
        <v>120</v>
      </c>
      <c r="W1070">
        <v>3121</v>
      </c>
      <c r="X1070">
        <v>4632</v>
      </c>
      <c r="Z1070">
        <v>3.4678664262604735</v>
      </c>
      <c r="AC1070" s="1"/>
    </row>
    <row r="1071" spans="2:29" x14ac:dyDescent="0.25">
      <c r="B1071" s="1" t="s">
        <v>1946</v>
      </c>
      <c r="C1071">
        <v>1070</v>
      </c>
      <c r="D1071" s="1" t="s">
        <v>80</v>
      </c>
      <c r="E1071" t="s">
        <v>2012</v>
      </c>
      <c r="F1071" s="1" t="s">
        <v>318</v>
      </c>
      <c r="G1071">
        <v>1111</v>
      </c>
      <c r="H1071">
        <v>234</v>
      </c>
      <c r="I1071">
        <v>1195</v>
      </c>
      <c r="O1071" s="1"/>
      <c r="Q1071" s="1"/>
      <c r="V1071">
        <v>120</v>
      </c>
      <c r="W1071">
        <v>3121</v>
      </c>
      <c r="X1071">
        <v>4630</v>
      </c>
      <c r="Z1071">
        <v>3.4678664262714713</v>
      </c>
      <c r="AC1071" s="1"/>
    </row>
    <row r="1072" spans="2:29" x14ac:dyDescent="0.25">
      <c r="B1072" s="1" t="s">
        <v>1947</v>
      </c>
      <c r="C1072">
        <v>1071</v>
      </c>
      <c r="D1072" s="1" t="s">
        <v>80</v>
      </c>
      <c r="E1072" t="s">
        <v>2012</v>
      </c>
      <c r="F1072" s="1" t="s">
        <v>322</v>
      </c>
      <c r="G1072">
        <v>1111</v>
      </c>
      <c r="H1072">
        <v>234</v>
      </c>
      <c r="I1072">
        <v>1195</v>
      </c>
      <c r="O1072" s="1"/>
      <c r="Q1072" s="1"/>
      <c r="V1072">
        <v>120</v>
      </c>
      <c r="W1072">
        <v>3101</v>
      </c>
      <c r="X1072">
        <v>4628</v>
      </c>
      <c r="Z1072">
        <v>3.4449193676965457</v>
      </c>
      <c r="AC1072" s="1"/>
    </row>
    <row r="1073" spans="2:29" x14ac:dyDescent="0.25">
      <c r="B1073" s="1" t="s">
        <v>1948</v>
      </c>
      <c r="C1073">
        <v>1072</v>
      </c>
      <c r="D1073" s="1" t="s">
        <v>81</v>
      </c>
      <c r="E1073" t="s">
        <v>2012</v>
      </c>
      <c r="F1073" s="1" t="s">
        <v>2014</v>
      </c>
      <c r="G1073">
        <v>1732</v>
      </c>
      <c r="H1073">
        <v>131</v>
      </c>
      <c r="I1073">
        <v>2058</v>
      </c>
      <c r="O1073" s="1"/>
      <c r="Q1073" s="1"/>
      <c r="V1073">
        <v>80</v>
      </c>
      <c r="W1073">
        <v>2832</v>
      </c>
      <c r="X1073">
        <v>2832</v>
      </c>
      <c r="Z1073">
        <v>4.9050869872653742</v>
      </c>
      <c r="AC1073" s="1"/>
    </row>
    <row r="1074" spans="2:29" x14ac:dyDescent="0.25">
      <c r="B1074" s="1" t="s">
        <v>1949</v>
      </c>
      <c r="C1074">
        <v>1073</v>
      </c>
      <c r="D1074" s="1" t="s">
        <v>81</v>
      </c>
      <c r="E1074" t="s">
        <v>2012</v>
      </c>
      <c r="F1074" s="1" t="s">
        <v>2014</v>
      </c>
      <c r="G1074">
        <v>1732</v>
      </c>
      <c r="H1074">
        <v>101</v>
      </c>
      <c r="I1074">
        <v>2052</v>
      </c>
      <c r="O1074" s="1"/>
      <c r="Q1074" s="1"/>
      <c r="V1074">
        <v>80</v>
      </c>
      <c r="W1074">
        <v>2782</v>
      </c>
      <c r="X1074">
        <v>2782</v>
      </c>
      <c r="Z1074">
        <v>4.8181195470052849</v>
      </c>
      <c r="AC1074" s="1"/>
    </row>
    <row r="1075" spans="2:29" x14ac:dyDescent="0.25">
      <c r="B1075" s="1" t="s">
        <v>1950</v>
      </c>
      <c r="C1075">
        <v>1074</v>
      </c>
      <c r="D1075" s="1" t="s">
        <v>81</v>
      </c>
      <c r="E1075" t="s">
        <v>2012</v>
      </c>
      <c r="F1075" s="1" t="s">
        <v>2014</v>
      </c>
      <c r="G1075">
        <v>1387</v>
      </c>
      <c r="H1075">
        <v>131</v>
      </c>
      <c r="I1075">
        <v>1496</v>
      </c>
      <c r="O1075" s="1"/>
      <c r="Q1075" s="1"/>
      <c r="V1075">
        <v>80</v>
      </c>
      <c r="W1075">
        <v>2832</v>
      </c>
      <c r="X1075">
        <v>2832</v>
      </c>
      <c r="Z1075">
        <v>3.9275140488762221</v>
      </c>
      <c r="AC1075" s="1"/>
    </row>
    <row r="1076" spans="2:29" x14ac:dyDescent="0.25">
      <c r="B1076" s="1" t="s">
        <v>1951</v>
      </c>
      <c r="C1076">
        <v>1075</v>
      </c>
      <c r="D1076" s="1" t="s">
        <v>81</v>
      </c>
      <c r="E1076" t="s">
        <v>2012</v>
      </c>
      <c r="F1076" s="1" t="s">
        <v>2014</v>
      </c>
      <c r="G1076">
        <v>1237</v>
      </c>
      <c r="H1076">
        <v>131</v>
      </c>
      <c r="I1076">
        <v>1542</v>
      </c>
      <c r="O1076" s="1"/>
      <c r="Q1076" s="1"/>
      <c r="V1076">
        <v>80</v>
      </c>
      <c r="W1076">
        <v>2782</v>
      </c>
      <c r="X1076">
        <v>2782</v>
      </c>
      <c r="Z1076">
        <v>3.4414756765685204</v>
      </c>
      <c r="AC1076" s="1"/>
    </row>
    <row r="1077" spans="2:29" x14ac:dyDescent="0.25">
      <c r="B1077" s="1" t="s">
        <v>1952</v>
      </c>
      <c r="C1077">
        <v>1076</v>
      </c>
      <c r="D1077" s="1" t="s">
        <v>81</v>
      </c>
      <c r="E1077" t="s">
        <v>2012</v>
      </c>
      <c r="F1077" s="1" t="s">
        <v>2014</v>
      </c>
      <c r="G1077">
        <v>1530</v>
      </c>
      <c r="H1077">
        <v>341</v>
      </c>
      <c r="I1077">
        <v>1555</v>
      </c>
      <c r="O1077" s="1"/>
      <c r="Q1077" s="1"/>
      <c r="V1077">
        <v>240</v>
      </c>
      <c r="W1077">
        <v>2788</v>
      </c>
      <c r="X1077">
        <v>2788</v>
      </c>
      <c r="Z1077">
        <v>4.2661997573734638</v>
      </c>
      <c r="AC1077" s="1"/>
    </row>
    <row r="1078" spans="2:29" x14ac:dyDescent="0.25">
      <c r="B1078" s="1" t="s">
        <v>1953</v>
      </c>
      <c r="C1078">
        <v>1077</v>
      </c>
      <c r="D1078" s="1" t="s">
        <v>81</v>
      </c>
      <c r="E1078" t="s">
        <v>2012</v>
      </c>
      <c r="F1078" s="1" t="s">
        <v>415</v>
      </c>
      <c r="G1078">
        <v>1387</v>
      </c>
      <c r="H1078">
        <v>131</v>
      </c>
      <c r="I1078">
        <v>1496</v>
      </c>
      <c r="O1078" s="1"/>
      <c r="Q1078" s="1"/>
      <c r="V1078">
        <v>80</v>
      </c>
      <c r="W1078">
        <v>2870</v>
      </c>
      <c r="X1078">
        <v>2870</v>
      </c>
      <c r="Z1078">
        <v>3.9798271185625507</v>
      </c>
      <c r="AC1078" s="1"/>
    </row>
    <row r="1079" spans="2:29" x14ac:dyDescent="0.25">
      <c r="B1079" s="1" t="s">
        <v>1954</v>
      </c>
      <c r="C1079">
        <v>1078</v>
      </c>
      <c r="D1079" s="1" t="s">
        <v>81</v>
      </c>
      <c r="E1079" t="s">
        <v>2012</v>
      </c>
      <c r="F1079" s="1" t="s">
        <v>415</v>
      </c>
      <c r="G1079">
        <v>1237</v>
      </c>
      <c r="H1079">
        <v>131</v>
      </c>
      <c r="I1079">
        <v>1542</v>
      </c>
      <c r="O1079" s="1"/>
      <c r="Q1079" s="1"/>
      <c r="V1079">
        <v>80</v>
      </c>
      <c r="W1079">
        <v>2820</v>
      </c>
      <c r="X1079">
        <v>2820</v>
      </c>
      <c r="Z1079">
        <v>3.4881010153165497</v>
      </c>
      <c r="AC1079" s="1"/>
    </row>
    <row r="1080" spans="2:29" x14ac:dyDescent="0.25">
      <c r="B1080" s="1" t="s">
        <v>1955</v>
      </c>
      <c r="C1080">
        <v>1079</v>
      </c>
      <c r="D1080" s="1" t="s">
        <v>81</v>
      </c>
      <c r="E1080" t="s">
        <v>2012</v>
      </c>
      <c r="F1080" s="1" t="s">
        <v>416</v>
      </c>
      <c r="G1080">
        <v>1387</v>
      </c>
      <c r="H1080">
        <v>131</v>
      </c>
      <c r="I1080">
        <v>1496</v>
      </c>
      <c r="O1080" s="1"/>
      <c r="Q1080" s="1"/>
      <c r="V1080">
        <v>80</v>
      </c>
      <c r="W1080">
        <v>2870</v>
      </c>
      <c r="X1080">
        <v>2870</v>
      </c>
      <c r="Z1080">
        <v>3.9798456540115192</v>
      </c>
      <c r="AC1080" s="1"/>
    </row>
    <row r="1081" spans="2:29" x14ac:dyDescent="0.25">
      <c r="B1081" s="1" t="s">
        <v>1956</v>
      </c>
      <c r="C1081">
        <v>1080</v>
      </c>
      <c r="D1081" s="1" t="s">
        <v>81</v>
      </c>
      <c r="E1081" t="s">
        <v>2012</v>
      </c>
      <c r="F1081" s="1" t="s">
        <v>416</v>
      </c>
      <c r="G1081">
        <v>1237</v>
      </c>
      <c r="H1081">
        <v>131</v>
      </c>
      <c r="I1081">
        <v>1542</v>
      </c>
      <c r="O1081" s="1"/>
      <c r="Q1081" s="1"/>
      <c r="V1081">
        <v>80</v>
      </c>
      <c r="W1081">
        <v>2820</v>
      </c>
      <c r="X1081">
        <v>2820</v>
      </c>
      <c r="Z1081">
        <v>3.4881192266624561</v>
      </c>
      <c r="AC1081" s="1"/>
    </row>
    <row r="1082" spans="2:29" x14ac:dyDescent="0.25">
      <c r="B1082" s="1" t="s">
        <v>1957</v>
      </c>
      <c r="C1082">
        <v>1081</v>
      </c>
      <c r="D1082" s="1" t="s">
        <v>81</v>
      </c>
      <c r="E1082" t="s">
        <v>2012</v>
      </c>
      <c r="F1082" s="1" t="s">
        <v>415</v>
      </c>
      <c r="G1082">
        <v>1530</v>
      </c>
      <c r="H1082">
        <v>341</v>
      </c>
      <c r="I1082">
        <v>1555</v>
      </c>
      <c r="O1082" s="1"/>
      <c r="Q1082" s="1"/>
      <c r="V1082">
        <v>240</v>
      </c>
      <c r="W1082">
        <v>2821</v>
      </c>
      <c r="X1082">
        <v>2821</v>
      </c>
      <c r="Z1082">
        <v>4.31613025773781</v>
      </c>
      <c r="AC1082" s="1"/>
    </row>
    <row r="1083" spans="2:29" x14ac:dyDescent="0.25">
      <c r="B1083" s="1" t="s">
        <v>1958</v>
      </c>
      <c r="C1083">
        <v>1082</v>
      </c>
      <c r="D1083" s="1" t="s">
        <v>81</v>
      </c>
      <c r="E1083" t="s">
        <v>2012</v>
      </c>
      <c r="F1083" s="1" t="s">
        <v>416</v>
      </c>
      <c r="G1083">
        <v>1530</v>
      </c>
      <c r="H1083">
        <v>341</v>
      </c>
      <c r="I1083">
        <v>1555</v>
      </c>
      <c r="O1083" s="1"/>
      <c r="Q1083" s="1"/>
      <c r="V1083">
        <v>240</v>
      </c>
      <c r="W1083">
        <v>2821</v>
      </c>
      <c r="X1083">
        <v>2821</v>
      </c>
      <c r="Z1083">
        <v>4.3161302604071086</v>
      </c>
      <c r="AC1083" s="1"/>
    </row>
    <row r="1084" spans="2:29" x14ac:dyDescent="0.25">
      <c r="B1084" s="1" t="s">
        <v>1959</v>
      </c>
      <c r="C1084">
        <v>1083</v>
      </c>
      <c r="D1084" s="1" t="s">
        <v>81</v>
      </c>
      <c r="E1084" t="s">
        <v>2012</v>
      </c>
      <c r="F1084" s="1" t="s">
        <v>417</v>
      </c>
      <c r="G1084">
        <v>1530</v>
      </c>
      <c r="H1084">
        <v>387</v>
      </c>
      <c r="I1084">
        <v>1555</v>
      </c>
      <c r="O1084" s="1"/>
      <c r="Q1084" s="1"/>
      <c r="V1084">
        <v>240</v>
      </c>
      <c r="W1084">
        <v>2783</v>
      </c>
      <c r="X1084">
        <v>2783</v>
      </c>
      <c r="Z1084">
        <v>4.2575412237652301</v>
      </c>
      <c r="AC1084" s="1"/>
    </row>
    <row r="1085" spans="2:29" x14ac:dyDescent="0.25">
      <c r="B1085" s="1" t="s">
        <v>1960</v>
      </c>
      <c r="C1085">
        <v>1084</v>
      </c>
      <c r="D1085" s="1" t="s">
        <v>81</v>
      </c>
      <c r="E1085" t="s">
        <v>2012</v>
      </c>
      <c r="F1085" s="1" t="s">
        <v>415</v>
      </c>
      <c r="G1085">
        <v>1732</v>
      </c>
      <c r="H1085">
        <v>131</v>
      </c>
      <c r="I1085">
        <v>2058</v>
      </c>
      <c r="O1085" s="1"/>
      <c r="Q1085" s="1"/>
      <c r="V1085">
        <v>80</v>
      </c>
      <c r="W1085">
        <v>2940</v>
      </c>
      <c r="X1085">
        <v>2940</v>
      </c>
      <c r="Z1085">
        <v>5.0928992072183688</v>
      </c>
      <c r="AC1085" s="1"/>
    </row>
    <row r="1086" spans="2:29" x14ac:dyDescent="0.25">
      <c r="B1086" s="1" t="s">
        <v>1962</v>
      </c>
      <c r="C1086">
        <v>1085</v>
      </c>
      <c r="D1086" s="1" t="s">
        <v>81</v>
      </c>
      <c r="E1086" t="s">
        <v>2012</v>
      </c>
      <c r="F1086" s="1" t="s">
        <v>416</v>
      </c>
      <c r="G1086">
        <v>1732</v>
      </c>
      <c r="H1086">
        <v>131</v>
      </c>
      <c r="I1086">
        <v>2058</v>
      </c>
      <c r="O1086" s="1"/>
      <c r="Q1086" s="1"/>
      <c r="V1086">
        <v>80</v>
      </c>
      <c r="W1086">
        <v>2940</v>
      </c>
      <c r="X1086">
        <v>2940</v>
      </c>
      <c r="Z1086">
        <v>5.0928992072876484</v>
      </c>
      <c r="AC1086" s="1"/>
    </row>
    <row r="1087" spans="2:29" x14ac:dyDescent="0.25">
      <c r="B1087" s="1" t="s">
        <v>1963</v>
      </c>
      <c r="C1087">
        <v>1086</v>
      </c>
      <c r="D1087" s="1" t="s">
        <v>81</v>
      </c>
      <c r="E1087" t="s">
        <v>2012</v>
      </c>
      <c r="F1087" s="1" t="s">
        <v>416</v>
      </c>
      <c r="G1087">
        <v>1732</v>
      </c>
      <c r="H1087">
        <v>101</v>
      </c>
      <c r="I1087">
        <v>2052</v>
      </c>
      <c r="O1087" s="1"/>
      <c r="Q1087" s="1"/>
      <c r="V1087">
        <v>80</v>
      </c>
      <c r="W1087">
        <v>2800</v>
      </c>
      <c r="X1087">
        <v>2800</v>
      </c>
      <c r="Z1087">
        <v>4.8500647730921971</v>
      </c>
      <c r="AC1087" s="1"/>
    </row>
    <row r="1088" spans="2:29" x14ac:dyDescent="0.25">
      <c r="B1088" s="1" t="s">
        <v>1964</v>
      </c>
      <c r="C1088">
        <v>1087</v>
      </c>
      <c r="D1088" s="1" t="s">
        <v>81</v>
      </c>
      <c r="E1088" t="s">
        <v>2012</v>
      </c>
      <c r="F1088" s="1" t="s">
        <v>417</v>
      </c>
      <c r="G1088">
        <v>1732</v>
      </c>
      <c r="H1088">
        <v>131</v>
      </c>
      <c r="I1088">
        <v>2058</v>
      </c>
      <c r="O1088" s="1"/>
      <c r="Q1088" s="1"/>
      <c r="V1088">
        <v>80</v>
      </c>
      <c r="W1088">
        <v>2763</v>
      </c>
      <c r="X1088">
        <v>2763</v>
      </c>
      <c r="Z1088">
        <v>4.785598253461993</v>
      </c>
      <c r="AC1088" s="1"/>
    </row>
    <row r="1089" spans="2:29" x14ac:dyDescent="0.25">
      <c r="B1089" s="1" t="s">
        <v>1965</v>
      </c>
      <c r="C1089">
        <v>1088</v>
      </c>
      <c r="D1089" s="1" t="s">
        <v>81</v>
      </c>
      <c r="E1089" t="s">
        <v>2012</v>
      </c>
      <c r="F1089" s="1" t="s">
        <v>417</v>
      </c>
      <c r="G1089">
        <v>1732</v>
      </c>
      <c r="H1089">
        <v>101</v>
      </c>
      <c r="I1089">
        <v>2052</v>
      </c>
      <c r="O1089" s="1"/>
      <c r="Q1089" s="1"/>
      <c r="V1089">
        <v>80</v>
      </c>
      <c r="W1089">
        <v>2673</v>
      </c>
      <c r="X1089">
        <v>2673</v>
      </c>
      <c r="Z1089">
        <v>4.6294140414778182</v>
      </c>
      <c r="AC1089" s="1"/>
    </row>
    <row r="1090" spans="2:29" x14ac:dyDescent="0.25">
      <c r="B1090" s="1" t="s">
        <v>1966</v>
      </c>
      <c r="C1090">
        <v>1089</v>
      </c>
      <c r="D1090" s="1" t="s">
        <v>81</v>
      </c>
      <c r="E1090" t="s">
        <v>2012</v>
      </c>
      <c r="F1090" s="1" t="s">
        <v>2014</v>
      </c>
      <c r="G1090">
        <v>1732</v>
      </c>
      <c r="H1090">
        <v>131</v>
      </c>
      <c r="I1090">
        <v>2058</v>
      </c>
      <c r="O1090" s="1"/>
      <c r="Q1090" s="1"/>
      <c r="V1090">
        <v>80</v>
      </c>
      <c r="W1090">
        <v>2832</v>
      </c>
      <c r="X1090">
        <v>2832</v>
      </c>
      <c r="Z1090">
        <v>4.905086987265161</v>
      </c>
      <c r="AC1090" s="1"/>
    </row>
    <row r="1091" spans="2:29" x14ac:dyDescent="0.25">
      <c r="B1091" s="1" t="s">
        <v>1967</v>
      </c>
      <c r="C1091">
        <v>1090</v>
      </c>
      <c r="D1091" s="1" t="s">
        <v>81</v>
      </c>
      <c r="E1091" t="s">
        <v>2012</v>
      </c>
      <c r="F1091" s="1" t="s">
        <v>2014</v>
      </c>
      <c r="G1091">
        <v>1732</v>
      </c>
      <c r="H1091">
        <v>101</v>
      </c>
      <c r="I1091">
        <v>2052</v>
      </c>
      <c r="O1091" s="1"/>
      <c r="Q1091" s="1"/>
      <c r="V1091">
        <v>80</v>
      </c>
      <c r="W1091">
        <v>2782</v>
      </c>
      <c r="X1091">
        <v>2782</v>
      </c>
      <c r="Z1091">
        <v>4.8181195470052494</v>
      </c>
      <c r="AC1091" s="1"/>
    </row>
    <row r="1092" spans="2:29" x14ac:dyDescent="0.25">
      <c r="B1092" s="1" t="s">
        <v>1968</v>
      </c>
      <c r="C1092">
        <v>1091</v>
      </c>
      <c r="D1092" s="1" t="s">
        <v>81</v>
      </c>
      <c r="E1092" t="s">
        <v>2012</v>
      </c>
      <c r="F1092" s="1" t="s">
        <v>415</v>
      </c>
      <c r="G1092">
        <v>1732</v>
      </c>
      <c r="H1092">
        <v>131</v>
      </c>
      <c r="I1092">
        <v>2058</v>
      </c>
      <c r="O1092" s="1"/>
      <c r="Q1092" s="1"/>
      <c r="V1092">
        <v>80</v>
      </c>
      <c r="W1092">
        <v>2940</v>
      </c>
      <c r="X1092">
        <v>2940</v>
      </c>
      <c r="Z1092">
        <v>5.0928992072184336</v>
      </c>
      <c r="AC1092" s="1"/>
    </row>
    <row r="1093" spans="2:29" x14ac:dyDescent="0.25">
      <c r="B1093" s="1" t="s">
        <v>1969</v>
      </c>
      <c r="C1093">
        <v>1092</v>
      </c>
      <c r="D1093" s="1" t="s">
        <v>81</v>
      </c>
      <c r="E1093" t="s">
        <v>2012</v>
      </c>
      <c r="F1093" s="1" t="s">
        <v>415</v>
      </c>
      <c r="G1093">
        <v>1732</v>
      </c>
      <c r="H1093">
        <v>101</v>
      </c>
      <c r="I1093">
        <v>2052</v>
      </c>
      <c r="O1093" s="1"/>
      <c r="Q1093" s="1"/>
      <c r="V1093">
        <v>80</v>
      </c>
      <c r="W1093">
        <v>2800</v>
      </c>
      <c r="X1093">
        <v>2800</v>
      </c>
      <c r="Z1093">
        <v>4.8500828566822038</v>
      </c>
      <c r="AC1093" s="1"/>
    </row>
    <row r="1094" spans="2:29" x14ac:dyDescent="0.25">
      <c r="B1094" s="1" t="s">
        <v>1970</v>
      </c>
      <c r="C1094">
        <v>1093</v>
      </c>
      <c r="D1094" s="1" t="s">
        <v>81</v>
      </c>
      <c r="E1094" t="s">
        <v>2012</v>
      </c>
      <c r="F1094" s="1" t="s">
        <v>416</v>
      </c>
      <c r="G1094">
        <v>1732</v>
      </c>
      <c r="H1094">
        <v>131</v>
      </c>
      <c r="I1094">
        <v>2058</v>
      </c>
      <c r="O1094" s="1"/>
      <c r="Q1094" s="1"/>
      <c r="V1094">
        <v>80</v>
      </c>
      <c r="W1094">
        <v>2940</v>
      </c>
      <c r="X1094">
        <v>2940</v>
      </c>
      <c r="Z1094">
        <v>5.0928992072877142</v>
      </c>
      <c r="AC1094" s="1"/>
    </row>
    <row r="1095" spans="2:29" x14ac:dyDescent="0.25">
      <c r="B1095" s="1" t="s">
        <v>1971</v>
      </c>
      <c r="C1095">
        <v>1094</v>
      </c>
      <c r="D1095" s="1" t="s">
        <v>81</v>
      </c>
      <c r="E1095" t="s">
        <v>2012</v>
      </c>
      <c r="F1095" s="1" t="s">
        <v>416</v>
      </c>
      <c r="G1095">
        <v>1732</v>
      </c>
      <c r="H1095">
        <v>101</v>
      </c>
      <c r="I1095">
        <v>2052</v>
      </c>
      <c r="O1095" s="1"/>
      <c r="Q1095" s="1"/>
      <c r="V1095">
        <v>80</v>
      </c>
      <c r="W1095">
        <v>2800</v>
      </c>
      <c r="X1095">
        <v>2800</v>
      </c>
      <c r="Z1095">
        <v>4.8501010454173166</v>
      </c>
      <c r="AC1095" s="1"/>
    </row>
    <row r="1096" spans="2:29" x14ac:dyDescent="0.25">
      <c r="B1096" s="1" t="s">
        <v>1972</v>
      </c>
      <c r="C1096">
        <v>1095</v>
      </c>
      <c r="D1096" s="1" t="s">
        <v>81</v>
      </c>
      <c r="E1096" t="s">
        <v>2012</v>
      </c>
      <c r="F1096" s="1" t="s">
        <v>417</v>
      </c>
      <c r="G1096">
        <v>1732</v>
      </c>
      <c r="H1096">
        <v>131</v>
      </c>
      <c r="I1096">
        <v>2058</v>
      </c>
      <c r="O1096" s="1"/>
      <c r="Q1096" s="1"/>
      <c r="V1096">
        <v>80</v>
      </c>
      <c r="W1096">
        <v>2763</v>
      </c>
      <c r="X1096">
        <v>2763</v>
      </c>
      <c r="Z1096">
        <v>4.7855982534620543</v>
      </c>
      <c r="AC1096" s="1"/>
    </row>
    <row r="1097" spans="2:29" x14ac:dyDescent="0.25">
      <c r="B1097" s="1" t="s">
        <v>1973</v>
      </c>
      <c r="C1097">
        <v>1096</v>
      </c>
      <c r="D1097" s="1" t="s">
        <v>81</v>
      </c>
      <c r="E1097" t="s">
        <v>2012</v>
      </c>
      <c r="F1097" s="1" t="s">
        <v>417</v>
      </c>
      <c r="G1097">
        <v>1732</v>
      </c>
      <c r="H1097">
        <v>101</v>
      </c>
      <c r="I1097">
        <v>2052</v>
      </c>
      <c r="O1097" s="1"/>
      <c r="Q1097" s="1"/>
      <c r="V1097">
        <v>80</v>
      </c>
      <c r="W1097">
        <v>2673</v>
      </c>
      <c r="X1097">
        <v>2673</v>
      </c>
      <c r="Z1097">
        <v>4.6294486609653909</v>
      </c>
      <c r="AC1097" s="1"/>
    </row>
    <row r="1098" spans="2:29" x14ac:dyDescent="0.25">
      <c r="B1098" s="1" t="s">
        <v>1974</v>
      </c>
      <c r="C1098">
        <v>1097</v>
      </c>
      <c r="D1098" s="1" t="s">
        <v>81</v>
      </c>
      <c r="E1098" t="s">
        <v>2012</v>
      </c>
      <c r="F1098" s="1" t="s">
        <v>417</v>
      </c>
      <c r="G1098">
        <v>1088</v>
      </c>
      <c r="H1098">
        <v>226</v>
      </c>
      <c r="I1098">
        <v>1219</v>
      </c>
      <c r="O1098" s="1"/>
      <c r="Q1098" s="1"/>
      <c r="V1098">
        <v>150</v>
      </c>
      <c r="W1098">
        <v>2782</v>
      </c>
      <c r="X1098">
        <v>2782</v>
      </c>
      <c r="Z1098">
        <v>3.0262045653332854</v>
      </c>
      <c r="AC1098" s="1"/>
    </row>
    <row r="1099" spans="2:29" x14ac:dyDescent="0.25">
      <c r="B1099" s="1" t="s">
        <v>1975</v>
      </c>
      <c r="C1099">
        <v>1098</v>
      </c>
      <c r="D1099" s="1" t="s">
        <v>81</v>
      </c>
      <c r="E1099" t="s">
        <v>2012</v>
      </c>
      <c r="F1099" s="1" t="s">
        <v>417</v>
      </c>
      <c r="G1099">
        <v>1088</v>
      </c>
      <c r="H1099">
        <v>151</v>
      </c>
      <c r="I1099">
        <v>1529</v>
      </c>
      <c r="O1099" s="1"/>
      <c r="Q1099" s="1"/>
      <c r="V1099">
        <v>100</v>
      </c>
      <c r="W1099">
        <v>2782</v>
      </c>
      <c r="X1099">
        <v>2782</v>
      </c>
      <c r="Z1099">
        <v>3.02673295147423</v>
      </c>
      <c r="AC1099" s="1"/>
    </row>
    <row r="1100" spans="2:29" x14ac:dyDescent="0.25">
      <c r="B1100" s="1" t="s">
        <v>1976</v>
      </c>
      <c r="C1100">
        <v>1099</v>
      </c>
      <c r="D1100" s="1" t="s">
        <v>82</v>
      </c>
      <c r="E1100" t="s">
        <v>2012</v>
      </c>
      <c r="F1100" s="1" t="s">
        <v>2015</v>
      </c>
      <c r="G1100">
        <v>1724</v>
      </c>
      <c r="H1100">
        <v>122</v>
      </c>
      <c r="I1100">
        <v>1740</v>
      </c>
      <c r="O1100" s="1"/>
      <c r="Q1100" s="1"/>
      <c r="V1100">
        <v>80</v>
      </c>
      <c r="W1100">
        <v>2735</v>
      </c>
      <c r="X1100">
        <v>2735</v>
      </c>
      <c r="Z1100">
        <v>4.7148044659275339</v>
      </c>
      <c r="AC1100" s="1"/>
    </row>
    <row r="1101" spans="2:29" x14ac:dyDescent="0.25">
      <c r="B1101" s="1" t="s">
        <v>1977</v>
      </c>
      <c r="C1101">
        <v>1100</v>
      </c>
      <c r="D1101" s="1" t="s">
        <v>82</v>
      </c>
      <c r="E1101" t="s">
        <v>2012</v>
      </c>
      <c r="F1101" s="1" t="s">
        <v>2015</v>
      </c>
      <c r="G1101">
        <v>2073</v>
      </c>
      <c r="H1101">
        <v>161</v>
      </c>
      <c r="I1101">
        <v>2123</v>
      </c>
      <c r="O1101" s="1"/>
      <c r="Q1101" s="1"/>
      <c r="V1101">
        <v>80</v>
      </c>
      <c r="W1101">
        <v>2965</v>
      </c>
      <c r="X1101">
        <v>2965</v>
      </c>
      <c r="Z1101">
        <v>6.1450425015675441</v>
      </c>
      <c r="AC1101" s="1"/>
    </row>
    <row r="1102" spans="2:29" x14ac:dyDescent="0.25">
      <c r="B1102" s="1" t="s">
        <v>1978</v>
      </c>
      <c r="C1102">
        <v>1101</v>
      </c>
      <c r="D1102" s="1" t="s">
        <v>82</v>
      </c>
      <c r="E1102" t="s">
        <v>2012</v>
      </c>
      <c r="F1102" s="1" t="s">
        <v>2015</v>
      </c>
      <c r="G1102">
        <v>1796</v>
      </c>
      <c r="H1102">
        <v>131</v>
      </c>
      <c r="I1102">
        <v>2098</v>
      </c>
      <c r="O1102" s="1"/>
      <c r="Q1102" s="1"/>
      <c r="V1102">
        <v>80</v>
      </c>
      <c r="W1102">
        <v>2735</v>
      </c>
      <c r="X1102">
        <v>2735</v>
      </c>
      <c r="Z1102">
        <v>4.9113417246234095</v>
      </c>
      <c r="AC1102" s="1"/>
    </row>
    <row r="1103" spans="2:29" x14ac:dyDescent="0.25">
      <c r="B1103" s="1" t="s">
        <v>1979</v>
      </c>
      <c r="C1103">
        <v>1102</v>
      </c>
      <c r="D1103" s="1" t="s">
        <v>82</v>
      </c>
      <c r="E1103" t="s">
        <v>2012</v>
      </c>
      <c r="F1103" s="1" t="s">
        <v>2015</v>
      </c>
      <c r="G1103">
        <v>867</v>
      </c>
      <c r="H1103">
        <v>172</v>
      </c>
      <c r="I1103">
        <v>913</v>
      </c>
      <c r="O1103" s="1"/>
      <c r="Q1103" s="1"/>
      <c r="V1103">
        <v>80</v>
      </c>
      <c r="W1103">
        <v>2677</v>
      </c>
      <c r="X1103">
        <v>2706</v>
      </c>
      <c r="Z1103">
        <v>2.3201113601365972</v>
      </c>
      <c r="AC1103" s="1"/>
    </row>
    <row r="1104" spans="2:29" x14ac:dyDescent="0.25">
      <c r="B1104" s="1" t="s">
        <v>1980</v>
      </c>
      <c r="C1104">
        <v>1103</v>
      </c>
      <c r="D1104" s="1" t="s">
        <v>82</v>
      </c>
      <c r="E1104" t="s">
        <v>2012</v>
      </c>
      <c r="F1104" s="1" t="s">
        <v>2015</v>
      </c>
      <c r="G1104">
        <v>1857</v>
      </c>
      <c r="H1104">
        <v>243</v>
      </c>
      <c r="I1104">
        <v>1941</v>
      </c>
      <c r="O1104" s="1"/>
      <c r="Q1104" s="1"/>
      <c r="V1104">
        <v>120</v>
      </c>
      <c r="W1104">
        <v>2941</v>
      </c>
      <c r="X1104">
        <v>4024</v>
      </c>
      <c r="Z1104">
        <v>5.4613786267877202</v>
      </c>
      <c r="AC1104" s="1"/>
    </row>
    <row r="1105" spans="2:29" x14ac:dyDescent="0.25">
      <c r="B1105" s="1" t="s">
        <v>1981</v>
      </c>
      <c r="C1105">
        <v>1104</v>
      </c>
      <c r="D1105" s="1" t="s">
        <v>82</v>
      </c>
      <c r="E1105" t="s">
        <v>2012</v>
      </c>
      <c r="F1105" s="1" t="s">
        <v>2015</v>
      </c>
      <c r="G1105">
        <v>867</v>
      </c>
      <c r="H1105">
        <v>172</v>
      </c>
      <c r="I1105">
        <v>913</v>
      </c>
      <c r="O1105" s="1"/>
      <c r="Q1105" s="1"/>
      <c r="V1105">
        <v>80</v>
      </c>
      <c r="W1105">
        <v>2677</v>
      </c>
      <c r="X1105">
        <v>2706</v>
      </c>
      <c r="Z1105">
        <v>2.3201113601365972</v>
      </c>
      <c r="AC1105" s="1"/>
    </row>
    <row r="1106" spans="2:29" x14ac:dyDescent="0.25">
      <c r="B1106" s="1" t="s">
        <v>1982</v>
      </c>
      <c r="C1106">
        <v>1105</v>
      </c>
      <c r="D1106" s="1" t="s">
        <v>82</v>
      </c>
      <c r="E1106" t="s">
        <v>2012</v>
      </c>
      <c r="F1106" s="1" t="s">
        <v>2015</v>
      </c>
      <c r="G1106">
        <v>867</v>
      </c>
      <c r="H1106">
        <v>172</v>
      </c>
      <c r="I1106">
        <v>913</v>
      </c>
      <c r="O1106" s="1"/>
      <c r="Q1106" s="1"/>
      <c r="V1106">
        <v>80</v>
      </c>
      <c r="W1106">
        <v>2677</v>
      </c>
      <c r="X1106">
        <v>2706</v>
      </c>
      <c r="Z1106">
        <v>2.320111360136536</v>
      </c>
      <c r="AC1106" s="1"/>
    </row>
    <row r="1107" spans="2:29" x14ac:dyDescent="0.25">
      <c r="B1107" s="1" t="s">
        <v>1983</v>
      </c>
      <c r="C1107">
        <v>1106</v>
      </c>
      <c r="D1107" s="1" t="s">
        <v>82</v>
      </c>
      <c r="E1107" t="s">
        <v>2012</v>
      </c>
      <c r="F1107" s="1" t="s">
        <v>2015</v>
      </c>
      <c r="G1107">
        <v>867</v>
      </c>
      <c r="H1107">
        <v>172</v>
      </c>
      <c r="I1107">
        <v>913</v>
      </c>
      <c r="O1107" s="1"/>
      <c r="Q1107" s="1"/>
      <c r="V1107">
        <v>80</v>
      </c>
      <c r="W1107">
        <v>2677</v>
      </c>
      <c r="X1107">
        <v>2706</v>
      </c>
      <c r="Z1107">
        <v>2.320111360136536</v>
      </c>
      <c r="AC1107" s="1"/>
    </row>
    <row r="1108" spans="2:29" x14ac:dyDescent="0.25">
      <c r="B1108" s="1" t="s">
        <v>1984</v>
      </c>
      <c r="C1108">
        <v>1107</v>
      </c>
      <c r="D1108" s="1" t="s">
        <v>82</v>
      </c>
      <c r="E1108" t="s">
        <v>2012</v>
      </c>
      <c r="F1108" s="1" t="s">
        <v>2015</v>
      </c>
      <c r="G1108">
        <v>867</v>
      </c>
      <c r="H1108">
        <v>172</v>
      </c>
      <c r="I1108">
        <v>913</v>
      </c>
      <c r="O1108" s="1"/>
      <c r="Q1108" s="1"/>
      <c r="V1108">
        <v>80</v>
      </c>
      <c r="W1108">
        <v>2677</v>
      </c>
      <c r="X1108">
        <v>2706</v>
      </c>
      <c r="Z1108">
        <v>2.3201113601369761</v>
      </c>
      <c r="AC1108" s="1"/>
    </row>
    <row r="1109" spans="2:29" x14ac:dyDescent="0.25">
      <c r="B1109" s="1" t="s">
        <v>1985</v>
      </c>
      <c r="C1109">
        <v>1108</v>
      </c>
      <c r="D1109" s="1" t="s">
        <v>82</v>
      </c>
      <c r="E1109" t="s">
        <v>2012</v>
      </c>
      <c r="F1109" s="1" t="s">
        <v>1279</v>
      </c>
      <c r="G1109">
        <v>867</v>
      </c>
      <c r="H1109">
        <v>172</v>
      </c>
      <c r="I1109">
        <v>913</v>
      </c>
      <c r="O1109" s="1"/>
      <c r="Q1109" s="1"/>
      <c r="V1109">
        <v>80</v>
      </c>
      <c r="W1109">
        <v>2693</v>
      </c>
      <c r="X1109">
        <v>2723</v>
      </c>
      <c r="Z1109">
        <v>2.3347714386911336</v>
      </c>
      <c r="AC1109" s="1"/>
    </row>
    <row r="1110" spans="2:29" x14ac:dyDescent="0.25">
      <c r="B1110" s="1" t="s">
        <v>1986</v>
      </c>
      <c r="C1110">
        <v>1109</v>
      </c>
      <c r="D1110" s="1" t="s">
        <v>82</v>
      </c>
      <c r="E1110" t="s">
        <v>2012</v>
      </c>
      <c r="F1110" s="1" t="s">
        <v>1280</v>
      </c>
      <c r="G1110">
        <v>867</v>
      </c>
      <c r="H1110">
        <v>172</v>
      </c>
      <c r="I1110">
        <v>913</v>
      </c>
      <c r="O1110" s="1"/>
      <c r="Q1110" s="1"/>
      <c r="V1110">
        <v>80</v>
      </c>
      <c r="W1110">
        <v>2693</v>
      </c>
      <c r="X1110">
        <v>2723</v>
      </c>
      <c r="Z1110">
        <v>2.3347714386564675</v>
      </c>
      <c r="AC1110" s="1"/>
    </row>
    <row r="1111" spans="2:29" x14ac:dyDescent="0.25">
      <c r="B1111" s="1" t="s">
        <v>1987</v>
      </c>
      <c r="C1111">
        <v>1110</v>
      </c>
      <c r="D1111" s="1" t="s">
        <v>82</v>
      </c>
      <c r="E1111" t="s">
        <v>2012</v>
      </c>
      <c r="F1111" s="1" t="s">
        <v>1279</v>
      </c>
      <c r="G1111">
        <v>867</v>
      </c>
      <c r="H1111">
        <v>172</v>
      </c>
      <c r="I1111">
        <v>913</v>
      </c>
      <c r="O1111" s="1"/>
      <c r="Q1111" s="1"/>
      <c r="V1111">
        <v>80</v>
      </c>
      <c r="W1111">
        <v>2693</v>
      </c>
      <c r="X1111">
        <v>2723</v>
      </c>
      <c r="Z1111">
        <v>2.3347714386915452</v>
      </c>
      <c r="AC1111" s="1"/>
    </row>
    <row r="1112" spans="2:29" x14ac:dyDescent="0.25">
      <c r="B1112" s="1" t="s">
        <v>1988</v>
      </c>
      <c r="C1112">
        <v>1111</v>
      </c>
      <c r="D1112" s="1" t="s">
        <v>82</v>
      </c>
      <c r="E1112" t="s">
        <v>2012</v>
      </c>
      <c r="F1112" s="1" t="s">
        <v>1280</v>
      </c>
      <c r="G1112">
        <v>867</v>
      </c>
      <c r="H1112">
        <v>172</v>
      </c>
      <c r="I1112">
        <v>913</v>
      </c>
      <c r="O1112" s="1"/>
      <c r="Q1112" s="1"/>
      <c r="V1112">
        <v>80</v>
      </c>
      <c r="W1112">
        <v>2693</v>
      </c>
      <c r="X1112">
        <v>2723</v>
      </c>
      <c r="Z1112">
        <v>2.3347714386564675</v>
      </c>
      <c r="AC1112" s="1"/>
    </row>
    <row r="1113" spans="2:29" x14ac:dyDescent="0.25">
      <c r="B1113" s="1" t="s">
        <v>1989</v>
      </c>
      <c r="C1113">
        <v>1112</v>
      </c>
      <c r="D1113" s="1" t="s">
        <v>82</v>
      </c>
      <c r="E1113" t="s">
        <v>2012</v>
      </c>
      <c r="F1113" s="1" t="s">
        <v>1279</v>
      </c>
      <c r="G1113">
        <v>867</v>
      </c>
      <c r="H1113">
        <v>172</v>
      </c>
      <c r="I1113">
        <v>913</v>
      </c>
      <c r="O1113" s="1"/>
      <c r="Q1113" s="1"/>
      <c r="V1113">
        <v>80</v>
      </c>
      <c r="W1113">
        <v>2693</v>
      </c>
      <c r="X1113">
        <v>2723</v>
      </c>
      <c r="Z1113">
        <v>2.3347714386915661</v>
      </c>
      <c r="AC1113" s="1"/>
    </row>
    <row r="1114" spans="2:29" x14ac:dyDescent="0.25">
      <c r="B1114" s="1" t="s">
        <v>1990</v>
      </c>
      <c r="C1114">
        <v>1113</v>
      </c>
      <c r="D1114" s="1" t="s">
        <v>82</v>
      </c>
      <c r="E1114" t="s">
        <v>2012</v>
      </c>
      <c r="F1114" s="1" t="s">
        <v>1280</v>
      </c>
      <c r="G1114">
        <v>867</v>
      </c>
      <c r="H1114">
        <v>172</v>
      </c>
      <c r="I1114">
        <v>913</v>
      </c>
      <c r="O1114" s="1"/>
      <c r="Q1114" s="1"/>
      <c r="V1114">
        <v>80</v>
      </c>
      <c r="W1114">
        <v>2693</v>
      </c>
      <c r="X1114">
        <v>2723</v>
      </c>
      <c r="Z1114">
        <v>2.3347714386569378</v>
      </c>
      <c r="AC1114" s="1"/>
    </row>
    <row r="1115" spans="2:29" x14ac:dyDescent="0.25">
      <c r="B1115" s="1" t="s">
        <v>1991</v>
      </c>
      <c r="C1115">
        <v>1114</v>
      </c>
      <c r="D1115" s="1" t="s">
        <v>82</v>
      </c>
      <c r="E1115" t="s">
        <v>2012</v>
      </c>
      <c r="F1115" s="1" t="s">
        <v>1279</v>
      </c>
      <c r="G1115">
        <v>867</v>
      </c>
      <c r="H1115">
        <v>172</v>
      </c>
      <c r="I1115">
        <v>913</v>
      </c>
      <c r="O1115" s="1"/>
      <c r="Q1115" s="1"/>
      <c r="V1115">
        <v>80</v>
      </c>
      <c r="W1115">
        <v>2693</v>
      </c>
      <c r="X1115">
        <v>2723</v>
      </c>
      <c r="Z1115">
        <v>2.334771438691583</v>
      </c>
      <c r="AC1115" s="1"/>
    </row>
    <row r="1116" spans="2:29" x14ac:dyDescent="0.25">
      <c r="B1116" s="1" t="s">
        <v>1992</v>
      </c>
      <c r="C1116">
        <v>1115</v>
      </c>
      <c r="D1116" s="1" t="s">
        <v>82</v>
      </c>
      <c r="E1116" t="s">
        <v>2012</v>
      </c>
      <c r="F1116" s="1" t="s">
        <v>1280</v>
      </c>
      <c r="G1116">
        <v>867</v>
      </c>
      <c r="H1116">
        <v>172</v>
      </c>
      <c r="I1116">
        <v>913</v>
      </c>
      <c r="O1116" s="1"/>
      <c r="Q1116" s="1"/>
      <c r="V1116">
        <v>80</v>
      </c>
      <c r="W1116">
        <v>2693</v>
      </c>
      <c r="X1116">
        <v>2723</v>
      </c>
      <c r="Z1116">
        <v>2.3347714386569378</v>
      </c>
      <c r="AC1116" s="1"/>
    </row>
    <row r="1117" spans="2:29" x14ac:dyDescent="0.25">
      <c r="B1117" s="1" t="s">
        <v>1993</v>
      </c>
      <c r="C1117">
        <v>1116</v>
      </c>
      <c r="D1117" s="1" t="s">
        <v>82</v>
      </c>
      <c r="E1117" t="s">
        <v>2012</v>
      </c>
      <c r="F1117" s="1" t="s">
        <v>1279</v>
      </c>
      <c r="G1117">
        <v>867</v>
      </c>
      <c r="H1117">
        <v>172</v>
      </c>
      <c r="I1117">
        <v>913</v>
      </c>
      <c r="O1117" s="1"/>
      <c r="Q1117" s="1"/>
      <c r="V1117">
        <v>80</v>
      </c>
      <c r="W1117">
        <v>2693</v>
      </c>
      <c r="X1117">
        <v>2723</v>
      </c>
      <c r="Z1117">
        <v>2.3347714386909866</v>
      </c>
      <c r="AC1117" s="1"/>
    </row>
    <row r="1118" spans="2:29" x14ac:dyDescent="0.25">
      <c r="B1118" s="1" t="s">
        <v>1994</v>
      </c>
      <c r="C1118">
        <v>1117</v>
      </c>
      <c r="D1118" s="1" t="s">
        <v>82</v>
      </c>
      <c r="E1118" t="s">
        <v>2012</v>
      </c>
      <c r="F1118" s="1" t="s">
        <v>1278</v>
      </c>
      <c r="G1118">
        <v>867</v>
      </c>
      <c r="H1118">
        <v>172</v>
      </c>
      <c r="I1118">
        <v>913</v>
      </c>
      <c r="O1118" s="1"/>
      <c r="Q1118" s="1"/>
      <c r="V1118">
        <v>80</v>
      </c>
      <c r="W1118">
        <v>2550</v>
      </c>
      <c r="X1118">
        <v>2580</v>
      </c>
      <c r="Z1118">
        <v>2.2101307136517527</v>
      </c>
      <c r="AC1118" s="1"/>
    </row>
    <row r="1119" spans="2:29" x14ac:dyDescent="0.25">
      <c r="B1119" s="1" t="s">
        <v>1995</v>
      </c>
      <c r="C1119">
        <v>1118</v>
      </c>
      <c r="D1119" s="1" t="s">
        <v>82</v>
      </c>
      <c r="E1119" t="s">
        <v>2012</v>
      </c>
      <c r="F1119" s="1" t="s">
        <v>1278</v>
      </c>
      <c r="G1119">
        <v>867</v>
      </c>
      <c r="H1119">
        <v>172</v>
      </c>
      <c r="I1119">
        <v>913</v>
      </c>
      <c r="O1119" s="1"/>
      <c r="Q1119" s="1"/>
      <c r="V1119">
        <v>80</v>
      </c>
      <c r="W1119">
        <v>2550</v>
      </c>
      <c r="X1119">
        <v>2580</v>
      </c>
      <c r="Z1119">
        <v>2.2101307136519011</v>
      </c>
      <c r="AC1119" s="1"/>
    </row>
    <row r="1120" spans="2:29" x14ac:dyDescent="0.25">
      <c r="B1120" s="1" t="s">
        <v>1996</v>
      </c>
      <c r="C1120">
        <v>1119</v>
      </c>
      <c r="D1120" s="1" t="s">
        <v>82</v>
      </c>
      <c r="E1120" t="s">
        <v>2012</v>
      </c>
      <c r="F1120" s="1" t="s">
        <v>1279</v>
      </c>
      <c r="G1120">
        <v>1724</v>
      </c>
      <c r="H1120">
        <v>122</v>
      </c>
      <c r="I1120">
        <v>1740</v>
      </c>
      <c r="O1120" s="1"/>
      <c r="Q1120" s="1"/>
      <c r="V1120">
        <v>80</v>
      </c>
      <c r="W1120">
        <v>2805</v>
      </c>
      <c r="X1120">
        <v>2805</v>
      </c>
      <c r="Z1120">
        <v>4.8355564482571411</v>
      </c>
      <c r="AC1120" s="1"/>
    </row>
    <row r="1121" spans="2:30" x14ac:dyDescent="0.25">
      <c r="B1121" s="1" t="s">
        <v>1997</v>
      </c>
      <c r="C1121">
        <v>1120</v>
      </c>
      <c r="D1121" s="1" t="s">
        <v>82</v>
      </c>
      <c r="E1121" t="s">
        <v>2012</v>
      </c>
      <c r="F1121" s="1" t="s">
        <v>1280</v>
      </c>
      <c r="G1121">
        <v>1724</v>
      </c>
      <c r="H1121">
        <v>122</v>
      </c>
      <c r="I1121">
        <v>1740</v>
      </c>
      <c r="O1121" s="1"/>
      <c r="Q1121" s="1"/>
      <c r="V1121">
        <v>80</v>
      </c>
      <c r="W1121">
        <v>2805</v>
      </c>
      <c r="X1121">
        <v>2805</v>
      </c>
      <c r="Z1121">
        <v>4.835556448271392</v>
      </c>
      <c r="AC1121" s="1"/>
    </row>
    <row r="1122" spans="2:30" x14ac:dyDescent="0.25">
      <c r="B1122" s="1" t="s">
        <v>1998</v>
      </c>
      <c r="C1122">
        <v>1121</v>
      </c>
      <c r="D1122" s="1" t="s">
        <v>82</v>
      </c>
      <c r="E1122" t="s">
        <v>2012</v>
      </c>
      <c r="F1122" s="1" t="s">
        <v>1279</v>
      </c>
      <c r="G1122">
        <v>1724</v>
      </c>
      <c r="H1122">
        <v>122</v>
      </c>
      <c r="I1122">
        <v>1740</v>
      </c>
      <c r="O1122" s="1"/>
      <c r="Q1122" s="1"/>
      <c r="V1122">
        <v>80</v>
      </c>
      <c r="W1122">
        <v>2805</v>
      </c>
      <c r="X1122">
        <v>2805</v>
      </c>
      <c r="Z1122">
        <v>4.8355564482543132</v>
      </c>
      <c r="AC1122" s="1"/>
    </row>
    <row r="1123" spans="2:30" x14ac:dyDescent="0.25">
      <c r="B1123" s="1" t="s">
        <v>1999</v>
      </c>
      <c r="C1123">
        <v>1122</v>
      </c>
      <c r="D1123" s="1" t="s">
        <v>82</v>
      </c>
      <c r="E1123" t="s">
        <v>2012</v>
      </c>
      <c r="F1123" s="1" t="s">
        <v>1280</v>
      </c>
      <c r="G1123">
        <v>1724</v>
      </c>
      <c r="H1123">
        <v>122</v>
      </c>
      <c r="I1123">
        <v>1740</v>
      </c>
      <c r="O1123" s="1"/>
      <c r="Q1123" s="1"/>
      <c r="V1123">
        <v>80</v>
      </c>
      <c r="W1123">
        <v>2805</v>
      </c>
      <c r="X1123">
        <v>2805</v>
      </c>
      <c r="Z1123">
        <v>4.835556448271392</v>
      </c>
      <c r="AC1123" s="1"/>
    </row>
    <row r="1124" spans="2:30" x14ac:dyDescent="0.25">
      <c r="B1124" s="1" t="s">
        <v>2000</v>
      </c>
      <c r="C1124">
        <v>1123</v>
      </c>
      <c r="D1124" s="1" t="s">
        <v>82</v>
      </c>
      <c r="E1124" t="s">
        <v>2012</v>
      </c>
      <c r="F1124" s="1" t="s">
        <v>1278</v>
      </c>
      <c r="G1124">
        <v>1724</v>
      </c>
      <c r="H1124">
        <v>122</v>
      </c>
      <c r="I1124">
        <v>1740</v>
      </c>
      <c r="O1124" s="1"/>
      <c r="Q1124" s="1"/>
      <c r="V1124">
        <v>80</v>
      </c>
      <c r="W1124">
        <v>2717</v>
      </c>
      <c r="X1124">
        <v>2717</v>
      </c>
      <c r="Z1124">
        <v>4.6835716081662513</v>
      </c>
      <c r="AC1124" s="1"/>
    </row>
    <row r="1125" spans="2:30" x14ac:dyDescent="0.25">
      <c r="B1125" s="1" t="s">
        <v>2001</v>
      </c>
      <c r="C1125">
        <v>1124</v>
      </c>
      <c r="D1125" s="1" t="s">
        <v>82</v>
      </c>
      <c r="E1125" t="s">
        <v>2012</v>
      </c>
      <c r="F1125" s="1" t="s">
        <v>1279</v>
      </c>
      <c r="G1125">
        <v>1724</v>
      </c>
      <c r="H1125">
        <v>122</v>
      </c>
      <c r="I1125">
        <v>1740</v>
      </c>
      <c r="O1125" s="1"/>
      <c r="Q1125" s="1"/>
      <c r="V1125">
        <v>80</v>
      </c>
      <c r="W1125">
        <v>2805</v>
      </c>
      <c r="X1125">
        <v>2805</v>
      </c>
      <c r="Z1125">
        <v>4.8355564482538753</v>
      </c>
      <c r="AC1125" s="1"/>
    </row>
    <row r="1126" spans="2:30" x14ac:dyDescent="0.25">
      <c r="B1126" s="1" t="s">
        <v>2002</v>
      </c>
      <c r="C1126">
        <v>1125</v>
      </c>
      <c r="D1126" s="1" t="s">
        <v>82</v>
      </c>
      <c r="E1126" t="s">
        <v>2012</v>
      </c>
      <c r="F1126" s="1" t="s">
        <v>1280</v>
      </c>
      <c r="G1126">
        <v>1724</v>
      </c>
      <c r="H1126">
        <v>122</v>
      </c>
      <c r="I1126">
        <v>1740</v>
      </c>
      <c r="O1126" s="1"/>
      <c r="Q1126" s="1"/>
      <c r="V1126">
        <v>80</v>
      </c>
      <c r="W1126">
        <v>2805</v>
      </c>
      <c r="X1126">
        <v>2805</v>
      </c>
      <c r="Z1126">
        <v>4.8355564482714435</v>
      </c>
      <c r="AC1126" s="1"/>
    </row>
    <row r="1127" spans="2:30" x14ac:dyDescent="0.25">
      <c r="B1127" s="1" t="s">
        <v>2003</v>
      </c>
      <c r="C1127">
        <v>1126</v>
      </c>
      <c r="D1127" s="1" t="s">
        <v>82</v>
      </c>
      <c r="E1127" t="s">
        <v>2012</v>
      </c>
      <c r="F1127" s="1" t="s">
        <v>1279</v>
      </c>
      <c r="G1127">
        <v>1724</v>
      </c>
      <c r="H1127">
        <v>122</v>
      </c>
      <c r="I1127">
        <v>1740</v>
      </c>
      <c r="O1127" s="1"/>
      <c r="Q1127" s="1"/>
      <c r="V1127">
        <v>80</v>
      </c>
      <c r="W1127">
        <v>2805</v>
      </c>
      <c r="X1127">
        <v>2805</v>
      </c>
      <c r="Z1127">
        <v>4.8355564482570896</v>
      </c>
      <c r="AC1127" s="1"/>
    </row>
    <row r="1128" spans="2:30" x14ac:dyDescent="0.25">
      <c r="B1128" s="1" t="s">
        <v>2004</v>
      </c>
      <c r="C1128">
        <v>1127</v>
      </c>
      <c r="D1128" s="1" t="s">
        <v>82</v>
      </c>
      <c r="E1128" t="s">
        <v>2012</v>
      </c>
      <c r="F1128" s="1" t="s">
        <v>2015</v>
      </c>
      <c r="G1128">
        <v>1724</v>
      </c>
      <c r="H1128">
        <v>122</v>
      </c>
      <c r="I1128">
        <v>1740</v>
      </c>
      <c r="O1128" s="1"/>
      <c r="Q1128" s="1"/>
      <c r="V1128">
        <v>80</v>
      </c>
      <c r="W1128">
        <v>2735</v>
      </c>
      <c r="X1128">
        <v>2735</v>
      </c>
      <c r="Z1128">
        <v>4.7148044659246677</v>
      </c>
      <c r="AC1128" s="1"/>
    </row>
    <row r="1129" spans="2:30" x14ac:dyDescent="0.25">
      <c r="B1129" s="1" t="s">
        <v>2005</v>
      </c>
      <c r="C1129">
        <v>1128</v>
      </c>
      <c r="D1129" s="1" t="s">
        <v>82</v>
      </c>
      <c r="E1129" t="s">
        <v>2012</v>
      </c>
      <c r="F1129" s="1" t="s">
        <v>2015</v>
      </c>
      <c r="G1129">
        <v>1724</v>
      </c>
      <c r="H1129">
        <v>122</v>
      </c>
      <c r="I1129">
        <v>1740</v>
      </c>
      <c r="O1129" s="1"/>
      <c r="Q1129" s="1"/>
      <c r="V1129">
        <v>80</v>
      </c>
      <c r="W1129">
        <v>2735</v>
      </c>
      <c r="X1129">
        <v>2735</v>
      </c>
      <c r="Z1129">
        <v>4.7148044659245087</v>
      </c>
      <c r="AC1129" s="1"/>
    </row>
    <row r="1130" spans="2:30" x14ac:dyDescent="0.25">
      <c r="B1130" s="1" t="s">
        <v>2006</v>
      </c>
      <c r="C1130">
        <v>1129</v>
      </c>
      <c r="D1130" s="1" t="s">
        <v>82</v>
      </c>
      <c r="E1130" t="s">
        <v>2012</v>
      </c>
      <c r="F1130" s="1" t="s">
        <v>2015</v>
      </c>
      <c r="G1130">
        <v>1724</v>
      </c>
      <c r="H1130">
        <v>122</v>
      </c>
      <c r="I1130">
        <v>1740</v>
      </c>
      <c r="O1130" s="1"/>
      <c r="Q1130" s="1"/>
      <c r="V1130">
        <v>80</v>
      </c>
      <c r="W1130">
        <v>2735</v>
      </c>
      <c r="X1130">
        <v>2735</v>
      </c>
      <c r="Z1130">
        <v>4.7148044659275339</v>
      </c>
      <c r="AC1130" s="1"/>
    </row>
    <row r="1131" spans="2:30" x14ac:dyDescent="0.25">
      <c r="B1131" s="1" t="s">
        <v>2007</v>
      </c>
      <c r="C1131">
        <v>1130</v>
      </c>
      <c r="D1131" s="1" t="s">
        <v>82</v>
      </c>
      <c r="E1131" t="s">
        <v>2012</v>
      </c>
      <c r="F1131" s="1" t="s">
        <v>1279</v>
      </c>
      <c r="G1131">
        <v>1857</v>
      </c>
      <c r="H1131">
        <v>243</v>
      </c>
      <c r="I1131">
        <v>1941</v>
      </c>
      <c r="O1131" s="1"/>
      <c r="Q1131" s="1"/>
      <c r="V1131">
        <v>120</v>
      </c>
      <c r="W1131">
        <v>3120</v>
      </c>
      <c r="X1131">
        <v>4141</v>
      </c>
      <c r="Z1131">
        <v>5.7939521868137556</v>
      </c>
      <c r="AC1131" s="1"/>
    </row>
    <row r="1132" spans="2:30" x14ac:dyDescent="0.25">
      <c r="B1132" s="1" t="s">
        <v>2008</v>
      </c>
      <c r="C1132">
        <v>1131</v>
      </c>
      <c r="D1132" s="1" t="s">
        <v>82</v>
      </c>
      <c r="E1132" t="s">
        <v>2012</v>
      </c>
      <c r="F1132" s="1" t="s">
        <v>1280</v>
      </c>
      <c r="G1132">
        <v>1857</v>
      </c>
      <c r="H1132">
        <v>243</v>
      </c>
      <c r="I1132">
        <v>1941</v>
      </c>
      <c r="O1132" s="1"/>
      <c r="Q1132" s="1"/>
      <c r="V1132">
        <v>120</v>
      </c>
      <c r="W1132">
        <v>3120</v>
      </c>
      <c r="X1132">
        <v>4079</v>
      </c>
      <c r="Z1132">
        <v>5.7939521868326187</v>
      </c>
      <c r="AC1132" s="1"/>
    </row>
    <row r="1133" spans="2:30" x14ac:dyDescent="0.25">
      <c r="B1133" s="1" t="s">
        <v>2009</v>
      </c>
      <c r="C1133">
        <v>1132</v>
      </c>
      <c r="D1133" s="1" t="s">
        <v>82</v>
      </c>
      <c r="E1133" t="s">
        <v>2012</v>
      </c>
      <c r="F1133" s="1" t="s">
        <v>1278</v>
      </c>
      <c r="G1133">
        <v>1857</v>
      </c>
      <c r="H1133">
        <v>243</v>
      </c>
      <c r="I1133">
        <v>1941</v>
      </c>
      <c r="O1133" s="1"/>
      <c r="Q1133" s="1"/>
      <c r="V1133">
        <v>120</v>
      </c>
      <c r="W1133">
        <v>2722</v>
      </c>
      <c r="X1133">
        <v>3138</v>
      </c>
      <c r="Z1133">
        <v>5.0541035667391032</v>
      </c>
      <c r="AC1133" s="1"/>
    </row>
    <row r="1134" spans="2:30" x14ac:dyDescent="0.25">
      <c r="B1134" s="1" t="s">
        <v>274</v>
      </c>
      <c r="C1134">
        <v>1133</v>
      </c>
      <c r="D1134" s="1" t="s">
        <v>80</v>
      </c>
      <c r="E1134" t="s">
        <v>116</v>
      </c>
      <c r="F1134" s="1" t="s">
        <v>314</v>
      </c>
      <c r="O1134" s="1" t="s">
        <v>397</v>
      </c>
      <c r="P1134" t="s">
        <v>108</v>
      </c>
      <c r="Q1134" s="1" t="s">
        <v>244</v>
      </c>
      <c r="R1134">
        <v>1</v>
      </c>
      <c r="S1134">
        <v>50</v>
      </c>
      <c r="T1134">
        <v>54</v>
      </c>
      <c r="U1134">
        <v>49</v>
      </c>
      <c r="AA1134">
        <v>268.796506136</v>
      </c>
      <c r="AB1134">
        <v>692965.09826200001</v>
      </c>
      <c r="AC1134" s="1" t="s">
        <v>277</v>
      </c>
      <c r="AD1134" t="s">
        <v>246</v>
      </c>
    </row>
    <row r="1135" spans="2:30" x14ac:dyDescent="0.25">
      <c r="B1135" s="1" t="s">
        <v>274</v>
      </c>
      <c r="C1135">
        <v>1134</v>
      </c>
      <c r="D1135" s="1" t="s">
        <v>80</v>
      </c>
      <c r="E1135" t="s">
        <v>116</v>
      </c>
      <c r="F1135" s="1" t="s">
        <v>314</v>
      </c>
      <c r="O1135" s="1" t="s">
        <v>330</v>
      </c>
      <c r="P1135" t="s">
        <v>108</v>
      </c>
      <c r="Q1135" s="1" t="s">
        <v>244</v>
      </c>
      <c r="R1135">
        <v>2</v>
      </c>
      <c r="S1135">
        <v>50</v>
      </c>
      <c r="T1135">
        <v>43</v>
      </c>
      <c r="U1135">
        <v>5</v>
      </c>
      <c r="AA1135">
        <v>3340.8888419199998</v>
      </c>
      <c r="AB1135">
        <v>4009066.6103099999</v>
      </c>
      <c r="AC1135" s="1" t="s">
        <v>277</v>
      </c>
      <c r="AD1135" t="s">
        <v>246</v>
      </c>
    </row>
    <row r="1136" spans="2:30" x14ac:dyDescent="0.25">
      <c r="B1136" s="1" t="s">
        <v>274</v>
      </c>
      <c r="C1136">
        <v>1135</v>
      </c>
      <c r="D1136" s="1" t="s">
        <v>80</v>
      </c>
      <c r="E1136" t="s">
        <v>116</v>
      </c>
      <c r="F1136" s="1" t="s">
        <v>314</v>
      </c>
      <c r="O1136" s="1" t="s">
        <v>393</v>
      </c>
      <c r="P1136" t="s">
        <v>108</v>
      </c>
      <c r="Q1136" s="1" t="s">
        <v>244</v>
      </c>
      <c r="R1136">
        <v>13</v>
      </c>
      <c r="S1136">
        <v>50</v>
      </c>
      <c r="T1136">
        <v>80</v>
      </c>
      <c r="U1136">
        <v>69</v>
      </c>
      <c r="AA1136">
        <v>545.13832008099996</v>
      </c>
      <c r="AB1136">
        <v>2024929.645</v>
      </c>
      <c r="AC1136" s="1" t="s">
        <v>277</v>
      </c>
      <c r="AD1136" t="s">
        <v>246</v>
      </c>
    </row>
    <row r="1137" spans="2:30" x14ac:dyDescent="0.25">
      <c r="B1137" s="1" t="s">
        <v>274</v>
      </c>
      <c r="C1137">
        <v>1136</v>
      </c>
      <c r="D1137" s="1" t="s">
        <v>80</v>
      </c>
      <c r="E1137" t="s">
        <v>116</v>
      </c>
      <c r="F1137" s="1" t="s">
        <v>314</v>
      </c>
      <c r="O1137" s="1" t="s">
        <v>392</v>
      </c>
      <c r="P1137" t="s">
        <v>108</v>
      </c>
      <c r="Q1137" s="1" t="s">
        <v>244</v>
      </c>
      <c r="R1137">
        <v>10</v>
      </c>
      <c r="S1137">
        <v>50</v>
      </c>
      <c r="T1137">
        <v>70</v>
      </c>
      <c r="U1137">
        <v>49</v>
      </c>
      <c r="AA1137">
        <v>1014.68728856</v>
      </c>
      <c r="AB1137">
        <v>3012234.4549400001</v>
      </c>
      <c r="AC1137" s="1" t="s">
        <v>277</v>
      </c>
      <c r="AD1137" t="s">
        <v>246</v>
      </c>
    </row>
    <row r="1138" spans="2:30" x14ac:dyDescent="0.25">
      <c r="B1138" s="1" t="s">
        <v>274</v>
      </c>
      <c r="C1138">
        <v>1137</v>
      </c>
      <c r="D1138" s="1" t="s">
        <v>80</v>
      </c>
      <c r="E1138" t="s">
        <v>116</v>
      </c>
      <c r="F1138" s="1" t="s">
        <v>314</v>
      </c>
      <c r="O1138" s="1" t="s">
        <v>386</v>
      </c>
      <c r="P1138" t="s">
        <v>108</v>
      </c>
      <c r="Q1138" s="1" t="s">
        <v>244</v>
      </c>
      <c r="R1138">
        <v>1</v>
      </c>
      <c r="S1138">
        <v>50</v>
      </c>
      <c r="T1138">
        <v>43</v>
      </c>
      <c r="U1138">
        <v>38</v>
      </c>
      <c r="AA1138">
        <v>300.000000892</v>
      </c>
      <c r="AB1138">
        <v>604587.49051399995</v>
      </c>
      <c r="AC1138" s="1" t="s">
        <v>277</v>
      </c>
      <c r="AD1138" t="s">
        <v>246</v>
      </c>
    </row>
    <row r="1139" spans="2:30" x14ac:dyDescent="0.25">
      <c r="B1139" s="1" t="s">
        <v>274</v>
      </c>
      <c r="C1139">
        <v>1138</v>
      </c>
      <c r="D1139" s="1" t="s">
        <v>80</v>
      </c>
      <c r="E1139" t="s">
        <v>116</v>
      </c>
      <c r="F1139" s="1" t="s">
        <v>314</v>
      </c>
      <c r="O1139" s="1" t="s">
        <v>394</v>
      </c>
      <c r="P1139" t="s">
        <v>108</v>
      </c>
      <c r="Q1139" s="1" t="s">
        <v>244</v>
      </c>
      <c r="R1139">
        <v>2</v>
      </c>
      <c r="S1139">
        <v>50</v>
      </c>
      <c r="T1139">
        <v>70</v>
      </c>
      <c r="U1139">
        <v>54</v>
      </c>
      <c r="AA1139">
        <v>745.89078242200003</v>
      </c>
      <c r="AB1139">
        <v>2319269.3566800002</v>
      </c>
      <c r="AC1139" s="1" t="s">
        <v>277</v>
      </c>
      <c r="AD1139" t="s">
        <v>246</v>
      </c>
    </row>
    <row r="1140" spans="2:30" x14ac:dyDescent="0.25">
      <c r="B1140" s="1" t="s">
        <v>274</v>
      </c>
      <c r="C1140">
        <v>1139</v>
      </c>
      <c r="D1140" s="1" t="s">
        <v>80</v>
      </c>
      <c r="E1140" t="s">
        <v>116</v>
      </c>
      <c r="F1140" s="1" t="s">
        <v>314</v>
      </c>
      <c r="O1140" s="1" t="s">
        <v>391</v>
      </c>
      <c r="P1140" t="s">
        <v>108</v>
      </c>
      <c r="Q1140" s="1" t="s">
        <v>244</v>
      </c>
      <c r="R1140">
        <v>1</v>
      </c>
      <c r="S1140">
        <v>50</v>
      </c>
      <c r="T1140">
        <v>80</v>
      </c>
      <c r="U1140">
        <v>80</v>
      </c>
      <c r="AA1140">
        <v>4041.07994061</v>
      </c>
      <c r="AB1140">
        <v>16164319.762399999</v>
      </c>
      <c r="AC1140" s="1" t="s">
        <v>277</v>
      </c>
      <c r="AD1140" t="s">
        <v>246</v>
      </c>
    </row>
    <row r="1141" spans="2:30" x14ac:dyDescent="0.25">
      <c r="B1141" s="1" t="s">
        <v>274</v>
      </c>
      <c r="C1141">
        <v>1140</v>
      </c>
      <c r="D1141" s="1" t="s">
        <v>80</v>
      </c>
      <c r="E1141" t="s">
        <v>116</v>
      </c>
      <c r="F1141" s="1" t="s">
        <v>314</v>
      </c>
      <c r="O1141" s="1" t="s">
        <v>389</v>
      </c>
      <c r="P1141" t="s">
        <v>108</v>
      </c>
      <c r="Q1141" s="1" t="s">
        <v>244</v>
      </c>
      <c r="R1141">
        <v>1</v>
      </c>
      <c r="S1141">
        <v>50</v>
      </c>
      <c r="T1141">
        <v>68</v>
      </c>
      <c r="U1141">
        <v>68</v>
      </c>
      <c r="AA1141">
        <v>4041.2153701699999</v>
      </c>
      <c r="AB1141">
        <v>13740132.2586</v>
      </c>
      <c r="AC1141" s="1" t="s">
        <v>277</v>
      </c>
      <c r="AD1141" t="s">
        <v>246</v>
      </c>
    </row>
    <row r="1142" spans="2:30" x14ac:dyDescent="0.25">
      <c r="B1142" s="1" t="s">
        <v>274</v>
      </c>
      <c r="C1142">
        <v>1141</v>
      </c>
      <c r="D1142" s="1" t="s">
        <v>80</v>
      </c>
      <c r="E1142" t="s">
        <v>116</v>
      </c>
      <c r="F1142" s="1" t="s">
        <v>314</v>
      </c>
      <c r="O1142" s="1" t="s">
        <v>388</v>
      </c>
      <c r="P1142" t="s">
        <v>108</v>
      </c>
      <c r="Q1142" s="1" t="s">
        <v>244</v>
      </c>
      <c r="R1142">
        <v>1</v>
      </c>
      <c r="S1142">
        <v>50</v>
      </c>
      <c r="T1142">
        <v>48</v>
      </c>
      <c r="U1142">
        <v>48</v>
      </c>
      <c r="AA1142">
        <v>4041.2153701699999</v>
      </c>
      <c r="AB1142">
        <v>9698916.8883999996</v>
      </c>
      <c r="AC1142" s="1" t="s">
        <v>277</v>
      </c>
      <c r="AD1142" t="s">
        <v>246</v>
      </c>
    </row>
    <row r="1143" spans="2:30" x14ac:dyDescent="0.25">
      <c r="B1143" s="1" t="s">
        <v>274</v>
      </c>
      <c r="C1143">
        <v>1142</v>
      </c>
      <c r="D1143" s="1" t="s">
        <v>80</v>
      </c>
      <c r="E1143" t="s">
        <v>116</v>
      </c>
      <c r="F1143" s="1" t="s">
        <v>314</v>
      </c>
      <c r="O1143" s="1" t="s">
        <v>390</v>
      </c>
      <c r="P1143" t="s">
        <v>108</v>
      </c>
      <c r="Q1143" s="1" t="s">
        <v>244</v>
      </c>
      <c r="R1143">
        <v>1</v>
      </c>
      <c r="S1143">
        <v>50</v>
      </c>
      <c r="T1143">
        <v>70</v>
      </c>
      <c r="U1143">
        <v>70</v>
      </c>
      <c r="AA1143">
        <v>3824.9940413200002</v>
      </c>
      <c r="AB1143">
        <v>13387479.1446</v>
      </c>
      <c r="AC1143" s="1" t="s">
        <v>277</v>
      </c>
      <c r="AD1143" t="s">
        <v>246</v>
      </c>
    </row>
    <row r="1144" spans="2:30" x14ac:dyDescent="0.25">
      <c r="B1144" s="1" t="s">
        <v>274</v>
      </c>
      <c r="C1144">
        <v>1143</v>
      </c>
      <c r="D1144" s="1" t="s">
        <v>80</v>
      </c>
      <c r="E1144" t="s">
        <v>116</v>
      </c>
      <c r="F1144" s="1" t="s">
        <v>314</v>
      </c>
      <c r="O1144" s="1" t="s">
        <v>385</v>
      </c>
      <c r="P1144" t="s">
        <v>108</v>
      </c>
      <c r="Q1144" s="1" t="s">
        <v>244</v>
      </c>
      <c r="R1144">
        <v>2</v>
      </c>
      <c r="S1144">
        <v>50</v>
      </c>
      <c r="T1144">
        <v>43</v>
      </c>
      <c r="U1144">
        <v>10</v>
      </c>
      <c r="AA1144">
        <v>306.21700789699997</v>
      </c>
      <c r="AB1144">
        <v>405737.53546300001</v>
      </c>
      <c r="AC1144" s="1" t="s">
        <v>277</v>
      </c>
      <c r="AD1144" t="s">
        <v>246</v>
      </c>
    </row>
    <row r="1145" spans="2:30" x14ac:dyDescent="0.25">
      <c r="B1145" s="1" t="s">
        <v>274</v>
      </c>
      <c r="C1145">
        <v>1144</v>
      </c>
      <c r="D1145" s="1" t="s">
        <v>80</v>
      </c>
      <c r="E1145" t="s">
        <v>116</v>
      </c>
      <c r="F1145" s="1" t="s">
        <v>314</v>
      </c>
      <c r="O1145" s="1" t="s">
        <v>395</v>
      </c>
      <c r="P1145" t="s">
        <v>108</v>
      </c>
      <c r="Q1145" s="1" t="s">
        <v>244</v>
      </c>
      <c r="R1145">
        <v>1</v>
      </c>
      <c r="S1145">
        <v>50</v>
      </c>
      <c r="T1145">
        <v>56</v>
      </c>
      <c r="U1145">
        <v>49</v>
      </c>
      <c r="AA1145">
        <v>328.79396548</v>
      </c>
      <c r="AB1145">
        <v>857970.70856399997</v>
      </c>
      <c r="AC1145" s="1" t="s">
        <v>277</v>
      </c>
      <c r="AD1145" t="s">
        <v>246</v>
      </c>
    </row>
    <row r="1146" spans="2:30" x14ac:dyDescent="0.25">
      <c r="B1146" s="1" t="s">
        <v>275</v>
      </c>
      <c r="C1146">
        <v>1145</v>
      </c>
      <c r="D1146" s="1" t="s">
        <v>80</v>
      </c>
      <c r="E1146" t="s">
        <v>116</v>
      </c>
      <c r="F1146" s="1" t="s">
        <v>318</v>
      </c>
      <c r="O1146" s="1" t="s">
        <v>397</v>
      </c>
      <c r="P1146" t="s">
        <v>108</v>
      </c>
      <c r="Q1146" s="1" t="s">
        <v>244</v>
      </c>
      <c r="R1146">
        <v>1</v>
      </c>
      <c r="S1146">
        <v>50</v>
      </c>
      <c r="T1146">
        <v>54</v>
      </c>
      <c r="U1146">
        <v>49</v>
      </c>
      <c r="AA1146">
        <v>268.79650691199998</v>
      </c>
      <c r="AB1146">
        <v>692965.10037100001</v>
      </c>
      <c r="AC1146" s="1" t="s">
        <v>277</v>
      </c>
      <c r="AD1146" t="s">
        <v>246</v>
      </c>
    </row>
    <row r="1147" spans="2:30" x14ac:dyDescent="0.25">
      <c r="B1147" s="1" t="s">
        <v>275</v>
      </c>
      <c r="C1147">
        <v>1146</v>
      </c>
      <c r="D1147" s="1" t="s">
        <v>80</v>
      </c>
      <c r="E1147" t="s">
        <v>116</v>
      </c>
      <c r="F1147" s="1" t="s">
        <v>318</v>
      </c>
      <c r="O1147" s="1" t="s">
        <v>330</v>
      </c>
      <c r="P1147" t="s">
        <v>108</v>
      </c>
      <c r="Q1147" s="1" t="s">
        <v>244</v>
      </c>
      <c r="R1147">
        <v>2</v>
      </c>
      <c r="S1147">
        <v>50</v>
      </c>
      <c r="T1147">
        <v>43</v>
      </c>
      <c r="U1147">
        <v>5</v>
      </c>
      <c r="AA1147">
        <v>3340.8888419199998</v>
      </c>
      <c r="AB1147">
        <v>4009066.6103099999</v>
      </c>
      <c r="AC1147" s="1" t="s">
        <v>277</v>
      </c>
      <c r="AD1147" t="s">
        <v>246</v>
      </c>
    </row>
    <row r="1148" spans="2:30" x14ac:dyDescent="0.25">
      <c r="B1148" s="1" t="s">
        <v>275</v>
      </c>
      <c r="C1148">
        <v>1147</v>
      </c>
      <c r="D1148" s="1" t="s">
        <v>80</v>
      </c>
      <c r="E1148" t="s">
        <v>116</v>
      </c>
      <c r="F1148" s="1" t="s">
        <v>318</v>
      </c>
      <c r="O1148" s="1" t="s">
        <v>393</v>
      </c>
      <c r="P1148" t="s">
        <v>108</v>
      </c>
      <c r="Q1148" s="1" t="s">
        <v>244</v>
      </c>
      <c r="R1148">
        <v>13</v>
      </c>
      <c r="S1148">
        <v>50</v>
      </c>
      <c r="T1148">
        <v>80</v>
      </c>
      <c r="U1148">
        <v>69</v>
      </c>
      <c r="AA1148">
        <v>545.13832008099996</v>
      </c>
      <c r="AB1148">
        <v>2024929.645</v>
      </c>
      <c r="AC1148" s="1" t="s">
        <v>277</v>
      </c>
      <c r="AD1148" t="s">
        <v>246</v>
      </c>
    </row>
    <row r="1149" spans="2:30" x14ac:dyDescent="0.25">
      <c r="B1149" s="1" t="s">
        <v>275</v>
      </c>
      <c r="C1149">
        <v>1148</v>
      </c>
      <c r="D1149" s="1" t="s">
        <v>80</v>
      </c>
      <c r="E1149" t="s">
        <v>116</v>
      </c>
      <c r="F1149" s="1" t="s">
        <v>318</v>
      </c>
      <c r="O1149" s="1" t="s">
        <v>392</v>
      </c>
      <c r="P1149" t="s">
        <v>108</v>
      </c>
      <c r="Q1149" s="1" t="s">
        <v>244</v>
      </c>
      <c r="R1149">
        <v>10</v>
      </c>
      <c r="S1149">
        <v>50</v>
      </c>
      <c r="T1149">
        <v>70</v>
      </c>
      <c r="U1149">
        <v>49</v>
      </c>
      <c r="AA1149">
        <v>1014.68728856</v>
      </c>
      <c r="AB1149">
        <v>3012234.4549400001</v>
      </c>
      <c r="AC1149" s="1" t="s">
        <v>277</v>
      </c>
      <c r="AD1149" t="s">
        <v>246</v>
      </c>
    </row>
    <row r="1150" spans="2:30" x14ac:dyDescent="0.25">
      <c r="B1150" s="1" t="s">
        <v>275</v>
      </c>
      <c r="C1150">
        <v>1149</v>
      </c>
      <c r="D1150" s="1" t="s">
        <v>80</v>
      </c>
      <c r="E1150" t="s">
        <v>116</v>
      </c>
      <c r="F1150" s="1" t="s">
        <v>318</v>
      </c>
      <c r="O1150" s="1" t="s">
        <v>386</v>
      </c>
      <c r="P1150" t="s">
        <v>108</v>
      </c>
      <c r="Q1150" s="1" t="s">
        <v>244</v>
      </c>
      <c r="R1150">
        <v>1</v>
      </c>
      <c r="S1150">
        <v>50</v>
      </c>
      <c r="T1150">
        <v>43</v>
      </c>
      <c r="U1150">
        <v>38</v>
      </c>
      <c r="AA1150">
        <v>300.000000892</v>
      </c>
      <c r="AB1150">
        <v>604587.49051399995</v>
      </c>
      <c r="AC1150" s="1" t="s">
        <v>277</v>
      </c>
      <c r="AD1150" t="s">
        <v>246</v>
      </c>
    </row>
    <row r="1151" spans="2:30" x14ac:dyDescent="0.25">
      <c r="B1151" s="1" t="s">
        <v>275</v>
      </c>
      <c r="C1151">
        <v>1150</v>
      </c>
      <c r="D1151" s="1" t="s">
        <v>80</v>
      </c>
      <c r="E1151" t="s">
        <v>116</v>
      </c>
      <c r="F1151" s="1" t="s">
        <v>318</v>
      </c>
      <c r="O1151" s="1" t="s">
        <v>394</v>
      </c>
      <c r="P1151" t="s">
        <v>108</v>
      </c>
      <c r="Q1151" s="1" t="s">
        <v>244</v>
      </c>
      <c r="R1151">
        <v>2</v>
      </c>
      <c r="S1151">
        <v>50</v>
      </c>
      <c r="T1151">
        <v>70</v>
      </c>
      <c r="U1151">
        <v>54</v>
      </c>
      <c r="AA1151">
        <v>745.89078242300002</v>
      </c>
      <c r="AB1151">
        <v>2319269.3566899998</v>
      </c>
      <c r="AC1151" s="1" t="s">
        <v>277</v>
      </c>
      <c r="AD1151" t="s">
        <v>246</v>
      </c>
    </row>
    <row r="1152" spans="2:30" x14ac:dyDescent="0.25">
      <c r="B1152" s="1" t="s">
        <v>275</v>
      </c>
      <c r="C1152">
        <v>1151</v>
      </c>
      <c r="D1152" s="1" t="s">
        <v>80</v>
      </c>
      <c r="E1152" t="s">
        <v>116</v>
      </c>
      <c r="F1152" s="1" t="s">
        <v>318</v>
      </c>
      <c r="O1152" s="1" t="s">
        <v>391</v>
      </c>
      <c r="P1152" t="s">
        <v>108</v>
      </c>
      <c r="Q1152" s="1" t="s">
        <v>244</v>
      </c>
      <c r="R1152">
        <v>1</v>
      </c>
      <c r="S1152">
        <v>50</v>
      </c>
      <c r="T1152">
        <v>80</v>
      </c>
      <c r="U1152">
        <v>80</v>
      </c>
      <c r="AA1152">
        <v>4041.07994061</v>
      </c>
      <c r="AB1152">
        <v>16164319.762399999</v>
      </c>
      <c r="AC1152" s="1" t="s">
        <v>277</v>
      </c>
      <c r="AD1152" t="s">
        <v>246</v>
      </c>
    </row>
    <row r="1153" spans="2:30" x14ac:dyDescent="0.25">
      <c r="B1153" s="1" t="s">
        <v>275</v>
      </c>
      <c r="C1153">
        <v>1152</v>
      </c>
      <c r="D1153" s="1" t="s">
        <v>80</v>
      </c>
      <c r="E1153" t="s">
        <v>116</v>
      </c>
      <c r="F1153" s="1" t="s">
        <v>318</v>
      </c>
      <c r="O1153" s="1" t="s">
        <v>389</v>
      </c>
      <c r="P1153" t="s">
        <v>108</v>
      </c>
      <c r="Q1153" s="1" t="s">
        <v>244</v>
      </c>
      <c r="R1153">
        <v>1</v>
      </c>
      <c r="S1153">
        <v>50</v>
      </c>
      <c r="T1153">
        <v>68</v>
      </c>
      <c r="U1153">
        <v>68</v>
      </c>
      <c r="AA1153">
        <v>4041.2153701699999</v>
      </c>
      <c r="AB1153">
        <v>13740132.2586</v>
      </c>
      <c r="AC1153" s="1" t="s">
        <v>277</v>
      </c>
      <c r="AD1153" t="s">
        <v>246</v>
      </c>
    </row>
    <row r="1154" spans="2:30" x14ac:dyDescent="0.25">
      <c r="B1154" s="1" t="s">
        <v>275</v>
      </c>
      <c r="C1154">
        <v>1153</v>
      </c>
      <c r="D1154" s="1" t="s">
        <v>80</v>
      </c>
      <c r="E1154" t="s">
        <v>116</v>
      </c>
      <c r="F1154" s="1" t="s">
        <v>318</v>
      </c>
      <c r="O1154" s="1" t="s">
        <v>388</v>
      </c>
      <c r="P1154" t="s">
        <v>108</v>
      </c>
      <c r="Q1154" s="1" t="s">
        <v>244</v>
      </c>
      <c r="R1154">
        <v>1</v>
      </c>
      <c r="S1154">
        <v>50</v>
      </c>
      <c r="T1154">
        <v>48</v>
      </c>
      <c r="U1154">
        <v>48</v>
      </c>
      <c r="AA1154">
        <v>4041.2153701699999</v>
      </c>
      <c r="AB1154">
        <v>9698916.8883999996</v>
      </c>
      <c r="AC1154" s="1" t="s">
        <v>277</v>
      </c>
      <c r="AD1154" t="s">
        <v>246</v>
      </c>
    </row>
    <row r="1155" spans="2:30" x14ac:dyDescent="0.25">
      <c r="B1155" s="1" t="s">
        <v>275</v>
      </c>
      <c r="C1155">
        <v>1154</v>
      </c>
      <c r="D1155" s="1" t="s">
        <v>80</v>
      </c>
      <c r="E1155" t="s">
        <v>116</v>
      </c>
      <c r="F1155" s="1" t="s">
        <v>318</v>
      </c>
      <c r="O1155" s="1" t="s">
        <v>390</v>
      </c>
      <c r="P1155" t="s">
        <v>108</v>
      </c>
      <c r="Q1155" s="1" t="s">
        <v>244</v>
      </c>
      <c r="R1155">
        <v>1</v>
      </c>
      <c r="S1155">
        <v>50</v>
      </c>
      <c r="T1155">
        <v>70</v>
      </c>
      <c r="U1155">
        <v>70</v>
      </c>
      <c r="AA1155">
        <v>3824.9940413200002</v>
      </c>
      <c r="AB1155">
        <v>13387479.1446</v>
      </c>
      <c r="AC1155" s="1" t="s">
        <v>277</v>
      </c>
      <c r="AD1155" t="s">
        <v>246</v>
      </c>
    </row>
    <row r="1156" spans="2:30" x14ac:dyDescent="0.25">
      <c r="B1156" s="1" t="s">
        <v>275</v>
      </c>
      <c r="C1156">
        <v>1155</v>
      </c>
      <c r="D1156" s="1" t="s">
        <v>80</v>
      </c>
      <c r="E1156" t="s">
        <v>116</v>
      </c>
      <c r="F1156" s="1" t="s">
        <v>318</v>
      </c>
      <c r="O1156" s="1" t="s">
        <v>385</v>
      </c>
      <c r="P1156" t="s">
        <v>108</v>
      </c>
      <c r="Q1156" s="1" t="s">
        <v>244</v>
      </c>
      <c r="R1156">
        <v>2</v>
      </c>
      <c r="S1156">
        <v>50</v>
      </c>
      <c r="T1156">
        <v>43</v>
      </c>
      <c r="U1156">
        <v>10</v>
      </c>
      <c r="AA1156">
        <v>306.21700789699997</v>
      </c>
      <c r="AB1156">
        <v>405737.53546300001</v>
      </c>
      <c r="AC1156" s="1" t="s">
        <v>277</v>
      </c>
      <c r="AD1156" t="s">
        <v>246</v>
      </c>
    </row>
    <row r="1157" spans="2:30" x14ac:dyDescent="0.25">
      <c r="B1157" s="1" t="s">
        <v>275</v>
      </c>
      <c r="C1157">
        <v>1156</v>
      </c>
      <c r="D1157" s="1" t="s">
        <v>80</v>
      </c>
      <c r="E1157" t="s">
        <v>116</v>
      </c>
      <c r="F1157" s="1" t="s">
        <v>318</v>
      </c>
      <c r="O1157" s="1" t="s">
        <v>395</v>
      </c>
      <c r="P1157" t="s">
        <v>108</v>
      </c>
      <c r="Q1157" s="1" t="s">
        <v>244</v>
      </c>
      <c r="R1157">
        <v>1</v>
      </c>
      <c r="S1157">
        <v>50</v>
      </c>
      <c r="T1157">
        <v>56</v>
      </c>
      <c r="U1157">
        <v>49</v>
      </c>
      <c r="AA1157">
        <v>328.79396548</v>
      </c>
      <c r="AB1157">
        <v>857970.70856299996</v>
      </c>
      <c r="AC1157" s="1" t="s">
        <v>277</v>
      </c>
      <c r="AD1157" t="s">
        <v>246</v>
      </c>
    </row>
    <row r="1158" spans="2:30" x14ac:dyDescent="0.25">
      <c r="B1158" s="1" t="s">
        <v>276</v>
      </c>
      <c r="C1158">
        <v>1157</v>
      </c>
      <c r="D1158" s="1" t="s">
        <v>80</v>
      </c>
      <c r="E1158" t="s">
        <v>116</v>
      </c>
      <c r="F1158" s="1" t="s">
        <v>322</v>
      </c>
      <c r="O1158" s="1" t="s">
        <v>398</v>
      </c>
      <c r="P1158" t="s">
        <v>108</v>
      </c>
      <c r="Q1158" s="1" t="s">
        <v>244</v>
      </c>
      <c r="R1158">
        <v>1</v>
      </c>
      <c r="S1158">
        <v>50</v>
      </c>
      <c r="T1158">
        <v>54</v>
      </c>
      <c r="U1158">
        <v>49</v>
      </c>
      <c r="AA1158">
        <v>279.43497125900001</v>
      </c>
      <c r="AB1158">
        <v>718834.60583799996</v>
      </c>
      <c r="AC1158" s="1" t="s">
        <v>277</v>
      </c>
      <c r="AD1158" t="s">
        <v>246</v>
      </c>
    </row>
    <row r="1159" spans="2:30" x14ac:dyDescent="0.25">
      <c r="B1159" s="1" t="s">
        <v>276</v>
      </c>
      <c r="C1159">
        <v>1158</v>
      </c>
      <c r="D1159" s="1" t="s">
        <v>80</v>
      </c>
      <c r="E1159" t="s">
        <v>116</v>
      </c>
      <c r="F1159" s="1" t="s">
        <v>322</v>
      </c>
      <c r="O1159" s="1" t="s">
        <v>381</v>
      </c>
      <c r="P1159" t="s">
        <v>108</v>
      </c>
      <c r="Q1159" s="1" t="s">
        <v>244</v>
      </c>
      <c r="R1159">
        <v>2</v>
      </c>
      <c r="S1159">
        <v>50</v>
      </c>
      <c r="T1159">
        <v>43</v>
      </c>
      <c r="U1159">
        <v>5</v>
      </c>
      <c r="AA1159">
        <v>3163.1110641499999</v>
      </c>
      <c r="AB1159">
        <v>3795733.2769800001</v>
      </c>
      <c r="AC1159" s="1" t="s">
        <v>277</v>
      </c>
      <c r="AD1159" t="s">
        <v>246</v>
      </c>
    </row>
    <row r="1160" spans="2:30" x14ac:dyDescent="0.25">
      <c r="B1160" s="1" t="s">
        <v>276</v>
      </c>
      <c r="C1160">
        <v>1159</v>
      </c>
      <c r="D1160" s="1" t="s">
        <v>80</v>
      </c>
      <c r="E1160" t="s">
        <v>116</v>
      </c>
      <c r="F1160" s="1" t="s">
        <v>322</v>
      </c>
      <c r="O1160" s="1" t="s">
        <v>387</v>
      </c>
      <c r="P1160" t="s">
        <v>108</v>
      </c>
      <c r="Q1160" s="1" t="s">
        <v>244</v>
      </c>
      <c r="R1160">
        <v>2</v>
      </c>
      <c r="S1160">
        <v>50</v>
      </c>
      <c r="T1160">
        <v>43</v>
      </c>
      <c r="U1160">
        <v>10</v>
      </c>
      <c r="AA1160">
        <v>506.21700789800002</v>
      </c>
      <c r="AB1160">
        <v>670737.53546499996</v>
      </c>
      <c r="AC1160" s="1" t="s">
        <v>277</v>
      </c>
      <c r="AD1160" t="s">
        <v>246</v>
      </c>
    </row>
    <row r="1161" spans="2:30" x14ac:dyDescent="0.25">
      <c r="B1161" s="1" t="s">
        <v>276</v>
      </c>
      <c r="C1161">
        <v>1160</v>
      </c>
      <c r="D1161" s="1" t="s">
        <v>80</v>
      </c>
      <c r="E1161" t="s">
        <v>116</v>
      </c>
      <c r="F1161" s="1" t="s">
        <v>322</v>
      </c>
      <c r="O1161" s="1" t="s">
        <v>320</v>
      </c>
      <c r="P1161" t="s">
        <v>108</v>
      </c>
      <c r="Q1161" s="1" t="s">
        <v>244</v>
      </c>
      <c r="R1161">
        <v>14</v>
      </c>
      <c r="S1161">
        <v>50</v>
      </c>
      <c r="T1161">
        <v>80</v>
      </c>
      <c r="U1161">
        <v>69</v>
      </c>
      <c r="AA1161">
        <v>534.56794977799996</v>
      </c>
      <c r="AB1161">
        <v>1988624.8156099999</v>
      </c>
      <c r="AC1161" s="1" t="s">
        <v>277</v>
      </c>
      <c r="AD1161" t="s">
        <v>246</v>
      </c>
    </row>
    <row r="1162" spans="2:30" x14ac:dyDescent="0.25">
      <c r="B1162" s="1" t="s">
        <v>276</v>
      </c>
      <c r="C1162">
        <v>1161</v>
      </c>
      <c r="D1162" s="1" t="s">
        <v>80</v>
      </c>
      <c r="E1162" t="s">
        <v>116</v>
      </c>
      <c r="F1162" s="1" t="s">
        <v>322</v>
      </c>
      <c r="O1162" s="1" t="s">
        <v>335</v>
      </c>
      <c r="P1162" t="s">
        <v>108</v>
      </c>
      <c r="Q1162" s="1" t="s">
        <v>244</v>
      </c>
      <c r="R1162">
        <v>11</v>
      </c>
      <c r="S1162">
        <v>50</v>
      </c>
      <c r="T1162">
        <v>70</v>
      </c>
      <c r="U1162">
        <v>49</v>
      </c>
      <c r="AA1162">
        <v>1025.3257529</v>
      </c>
      <c r="AB1162">
        <v>3038103.9604099998</v>
      </c>
      <c r="AC1162" s="1" t="s">
        <v>277</v>
      </c>
      <c r="AD1162" t="s">
        <v>246</v>
      </c>
    </row>
    <row r="1163" spans="2:30" x14ac:dyDescent="0.25">
      <c r="B1163" s="1" t="s">
        <v>276</v>
      </c>
      <c r="C1163">
        <v>1162</v>
      </c>
      <c r="D1163" s="1" t="s">
        <v>80</v>
      </c>
      <c r="E1163" t="s">
        <v>116</v>
      </c>
      <c r="F1163" s="1" t="s">
        <v>322</v>
      </c>
      <c r="O1163" s="1" t="s">
        <v>364</v>
      </c>
      <c r="P1163" t="s">
        <v>108</v>
      </c>
      <c r="Q1163" s="1" t="s">
        <v>244</v>
      </c>
      <c r="R1163">
        <v>1</v>
      </c>
      <c r="S1163">
        <v>50</v>
      </c>
      <c r="T1163">
        <v>43</v>
      </c>
      <c r="U1163">
        <v>40</v>
      </c>
      <c r="AA1163">
        <v>299.93190595999999</v>
      </c>
      <c r="AB1163">
        <v>620413.10899600002</v>
      </c>
      <c r="AC1163" s="1" t="s">
        <v>277</v>
      </c>
      <c r="AD1163" t="s">
        <v>246</v>
      </c>
    </row>
    <row r="1164" spans="2:30" x14ac:dyDescent="0.25">
      <c r="B1164" s="1" t="s">
        <v>276</v>
      </c>
      <c r="C1164">
        <v>1163</v>
      </c>
      <c r="D1164" s="1" t="s">
        <v>80</v>
      </c>
      <c r="E1164" t="s">
        <v>116</v>
      </c>
      <c r="F1164" s="1" t="s">
        <v>322</v>
      </c>
      <c r="O1164" s="1" t="s">
        <v>394</v>
      </c>
      <c r="P1164" t="s">
        <v>108</v>
      </c>
      <c r="Q1164" s="1" t="s">
        <v>244</v>
      </c>
      <c r="R1164">
        <v>2</v>
      </c>
      <c r="S1164">
        <v>50</v>
      </c>
      <c r="T1164">
        <v>70</v>
      </c>
      <c r="U1164">
        <v>54</v>
      </c>
      <c r="AA1164">
        <v>745.89078242200003</v>
      </c>
      <c r="AB1164">
        <v>2319269.3566800002</v>
      </c>
      <c r="AC1164" s="1" t="s">
        <v>277</v>
      </c>
      <c r="AD1164" t="s">
        <v>246</v>
      </c>
    </row>
    <row r="1165" spans="2:30" x14ac:dyDescent="0.25">
      <c r="B1165" s="1" t="s">
        <v>276</v>
      </c>
      <c r="C1165">
        <v>1164</v>
      </c>
      <c r="D1165" s="1" t="s">
        <v>80</v>
      </c>
      <c r="E1165" t="s">
        <v>116</v>
      </c>
      <c r="F1165" s="1" t="s">
        <v>322</v>
      </c>
      <c r="O1165" s="1" t="s">
        <v>396</v>
      </c>
      <c r="P1165" t="s">
        <v>108</v>
      </c>
      <c r="Q1165" s="1" t="s">
        <v>244</v>
      </c>
      <c r="R1165">
        <v>1</v>
      </c>
      <c r="S1165">
        <v>50</v>
      </c>
      <c r="T1165">
        <v>56</v>
      </c>
      <c r="U1165">
        <v>49</v>
      </c>
      <c r="AA1165">
        <v>339.43242982700002</v>
      </c>
      <c r="AB1165">
        <v>883840.21402800002</v>
      </c>
      <c r="AC1165" s="1" t="s">
        <v>277</v>
      </c>
      <c r="AD1165" t="s">
        <v>246</v>
      </c>
    </row>
    <row r="1166" spans="2:30" x14ac:dyDescent="0.25">
      <c r="B1166" s="1" t="s">
        <v>276</v>
      </c>
      <c r="C1166">
        <v>1165</v>
      </c>
      <c r="D1166" s="1" t="s">
        <v>80</v>
      </c>
      <c r="E1166" t="s">
        <v>116</v>
      </c>
      <c r="F1166" s="1" t="s">
        <v>322</v>
      </c>
      <c r="O1166" s="1" t="s">
        <v>391</v>
      </c>
      <c r="P1166" t="s">
        <v>108</v>
      </c>
      <c r="Q1166" s="1" t="s">
        <v>244</v>
      </c>
      <c r="R1166">
        <v>1</v>
      </c>
      <c r="S1166">
        <v>50</v>
      </c>
      <c r="T1166">
        <v>80</v>
      </c>
      <c r="U1166">
        <v>80</v>
      </c>
      <c r="AA1166">
        <v>4041.07994061</v>
      </c>
      <c r="AB1166">
        <v>16164319.762399999</v>
      </c>
      <c r="AC1166" s="1" t="s">
        <v>277</v>
      </c>
      <c r="AD1166" t="s">
        <v>246</v>
      </c>
    </row>
    <row r="1167" spans="2:30" x14ac:dyDescent="0.25">
      <c r="B1167" s="1" t="s">
        <v>276</v>
      </c>
      <c r="C1167">
        <v>1166</v>
      </c>
      <c r="D1167" s="1" t="s">
        <v>80</v>
      </c>
      <c r="E1167" t="s">
        <v>116</v>
      </c>
      <c r="F1167" s="1" t="s">
        <v>322</v>
      </c>
      <c r="O1167" s="1" t="s">
        <v>389</v>
      </c>
      <c r="P1167" t="s">
        <v>108</v>
      </c>
      <c r="Q1167" s="1" t="s">
        <v>244</v>
      </c>
      <c r="R1167">
        <v>1</v>
      </c>
      <c r="S1167">
        <v>50</v>
      </c>
      <c r="T1167">
        <v>68</v>
      </c>
      <c r="U1167">
        <v>68</v>
      </c>
      <c r="AA1167">
        <v>4041.2153701699999</v>
      </c>
      <c r="AB1167">
        <v>13740132.2586</v>
      </c>
      <c r="AC1167" s="1" t="s">
        <v>277</v>
      </c>
      <c r="AD1167" t="s">
        <v>246</v>
      </c>
    </row>
    <row r="1168" spans="2:30" x14ac:dyDescent="0.25">
      <c r="B1168" s="1" t="s">
        <v>276</v>
      </c>
      <c r="C1168">
        <v>1167</v>
      </c>
      <c r="D1168" s="1" t="s">
        <v>80</v>
      </c>
      <c r="E1168" t="s">
        <v>116</v>
      </c>
      <c r="F1168" s="1" t="s">
        <v>322</v>
      </c>
      <c r="O1168" s="1" t="s">
        <v>388</v>
      </c>
      <c r="P1168" t="s">
        <v>108</v>
      </c>
      <c r="Q1168" s="1" t="s">
        <v>244</v>
      </c>
      <c r="R1168">
        <v>1</v>
      </c>
      <c r="S1168">
        <v>50</v>
      </c>
      <c r="T1168">
        <v>48</v>
      </c>
      <c r="U1168">
        <v>48</v>
      </c>
      <c r="AA1168">
        <v>4041.2153701699999</v>
      </c>
      <c r="AB1168">
        <v>9698916.8883999996</v>
      </c>
      <c r="AC1168" s="1" t="s">
        <v>277</v>
      </c>
      <c r="AD1168" t="s">
        <v>246</v>
      </c>
    </row>
    <row r="1169" spans="2:30" x14ac:dyDescent="0.25">
      <c r="B1169" s="1" t="s">
        <v>276</v>
      </c>
      <c r="C1169">
        <v>1168</v>
      </c>
      <c r="D1169" s="1" t="s">
        <v>80</v>
      </c>
      <c r="E1169" t="s">
        <v>116</v>
      </c>
      <c r="F1169" s="1" t="s">
        <v>322</v>
      </c>
      <c r="O1169" s="1" t="s">
        <v>390</v>
      </c>
      <c r="P1169" t="s">
        <v>108</v>
      </c>
      <c r="Q1169" s="1" t="s">
        <v>244</v>
      </c>
      <c r="R1169">
        <v>1</v>
      </c>
      <c r="S1169">
        <v>50</v>
      </c>
      <c r="T1169">
        <v>70</v>
      </c>
      <c r="U1169">
        <v>70</v>
      </c>
      <c r="AA1169">
        <v>3824.9940413200002</v>
      </c>
      <c r="AB1169">
        <v>13387479.1446</v>
      </c>
      <c r="AC1169" s="1" t="s">
        <v>277</v>
      </c>
      <c r="AD1169" t="s">
        <v>246</v>
      </c>
    </row>
    <row r="1170" spans="2:30" x14ac:dyDescent="0.25">
      <c r="B1170" s="1" t="s">
        <v>278</v>
      </c>
      <c r="C1170">
        <v>1169</v>
      </c>
      <c r="D1170" s="1" t="s">
        <v>81</v>
      </c>
      <c r="E1170" t="s">
        <v>116</v>
      </c>
      <c r="F1170" s="1" t="s">
        <v>415</v>
      </c>
      <c r="G1170">
        <v>3290</v>
      </c>
      <c r="H1170">
        <v>497</v>
      </c>
      <c r="I1170">
        <v>3290</v>
      </c>
      <c r="L1170">
        <v>2723</v>
      </c>
      <c r="M1170">
        <v>2746</v>
      </c>
      <c r="N1170">
        <v>9.033766357942195</v>
      </c>
      <c r="O1170" s="1"/>
      <c r="Q1170" s="1"/>
      <c r="AC1170" s="1"/>
    </row>
    <row r="1171" spans="2:30" x14ac:dyDescent="0.25">
      <c r="B1171" s="1" t="s">
        <v>279</v>
      </c>
      <c r="C1171">
        <v>1170</v>
      </c>
      <c r="D1171" s="1" t="s">
        <v>81</v>
      </c>
      <c r="E1171" t="s">
        <v>116</v>
      </c>
      <c r="F1171" s="1" t="s">
        <v>415</v>
      </c>
      <c r="G1171">
        <v>3290</v>
      </c>
      <c r="H1171">
        <v>497</v>
      </c>
      <c r="I1171">
        <v>3290</v>
      </c>
      <c r="L1171">
        <v>2723</v>
      </c>
      <c r="M1171">
        <v>2746</v>
      </c>
      <c r="N1171">
        <v>9.0336339929461804</v>
      </c>
      <c r="O1171" s="1"/>
      <c r="Q1171" s="1"/>
      <c r="AC1171" s="1"/>
    </row>
    <row r="1172" spans="2:30" x14ac:dyDescent="0.25">
      <c r="B1172" s="1" t="s">
        <v>280</v>
      </c>
      <c r="C1172">
        <v>1171</v>
      </c>
      <c r="D1172" s="1" t="s">
        <v>81</v>
      </c>
      <c r="E1172" t="s">
        <v>116</v>
      </c>
      <c r="F1172" s="1" t="s">
        <v>415</v>
      </c>
      <c r="G1172">
        <v>3167</v>
      </c>
      <c r="H1172">
        <v>497</v>
      </c>
      <c r="I1172">
        <v>3167</v>
      </c>
      <c r="L1172">
        <v>2223</v>
      </c>
      <c r="M1172">
        <v>2246</v>
      </c>
      <c r="N1172">
        <v>7.1129197639535002</v>
      </c>
      <c r="O1172" s="1"/>
      <c r="Q1172" s="1"/>
      <c r="AC1172" s="1"/>
    </row>
    <row r="1173" spans="2:30" x14ac:dyDescent="0.25">
      <c r="B1173" s="1" t="s">
        <v>281</v>
      </c>
      <c r="C1173">
        <v>1172</v>
      </c>
      <c r="D1173" s="1" t="s">
        <v>81</v>
      </c>
      <c r="E1173" t="s">
        <v>116</v>
      </c>
      <c r="F1173" s="1" t="s">
        <v>415</v>
      </c>
      <c r="G1173">
        <v>3098</v>
      </c>
      <c r="H1173">
        <v>497</v>
      </c>
      <c r="I1173">
        <v>3098</v>
      </c>
      <c r="L1173">
        <v>2223</v>
      </c>
      <c r="M1173">
        <v>2246</v>
      </c>
      <c r="N1173">
        <v>6.9578557096565543</v>
      </c>
      <c r="O1173" s="1"/>
      <c r="Q1173" s="1"/>
      <c r="AC1173" s="1"/>
    </row>
    <row r="1174" spans="2:30" x14ac:dyDescent="0.25">
      <c r="B1174" s="1" t="s">
        <v>282</v>
      </c>
      <c r="C1174">
        <v>1173</v>
      </c>
      <c r="D1174" s="1" t="s">
        <v>81</v>
      </c>
      <c r="E1174" t="s">
        <v>116</v>
      </c>
      <c r="F1174" s="1" t="s">
        <v>416</v>
      </c>
      <c r="G1174">
        <v>3290</v>
      </c>
      <c r="H1174">
        <v>497</v>
      </c>
      <c r="I1174">
        <v>3290</v>
      </c>
      <c r="L1174">
        <v>2723</v>
      </c>
      <c r="M1174">
        <v>2746</v>
      </c>
      <c r="N1174">
        <v>9.033766357942195</v>
      </c>
      <c r="O1174" s="1"/>
      <c r="Q1174" s="1"/>
      <c r="AC1174" s="1"/>
    </row>
    <row r="1175" spans="2:30" x14ac:dyDescent="0.25">
      <c r="B1175" s="1" t="s">
        <v>283</v>
      </c>
      <c r="C1175">
        <v>1174</v>
      </c>
      <c r="D1175" s="1" t="s">
        <v>81</v>
      </c>
      <c r="E1175" t="s">
        <v>116</v>
      </c>
      <c r="F1175" s="1" t="s">
        <v>416</v>
      </c>
      <c r="G1175">
        <v>3290</v>
      </c>
      <c r="H1175">
        <v>497</v>
      </c>
      <c r="I1175">
        <v>3290</v>
      </c>
      <c r="L1175">
        <v>2723</v>
      </c>
      <c r="M1175">
        <v>2746</v>
      </c>
      <c r="N1175">
        <v>9.0335803224311899</v>
      </c>
      <c r="O1175" s="1"/>
      <c r="Q1175" s="1"/>
      <c r="AC1175" s="1"/>
    </row>
    <row r="1176" spans="2:30" x14ac:dyDescent="0.25">
      <c r="B1176" s="1" t="s">
        <v>284</v>
      </c>
      <c r="C1176">
        <v>1175</v>
      </c>
      <c r="D1176" s="1" t="s">
        <v>81</v>
      </c>
      <c r="E1176" t="s">
        <v>116</v>
      </c>
      <c r="F1176" s="1" t="s">
        <v>416</v>
      </c>
      <c r="G1176">
        <v>3167</v>
      </c>
      <c r="H1176">
        <v>497</v>
      </c>
      <c r="I1176">
        <v>3167</v>
      </c>
      <c r="L1176">
        <v>2223</v>
      </c>
      <c r="M1176">
        <v>2246</v>
      </c>
      <c r="N1176">
        <v>7.1129417293771624</v>
      </c>
      <c r="O1176" s="1"/>
      <c r="Q1176" s="1"/>
      <c r="AC1176" s="1"/>
    </row>
    <row r="1177" spans="2:30" x14ac:dyDescent="0.25">
      <c r="B1177" s="1" t="s">
        <v>285</v>
      </c>
      <c r="C1177">
        <v>1176</v>
      </c>
      <c r="D1177" s="1" t="s">
        <v>81</v>
      </c>
      <c r="E1177" t="s">
        <v>116</v>
      </c>
      <c r="F1177" s="1" t="s">
        <v>416</v>
      </c>
      <c r="G1177">
        <v>3098</v>
      </c>
      <c r="H1177">
        <v>497</v>
      </c>
      <c r="I1177">
        <v>3098</v>
      </c>
      <c r="L1177">
        <v>2223</v>
      </c>
      <c r="M1177">
        <v>2246</v>
      </c>
      <c r="N1177">
        <v>6.957855878603354</v>
      </c>
      <c r="O1177" s="1"/>
      <c r="Q1177" s="1"/>
      <c r="AC1177" s="1"/>
    </row>
    <row r="1178" spans="2:30" x14ac:dyDescent="0.25">
      <c r="B1178" s="1" t="s">
        <v>286</v>
      </c>
      <c r="C1178">
        <v>1177</v>
      </c>
      <c r="D1178" s="1" t="s">
        <v>81</v>
      </c>
      <c r="E1178" t="s">
        <v>116</v>
      </c>
      <c r="F1178" s="1" t="s">
        <v>417</v>
      </c>
      <c r="G1178">
        <v>3290</v>
      </c>
      <c r="H1178">
        <v>497</v>
      </c>
      <c r="I1178">
        <v>3290</v>
      </c>
      <c r="L1178">
        <v>2723</v>
      </c>
      <c r="M1178">
        <v>2746</v>
      </c>
      <c r="N1178">
        <v>9.033766357942195</v>
      </c>
      <c r="O1178" s="1"/>
      <c r="Q1178" s="1"/>
      <c r="AC1178" s="1"/>
    </row>
    <row r="1179" spans="2:30" x14ac:dyDescent="0.25">
      <c r="B1179" s="1" t="s">
        <v>287</v>
      </c>
      <c r="C1179">
        <v>1178</v>
      </c>
      <c r="D1179" s="1" t="s">
        <v>81</v>
      </c>
      <c r="E1179" t="s">
        <v>116</v>
      </c>
      <c r="F1179" s="1" t="s">
        <v>417</v>
      </c>
      <c r="G1179">
        <v>3290</v>
      </c>
      <c r="H1179">
        <v>497</v>
      </c>
      <c r="I1179">
        <v>3290</v>
      </c>
      <c r="L1179">
        <v>2723</v>
      </c>
      <c r="M1179">
        <v>2746</v>
      </c>
      <c r="N1179">
        <v>9.0336071477751556</v>
      </c>
      <c r="O1179" s="1"/>
      <c r="Q1179" s="1"/>
      <c r="AC1179" s="1"/>
    </row>
    <row r="1180" spans="2:30" x14ac:dyDescent="0.25">
      <c r="B1180" s="1" t="s">
        <v>288</v>
      </c>
      <c r="C1180">
        <v>1179</v>
      </c>
      <c r="D1180" s="1" t="s">
        <v>81</v>
      </c>
      <c r="E1180" t="s">
        <v>116</v>
      </c>
      <c r="F1180" s="1" t="s">
        <v>417</v>
      </c>
      <c r="G1180">
        <v>3167</v>
      </c>
      <c r="H1180">
        <v>497</v>
      </c>
      <c r="I1180">
        <v>3167</v>
      </c>
      <c r="L1180">
        <v>2223</v>
      </c>
      <c r="M1180">
        <v>2246</v>
      </c>
      <c r="N1180">
        <v>7.1129417293771624</v>
      </c>
      <c r="O1180" s="1"/>
      <c r="Q1180" s="1"/>
      <c r="AC1180" s="1"/>
    </row>
    <row r="1181" spans="2:30" x14ac:dyDescent="0.25">
      <c r="B1181" s="1" t="s">
        <v>289</v>
      </c>
      <c r="C1181">
        <v>1180</v>
      </c>
      <c r="D1181" s="1" t="s">
        <v>81</v>
      </c>
      <c r="E1181" t="s">
        <v>116</v>
      </c>
      <c r="F1181" s="1" t="s">
        <v>417</v>
      </c>
      <c r="G1181">
        <v>3098</v>
      </c>
      <c r="H1181">
        <v>497</v>
      </c>
      <c r="I1181">
        <v>3098</v>
      </c>
      <c r="L1181">
        <v>2248</v>
      </c>
      <c r="M1181">
        <v>2271</v>
      </c>
      <c r="N1181">
        <v>7.0353845299901421</v>
      </c>
      <c r="O1181" s="1"/>
      <c r="Q1181" s="1"/>
      <c r="AC1181" s="1"/>
    </row>
    <row r="1182" spans="2:30" x14ac:dyDescent="0.25">
      <c r="B1182" s="1" t="s">
        <v>290</v>
      </c>
      <c r="C1182">
        <v>1181</v>
      </c>
      <c r="D1182" s="1" t="s">
        <v>81</v>
      </c>
      <c r="E1182" t="s">
        <v>152</v>
      </c>
      <c r="F1182" s="1" t="s">
        <v>415</v>
      </c>
      <c r="G1182">
        <v>2940</v>
      </c>
      <c r="H1182">
        <v>91</v>
      </c>
      <c r="I1182">
        <v>2940</v>
      </c>
      <c r="L1182">
        <v>1751</v>
      </c>
      <c r="M1182">
        <v>1751</v>
      </c>
      <c r="N1182">
        <v>5.1462936234245333</v>
      </c>
      <c r="O1182" s="1"/>
      <c r="Q1182" s="1"/>
      <c r="AC1182" s="1"/>
    </row>
    <row r="1183" spans="2:30" x14ac:dyDescent="0.25">
      <c r="B1183" s="1" t="s">
        <v>291</v>
      </c>
      <c r="C1183">
        <v>1182</v>
      </c>
      <c r="D1183" s="1" t="s">
        <v>81</v>
      </c>
      <c r="E1183" t="s">
        <v>152</v>
      </c>
      <c r="F1183" s="1" t="s">
        <v>415</v>
      </c>
      <c r="G1183">
        <v>2794</v>
      </c>
      <c r="H1183">
        <v>86</v>
      </c>
      <c r="I1183">
        <v>2880</v>
      </c>
      <c r="L1183">
        <v>1047</v>
      </c>
      <c r="M1183">
        <v>1076</v>
      </c>
      <c r="N1183">
        <v>3.0995310315937634</v>
      </c>
      <c r="O1183" s="1"/>
      <c r="Q1183" s="1"/>
      <c r="AC1183" s="1"/>
    </row>
    <row r="1184" spans="2:30" x14ac:dyDescent="0.25">
      <c r="B1184" s="1" t="s">
        <v>292</v>
      </c>
      <c r="C1184">
        <v>1183</v>
      </c>
      <c r="D1184" s="1" t="s">
        <v>81</v>
      </c>
      <c r="E1184" t="s">
        <v>152</v>
      </c>
      <c r="F1184" s="1" t="s">
        <v>415</v>
      </c>
      <c r="G1184">
        <v>2688</v>
      </c>
      <c r="H1184">
        <v>92</v>
      </c>
      <c r="I1184">
        <v>2912</v>
      </c>
      <c r="L1184">
        <v>1751</v>
      </c>
      <c r="M1184">
        <v>1751</v>
      </c>
      <c r="N1184">
        <v>5.0975003579998059</v>
      </c>
      <c r="O1184" s="1"/>
      <c r="Q1184" s="1"/>
      <c r="AC1184" s="1"/>
    </row>
    <row r="1185" spans="2:29" x14ac:dyDescent="0.25">
      <c r="B1185" s="1" t="s">
        <v>293</v>
      </c>
      <c r="C1185">
        <v>1184</v>
      </c>
      <c r="D1185" s="1" t="s">
        <v>81</v>
      </c>
      <c r="E1185" t="s">
        <v>152</v>
      </c>
      <c r="F1185" s="1" t="s">
        <v>415</v>
      </c>
      <c r="G1185">
        <v>2688</v>
      </c>
      <c r="H1185">
        <v>86</v>
      </c>
      <c r="I1185">
        <v>2880</v>
      </c>
      <c r="L1185">
        <v>1047</v>
      </c>
      <c r="M1185">
        <v>1076</v>
      </c>
      <c r="N1185">
        <v>3.0993559185266344</v>
      </c>
      <c r="O1185" s="1"/>
      <c r="Q1185" s="1"/>
      <c r="AC1185" s="1"/>
    </row>
    <row r="1186" spans="2:29" x14ac:dyDescent="0.25">
      <c r="B1186" s="1" t="s">
        <v>294</v>
      </c>
      <c r="C1186">
        <v>1185</v>
      </c>
      <c r="D1186" s="1" t="s">
        <v>81</v>
      </c>
      <c r="E1186" t="s">
        <v>152</v>
      </c>
      <c r="F1186" s="1" t="s">
        <v>415</v>
      </c>
      <c r="G1186">
        <v>2839</v>
      </c>
      <c r="H1186">
        <v>87</v>
      </c>
      <c r="I1186">
        <v>2839</v>
      </c>
      <c r="L1186">
        <v>887</v>
      </c>
      <c r="M1186">
        <v>956</v>
      </c>
      <c r="N1186">
        <v>2.7135464434852441</v>
      </c>
      <c r="O1186" s="1"/>
      <c r="Q1186" s="1"/>
      <c r="AC1186" s="1"/>
    </row>
    <row r="1187" spans="2:29" x14ac:dyDescent="0.25">
      <c r="B1187" s="1" t="s">
        <v>295</v>
      </c>
      <c r="C1187">
        <v>1186</v>
      </c>
      <c r="D1187" s="1" t="s">
        <v>81</v>
      </c>
      <c r="E1187" t="s">
        <v>152</v>
      </c>
      <c r="F1187" s="1" t="s">
        <v>415</v>
      </c>
      <c r="G1187">
        <v>2839</v>
      </c>
      <c r="H1187">
        <v>88</v>
      </c>
      <c r="I1187">
        <v>2839</v>
      </c>
      <c r="L1187">
        <v>1406</v>
      </c>
      <c r="M1187">
        <v>1416</v>
      </c>
      <c r="N1187">
        <v>4.0211415230705203</v>
      </c>
      <c r="O1187" s="1"/>
      <c r="Q1187" s="1"/>
      <c r="AC1187" s="1"/>
    </row>
    <row r="1188" spans="2:29" x14ac:dyDescent="0.25">
      <c r="B1188" s="1" t="s">
        <v>296</v>
      </c>
      <c r="C1188">
        <v>1187</v>
      </c>
      <c r="D1188" s="1" t="s">
        <v>81</v>
      </c>
      <c r="E1188" t="s">
        <v>152</v>
      </c>
      <c r="F1188" s="1" t="s">
        <v>415</v>
      </c>
      <c r="G1188">
        <v>2668</v>
      </c>
      <c r="H1188">
        <v>88</v>
      </c>
      <c r="I1188">
        <v>2668</v>
      </c>
      <c r="L1188">
        <v>939</v>
      </c>
      <c r="M1188">
        <v>956</v>
      </c>
      <c r="N1188">
        <v>2.5501551575791486</v>
      </c>
      <c r="O1188" s="1"/>
      <c r="Q1188" s="1"/>
      <c r="AC1188" s="1"/>
    </row>
    <row r="1189" spans="2:29" x14ac:dyDescent="0.25">
      <c r="B1189" s="1" t="s">
        <v>297</v>
      </c>
      <c r="C1189">
        <v>1188</v>
      </c>
      <c r="D1189" s="1" t="s">
        <v>81</v>
      </c>
      <c r="E1189" t="s">
        <v>152</v>
      </c>
      <c r="F1189" s="1" t="s">
        <v>415</v>
      </c>
      <c r="G1189">
        <v>2668</v>
      </c>
      <c r="H1189">
        <v>88</v>
      </c>
      <c r="I1189">
        <v>2668</v>
      </c>
      <c r="L1189">
        <v>1354</v>
      </c>
      <c r="M1189">
        <v>1364</v>
      </c>
      <c r="N1189">
        <v>3.6399489683665176</v>
      </c>
      <c r="O1189" s="1"/>
      <c r="Q1189" s="1"/>
      <c r="AC1189" s="1"/>
    </row>
    <row r="1190" spans="2:29" x14ac:dyDescent="0.25">
      <c r="B1190" s="1" t="s">
        <v>298</v>
      </c>
      <c r="C1190">
        <v>1189</v>
      </c>
      <c r="D1190" s="1" t="s">
        <v>81</v>
      </c>
      <c r="E1190" t="s">
        <v>152</v>
      </c>
      <c r="F1190" s="1" t="s">
        <v>416</v>
      </c>
      <c r="G1190">
        <v>2940</v>
      </c>
      <c r="H1190">
        <v>91</v>
      </c>
      <c r="I1190">
        <v>2940</v>
      </c>
      <c r="L1190">
        <v>1651</v>
      </c>
      <c r="M1190">
        <v>1651</v>
      </c>
      <c r="N1190">
        <v>4.852315449361047</v>
      </c>
      <c r="O1190" s="1"/>
      <c r="Q1190" s="1"/>
      <c r="AC1190" s="1"/>
    </row>
    <row r="1191" spans="2:29" x14ac:dyDescent="0.25">
      <c r="B1191" s="1" t="s">
        <v>299</v>
      </c>
      <c r="C1191">
        <v>1190</v>
      </c>
      <c r="D1191" s="1" t="s">
        <v>81</v>
      </c>
      <c r="E1191" t="s">
        <v>152</v>
      </c>
      <c r="F1191" s="1" t="s">
        <v>416</v>
      </c>
      <c r="G1191">
        <v>2794</v>
      </c>
      <c r="H1191">
        <v>89</v>
      </c>
      <c r="I1191">
        <v>2880</v>
      </c>
      <c r="L1191">
        <v>1147</v>
      </c>
      <c r="M1191">
        <v>1200</v>
      </c>
      <c r="N1191">
        <v>3.4567101871536083</v>
      </c>
      <c r="O1191" s="1"/>
      <c r="Q1191" s="1"/>
      <c r="AC1191" s="1"/>
    </row>
    <row r="1192" spans="2:29" x14ac:dyDescent="0.25">
      <c r="B1192" s="1" t="s">
        <v>300</v>
      </c>
      <c r="C1192">
        <v>1191</v>
      </c>
      <c r="D1192" s="1" t="s">
        <v>81</v>
      </c>
      <c r="E1192" t="s">
        <v>152</v>
      </c>
      <c r="F1192" s="1" t="s">
        <v>416</v>
      </c>
      <c r="G1192">
        <v>2940</v>
      </c>
      <c r="H1192">
        <v>92</v>
      </c>
      <c r="I1192">
        <v>2940</v>
      </c>
      <c r="L1192">
        <v>1651</v>
      </c>
      <c r="M1192">
        <v>1651</v>
      </c>
      <c r="N1192">
        <v>4.8526926306033813</v>
      </c>
      <c r="O1192" s="1"/>
      <c r="Q1192" s="1"/>
      <c r="AC1192" s="1"/>
    </row>
    <row r="1193" spans="2:29" x14ac:dyDescent="0.25">
      <c r="B1193" s="1" t="s">
        <v>301</v>
      </c>
      <c r="C1193">
        <v>1192</v>
      </c>
      <c r="D1193" s="1" t="s">
        <v>81</v>
      </c>
      <c r="E1193" t="s">
        <v>152</v>
      </c>
      <c r="F1193" s="1" t="s">
        <v>416</v>
      </c>
      <c r="G1193">
        <v>2794</v>
      </c>
      <c r="H1193">
        <v>89</v>
      </c>
      <c r="I1193">
        <v>2880</v>
      </c>
      <c r="L1193">
        <v>1147</v>
      </c>
      <c r="M1193">
        <v>1200</v>
      </c>
      <c r="N1193">
        <v>3.4567101844174704</v>
      </c>
      <c r="O1193" s="1"/>
      <c r="Q1193" s="1"/>
      <c r="AC1193" s="1"/>
    </row>
    <row r="1194" spans="2:29" x14ac:dyDescent="0.25">
      <c r="B1194" s="1" t="s">
        <v>302</v>
      </c>
      <c r="C1194">
        <v>1193</v>
      </c>
      <c r="D1194" s="1" t="s">
        <v>81</v>
      </c>
      <c r="E1194" t="s">
        <v>152</v>
      </c>
      <c r="F1194" s="1" t="s">
        <v>416</v>
      </c>
      <c r="G1194">
        <v>2839</v>
      </c>
      <c r="H1194">
        <v>87</v>
      </c>
      <c r="I1194">
        <v>2839</v>
      </c>
      <c r="L1194">
        <v>889</v>
      </c>
      <c r="M1194">
        <v>889</v>
      </c>
      <c r="N1194">
        <v>2.5240440645856093</v>
      </c>
      <c r="O1194" s="1"/>
      <c r="Q1194" s="1"/>
      <c r="AC1194" s="1"/>
    </row>
    <row r="1195" spans="2:29" x14ac:dyDescent="0.25">
      <c r="B1195" s="1" t="s">
        <v>303</v>
      </c>
      <c r="C1195">
        <v>1194</v>
      </c>
      <c r="D1195" s="1" t="s">
        <v>81</v>
      </c>
      <c r="E1195" t="s">
        <v>152</v>
      </c>
      <c r="F1195" s="1" t="s">
        <v>416</v>
      </c>
      <c r="G1195">
        <v>2839</v>
      </c>
      <c r="H1195">
        <v>88</v>
      </c>
      <c r="I1195">
        <v>2839</v>
      </c>
      <c r="L1195">
        <v>1404</v>
      </c>
      <c r="M1195">
        <v>1472</v>
      </c>
      <c r="N1195">
        <v>4.1777424095492206</v>
      </c>
      <c r="O1195" s="1"/>
      <c r="Q1195" s="1"/>
      <c r="AC1195" s="1"/>
    </row>
    <row r="1196" spans="2:29" x14ac:dyDescent="0.25">
      <c r="B1196" s="1" t="s">
        <v>304</v>
      </c>
      <c r="C1196">
        <v>1195</v>
      </c>
      <c r="D1196" s="1" t="s">
        <v>81</v>
      </c>
      <c r="E1196" t="s">
        <v>152</v>
      </c>
      <c r="F1196" s="1" t="s">
        <v>416</v>
      </c>
      <c r="G1196">
        <v>2668</v>
      </c>
      <c r="H1196">
        <v>88</v>
      </c>
      <c r="I1196">
        <v>2668</v>
      </c>
      <c r="L1196">
        <v>989</v>
      </c>
      <c r="M1196">
        <v>1080</v>
      </c>
      <c r="N1196">
        <v>2.8809967167753969</v>
      </c>
      <c r="O1196" s="1"/>
      <c r="Q1196" s="1"/>
      <c r="AC1196" s="1"/>
    </row>
    <row r="1197" spans="2:29" x14ac:dyDescent="0.25">
      <c r="B1197" s="1" t="s">
        <v>305</v>
      </c>
      <c r="C1197">
        <v>1196</v>
      </c>
      <c r="D1197" s="1" t="s">
        <v>81</v>
      </c>
      <c r="E1197" t="s">
        <v>152</v>
      </c>
      <c r="F1197" s="1" t="s">
        <v>416</v>
      </c>
      <c r="G1197">
        <v>2668</v>
      </c>
      <c r="H1197">
        <v>88</v>
      </c>
      <c r="I1197">
        <v>2668</v>
      </c>
      <c r="L1197">
        <v>1304</v>
      </c>
      <c r="M1197">
        <v>1314</v>
      </c>
      <c r="N1197">
        <v>3.5065465328691858</v>
      </c>
      <c r="O1197" s="1"/>
      <c r="Q1197" s="1"/>
      <c r="AC1197" s="1"/>
    </row>
    <row r="1198" spans="2:29" x14ac:dyDescent="0.25">
      <c r="B1198" s="1" t="s">
        <v>306</v>
      </c>
      <c r="C1198">
        <v>1197</v>
      </c>
      <c r="D1198" s="1" t="s">
        <v>81</v>
      </c>
      <c r="E1198" t="s">
        <v>152</v>
      </c>
      <c r="F1198" s="1" t="s">
        <v>417</v>
      </c>
      <c r="G1198">
        <v>2940</v>
      </c>
      <c r="H1198">
        <v>91</v>
      </c>
      <c r="I1198">
        <v>2940</v>
      </c>
      <c r="L1198">
        <v>1851</v>
      </c>
      <c r="M1198">
        <v>1851</v>
      </c>
      <c r="N1198">
        <v>5.4402730492468931</v>
      </c>
      <c r="O1198" s="1"/>
      <c r="Q1198" s="1"/>
      <c r="AC1198" s="1"/>
    </row>
    <row r="1199" spans="2:29" x14ac:dyDescent="0.25">
      <c r="B1199" s="1" t="s">
        <v>307</v>
      </c>
      <c r="C1199">
        <v>1198</v>
      </c>
      <c r="D1199" s="1" t="s">
        <v>81</v>
      </c>
      <c r="E1199" t="s">
        <v>152</v>
      </c>
      <c r="F1199" s="1" t="s">
        <v>417</v>
      </c>
      <c r="G1199">
        <v>2794</v>
      </c>
      <c r="H1199">
        <v>83</v>
      </c>
      <c r="I1199">
        <v>2880</v>
      </c>
      <c r="L1199">
        <v>947</v>
      </c>
      <c r="M1199">
        <v>1076</v>
      </c>
      <c r="N1199">
        <v>3.0995310315937634</v>
      </c>
      <c r="O1199" s="1"/>
      <c r="Q1199" s="1"/>
      <c r="AC1199" s="1"/>
    </row>
    <row r="1200" spans="2:29" x14ac:dyDescent="0.25">
      <c r="B1200" s="1" t="s">
        <v>308</v>
      </c>
      <c r="C1200">
        <v>1199</v>
      </c>
      <c r="D1200" s="1" t="s">
        <v>81</v>
      </c>
      <c r="E1200" t="s">
        <v>152</v>
      </c>
      <c r="F1200" s="1" t="s">
        <v>417</v>
      </c>
      <c r="G1200">
        <v>2940</v>
      </c>
      <c r="H1200">
        <v>92</v>
      </c>
      <c r="I1200">
        <v>2940</v>
      </c>
      <c r="L1200">
        <v>1851</v>
      </c>
      <c r="M1200">
        <v>1856</v>
      </c>
      <c r="N1200">
        <v>5.4571895682510121</v>
      </c>
      <c r="O1200" s="1"/>
      <c r="Q1200" s="1"/>
      <c r="AC1200" s="1"/>
    </row>
    <row r="1201" spans="2:29" x14ac:dyDescent="0.25">
      <c r="B1201" s="1" t="s">
        <v>309</v>
      </c>
      <c r="C1201">
        <v>1200</v>
      </c>
      <c r="D1201" s="1" t="s">
        <v>81</v>
      </c>
      <c r="E1201" t="s">
        <v>152</v>
      </c>
      <c r="F1201" s="1" t="s">
        <v>417</v>
      </c>
      <c r="G1201">
        <v>2794</v>
      </c>
      <c r="H1201">
        <v>83</v>
      </c>
      <c r="I1201">
        <v>2880</v>
      </c>
      <c r="L1201">
        <v>947</v>
      </c>
      <c r="M1201">
        <v>958</v>
      </c>
      <c r="N1201">
        <v>2.7585558002079598</v>
      </c>
      <c r="O1201" s="1"/>
      <c r="Q1201" s="1"/>
      <c r="AC1201" s="1"/>
    </row>
    <row r="1202" spans="2:29" x14ac:dyDescent="0.25">
      <c r="B1202" s="1" t="s">
        <v>310</v>
      </c>
      <c r="C1202">
        <v>1201</v>
      </c>
      <c r="D1202" s="1" t="s">
        <v>81</v>
      </c>
      <c r="E1202" t="s">
        <v>152</v>
      </c>
      <c r="F1202" s="1" t="s">
        <v>417</v>
      </c>
      <c r="G1202">
        <v>2939</v>
      </c>
      <c r="H1202">
        <v>88</v>
      </c>
      <c r="I1202">
        <v>2939</v>
      </c>
      <c r="L1202">
        <v>939</v>
      </c>
      <c r="M1202">
        <v>956</v>
      </c>
      <c r="N1202">
        <v>2.8089858448777774</v>
      </c>
      <c r="O1202" s="1"/>
      <c r="Q1202" s="1"/>
      <c r="AC1202" s="1"/>
    </row>
    <row r="1203" spans="2:29" x14ac:dyDescent="0.25">
      <c r="B1203" s="1" t="s">
        <v>311</v>
      </c>
      <c r="C1203">
        <v>1202</v>
      </c>
      <c r="D1203" s="1" t="s">
        <v>81</v>
      </c>
      <c r="E1203" t="s">
        <v>152</v>
      </c>
      <c r="F1203" s="1" t="s">
        <v>417</v>
      </c>
      <c r="G1203">
        <v>2939</v>
      </c>
      <c r="H1203">
        <v>88</v>
      </c>
      <c r="I1203">
        <v>2939</v>
      </c>
      <c r="L1203">
        <v>1354</v>
      </c>
      <c r="M1203">
        <v>1364</v>
      </c>
      <c r="N1203">
        <v>4.0093897419122859</v>
      </c>
      <c r="O1203" s="1"/>
      <c r="Q1203" s="1"/>
      <c r="AC1203" s="1"/>
    </row>
    <row r="1204" spans="2:29" x14ac:dyDescent="0.25">
      <c r="B1204" s="1" t="s">
        <v>312</v>
      </c>
      <c r="C1204">
        <v>1203</v>
      </c>
      <c r="D1204" s="1" t="s">
        <v>81</v>
      </c>
      <c r="E1204" t="s">
        <v>152</v>
      </c>
      <c r="F1204" s="1" t="s">
        <v>417</v>
      </c>
      <c r="G1204">
        <v>2873</v>
      </c>
      <c r="H1204">
        <v>88</v>
      </c>
      <c r="I1204">
        <v>2873</v>
      </c>
      <c r="L1204">
        <v>939</v>
      </c>
      <c r="M1204">
        <v>976</v>
      </c>
      <c r="N1204">
        <v>2.8030694026389473</v>
      </c>
      <c r="O1204" s="1"/>
      <c r="Q1204" s="1"/>
      <c r="AC1204" s="1"/>
    </row>
    <row r="1205" spans="2:29" x14ac:dyDescent="0.25">
      <c r="B1205" s="1" t="s">
        <v>313</v>
      </c>
      <c r="C1205">
        <v>1204</v>
      </c>
      <c r="D1205" s="1" t="s">
        <v>81</v>
      </c>
      <c r="E1205" t="s">
        <v>152</v>
      </c>
      <c r="F1205" s="1" t="s">
        <v>417</v>
      </c>
      <c r="G1205">
        <v>2873</v>
      </c>
      <c r="H1205">
        <v>88</v>
      </c>
      <c r="I1205">
        <v>2873</v>
      </c>
      <c r="L1205">
        <v>1374</v>
      </c>
      <c r="M1205">
        <v>1384</v>
      </c>
      <c r="N1205">
        <v>3.9763932934977322</v>
      </c>
      <c r="O1205" s="1"/>
      <c r="Q1205" s="1"/>
      <c r="AC1205" s="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5"/>
  <dimension ref="A1"/>
  <sheetViews>
    <sheetView workbookViewId="0">
      <selection activeCell="E18" sqref="E18"/>
    </sheetView>
  </sheetViews>
  <sheetFormatPr defaultRowHeight="15" x14ac:dyDescent="0.25"/>
  <cols>
    <col min="2" max="2" width="45.14062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30"/>
  <sheetViews>
    <sheetView workbookViewId="0"/>
  </sheetViews>
  <sheetFormatPr defaultRowHeight="15" x14ac:dyDescent="0.25"/>
  <cols>
    <col min="1" max="1" width="11" bestFit="1" customWidth="1"/>
    <col min="2" max="2" width="18.140625" bestFit="1" customWidth="1"/>
    <col min="3" max="3" width="9.28515625" bestFit="1" customWidth="1"/>
    <col min="4" max="4" width="9" bestFit="1" customWidth="1"/>
    <col min="5" max="5" width="9.42578125" bestFit="1" customWidth="1"/>
    <col min="6" max="6" width="8.85546875" bestFit="1" customWidth="1"/>
    <col min="7" max="7" width="8" bestFit="1" customWidth="1"/>
    <col min="8" max="8" width="8.42578125" bestFit="1" customWidth="1"/>
    <col min="9" max="9" width="13" bestFit="1" customWidth="1"/>
    <col min="10" max="10" width="13.7109375" bestFit="1" customWidth="1"/>
    <col min="11" max="11" width="8.42578125" bestFit="1" customWidth="1"/>
    <col min="12" max="12" width="7" bestFit="1" customWidth="1"/>
  </cols>
  <sheetData>
    <row r="1" spans="1:12" x14ac:dyDescent="0.25">
      <c r="A1" t="s">
        <v>14</v>
      </c>
      <c r="B1" t="s">
        <v>5</v>
      </c>
      <c r="C1" t="s">
        <v>68</v>
      </c>
      <c r="D1" t="s">
        <v>69</v>
      </c>
      <c r="E1" t="s">
        <v>70</v>
      </c>
      <c r="F1" t="s">
        <v>270</v>
      </c>
      <c r="G1" t="s">
        <v>1</v>
      </c>
      <c r="H1" t="s">
        <v>2</v>
      </c>
      <c r="I1" t="s">
        <v>71</v>
      </c>
      <c r="J1" t="s">
        <v>1101</v>
      </c>
      <c r="K1" t="s">
        <v>272</v>
      </c>
      <c r="L1" t="s">
        <v>273</v>
      </c>
    </row>
    <row r="2" spans="1:12" x14ac:dyDescent="0.25">
      <c r="A2" s="1" t="s">
        <v>2058</v>
      </c>
      <c r="B2" s="1" t="s">
        <v>2085</v>
      </c>
      <c r="C2">
        <v>100</v>
      </c>
      <c r="D2">
        <v>3460</v>
      </c>
      <c r="E2">
        <v>625</v>
      </c>
      <c r="F2">
        <v>164</v>
      </c>
      <c r="G2">
        <v>3460</v>
      </c>
      <c r="H2">
        <v>637</v>
      </c>
      <c r="J2">
        <v>2.162504636005814</v>
      </c>
    </row>
    <row r="3" spans="1:12" x14ac:dyDescent="0.25">
      <c r="A3" s="1" t="s">
        <v>2058</v>
      </c>
      <c r="B3" s="1" t="s">
        <v>2086</v>
      </c>
      <c r="C3">
        <v>100</v>
      </c>
      <c r="D3">
        <v>3460</v>
      </c>
      <c r="E3">
        <v>625</v>
      </c>
      <c r="F3">
        <v>164</v>
      </c>
      <c r="G3">
        <v>3460</v>
      </c>
      <c r="H3">
        <v>637</v>
      </c>
      <c r="J3">
        <v>2.162504636005814</v>
      </c>
    </row>
    <row r="4" spans="1:12" x14ac:dyDescent="0.25">
      <c r="A4" s="1" t="s">
        <v>2058</v>
      </c>
      <c r="B4" s="1" t="s">
        <v>2087</v>
      </c>
      <c r="C4">
        <v>100</v>
      </c>
      <c r="D4">
        <v>5260</v>
      </c>
      <c r="E4">
        <v>625</v>
      </c>
      <c r="F4">
        <v>164</v>
      </c>
      <c r="G4">
        <v>5260</v>
      </c>
      <c r="H4">
        <v>637</v>
      </c>
      <c r="J4">
        <v>3.2875173225947214</v>
      </c>
    </row>
    <row r="5" spans="1:12" x14ac:dyDescent="0.25">
      <c r="A5" s="1" t="s">
        <v>2058</v>
      </c>
      <c r="B5" s="1" t="s">
        <v>2088</v>
      </c>
      <c r="C5">
        <v>100</v>
      </c>
      <c r="D5">
        <v>5260</v>
      </c>
      <c r="E5">
        <v>625</v>
      </c>
      <c r="F5">
        <v>164</v>
      </c>
      <c r="G5">
        <v>5260</v>
      </c>
      <c r="H5">
        <v>637</v>
      </c>
      <c r="J5">
        <v>3.2875173225947214</v>
      </c>
    </row>
    <row r="6" spans="1:12" x14ac:dyDescent="0.25">
      <c r="A6" s="1" t="s">
        <v>2058</v>
      </c>
      <c r="B6" s="1" t="s">
        <v>2089</v>
      </c>
      <c r="C6">
        <v>100</v>
      </c>
      <c r="D6">
        <v>5016</v>
      </c>
      <c r="E6">
        <v>625</v>
      </c>
      <c r="F6">
        <v>164</v>
      </c>
      <c r="G6">
        <v>5285</v>
      </c>
      <c r="H6">
        <v>637</v>
      </c>
      <c r="J6">
        <v>3.1349998025838555</v>
      </c>
    </row>
    <row r="7" spans="1:12" x14ac:dyDescent="0.25">
      <c r="A7" s="1" t="s">
        <v>2058</v>
      </c>
      <c r="B7" s="1" t="s">
        <v>2090</v>
      </c>
      <c r="C7">
        <v>100</v>
      </c>
      <c r="D7">
        <v>3460</v>
      </c>
      <c r="E7">
        <v>625</v>
      </c>
      <c r="F7">
        <v>164</v>
      </c>
      <c r="G7">
        <v>3460</v>
      </c>
      <c r="H7">
        <v>637</v>
      </c>
      <c r="J7">
        <v>2.1625046360526894</v>
      </c>
    </row>
    <row r="8" spans="1:12" x14ac:dyDescent="0.25">
      <c r="A8" s="1" t="s">
        <v>2058</v>
      </c>
      <c r="B8" s="1" t="s">
        <v>2091</v>
      </c>
      <c r="C8">
        <v>100</v>
      </c>
      <c r="D8">
        <v>3460</v>
      </c>
      <c r="E8">
        <v>625</v>
      </c>
      <c r="F8">
        <v>164</v>
      </c>
      <c r="G8">
        <v>3460</v>
      </c>
      <c r="H8">
        <v>637</v>
      </c>
      <c r="J8">
        <v>2.1625046360526894</v>
      </c>
    </row>
    <row r="9" spans="1:12" x14ac:dyDescent="0.25">
      <c r="A9" s="1" t="s">
        <v>2058</v>
      </c>
      <c r="B9" s="1" t="s">
        <v>2092</v>
      </c>
      <c r="C9">
        <v>100</v>
      </c>
      <c r="D9">
        <v>2228</v>
      </c>
      <c r="E9">
        <v>625</v>
      </c>
      <c r="F9">
        <v>164</v>
      </c>
      <c r="G9">
        <v>2228</v>
      </c>
      <c r="H9">
        <v>637</v>
      </c>
      <c r="J9">
        <v>1.3922656368084634</v>
      </c>
    </row>
    <row r="10" spans="1:12" x14ac:dyDescent="0.25">
      <c r="A10" s="1" t="s">
        <v>2058</v>
      </c>
      <c r="B10" s="1" t="s">
        <v>2093</v>
      </c>
      <c r="C10">
        <v>100</v>
      </c>
      <c r="D10">
        <v>2814</v>
      </c>
      <c r="E10">
        <v>625</v>
      </c>
      <c r="F10">
        <v>164</v>
      </c>
      <c r="G10">
        <v>2814</v>
      </c>
      <c r="H10">
        <v>637</v>
      </c>
      <c r="J10">
        <v>1.7588355224948042</v>
      </c>
    </row>
    <row r="11" spans="1:12" x14ac:dyDescent="0.25">
      <c r="A11" s="1" t="s">
        <v>2058</v>
      </c>
      <c r="B11" s="1" t="s">
        <v>2094</v>
      </c>
      <c r="C11">
        <v>100</v>
      </c>
      <c r="D11">
        <v>5024</v>
      </c>
      <c r="E11">
        <v>625</v>
      </c>
      <c r="F11">
        <v>164</v>
      </c>
      <c r="G11">
        <v>5292</v>
      </c>
      <c r="H11">
        <v>637</v>
      </c>
      <c r="J11">
        <v>3.1397049156941668</v>
      </c>
    </row>
    <row r="12" spans="1:12" x14ac:dyDescent="0.25">
      <c r="A12" s="1" t="s">
        <v>2058</v>
      </c>
      <c r="B12" s="1" t="s">
        <v>2095</v>
      </c>
      <c r="C12">
        <v>100</v>
      </c>
      <c r="D12">
        <v>5146</v>
      </c>
      <c r="E12">
        <v>625</v>
      </c>
      <c r="F12">
        <v>164</v>
      </c>
      <c r="G12">
        <v>5280</v>
      </c>
      <c r="H12">
        <v>637</v>
      </c>
      <c r="J12">
        <v>3.2159420761913431</v>
      </c>
    </row>
    <row r="13" spans="1:12" x14ac:dyDescent="0.25">
      <c r="A13" s="1" t="s">
        <v>2058</v>
      </c>
      <c r="B13" s="1" t="s">
        <v>2096</v>
      </c>
      <c r="C13">
        <v>100</v>
      </c>
      <c r="D13">
        <v>5260</v>
      </c>
      <c r="E13">
        <v>625</v>
      </c>
      <c r="F13">
        <v>164</v>
      </c>
      <c r="G13">
        <v>5260</v>
      </c>
      <c r="H13">
        <v>637</v>
      </c>
      <c r="J13">
        <v>3.2875173225947214</v>
      </c>
    </row>
    <row r="14" spans="1:12" x14ac:dyDescent="0.25">
      <c r="A14" s="1" t="s">
        <v>2058</v>
      </c>
      <c r="B14" s="1" t="s">
        <v>2097</v>
      </c>
      <c r="C14">
        <v>100</v>
      </c>
      <c r="D14">
        <v>1811</v>
      </c>
      <c r="E14">
        <v>625</v>
      </c>
      <c r="F14">
        <v>164</v>
      </c>
      <c r="G14">
        <v>1811</v>
      </c>
      <c r="H14">
        <v>637</v>
      </c>
      <c r="J14">
        <v>1.131876038078806</v>
      </c>
    </row>
    <row r="15" spans="1:12" x14ac:dyDescent="0.25">
      <c r="A15" s="1" t="s">
        <v>2058</v>
      </c>
      <c r="B15" s="1" t="s">
        <v>2098</v>
      </c>
      <c r="C15">
        <v>100</v>
      </c>
      <c r="D15">
        <v>1631</v>
      </c>
      <c r="E15">
        <v>625</v>
      </c>
      <c r="F15">
        <v>164</v>
      </c>
      <c r="G15">
        <v>1631</v>
      </c>
      <c r="H15">
        <v>637</v>
      </c>
      <c r="J15">
        <v>1.0193748640112188</v>
      </c>
    </row>
    <row r="16" spans="1:12" x14ac:dyDescent="0.25">
      <c r="A16" s="1" t="s">
        <v>2058</v>
      </c>
      <c r="B16" s="1" t="s">
        <v>2099</v>
      </c>
      <c r="C16">
        <v>100</v>
      </c>
      <c r="D16">
        <v>5016</v>
      </c>
      <c r="E16">
        <v>625</v>
      </c>
      <c r="F16">
        <v>164</v>
      </c>
      <c r="G16">
        <v>5285</v>
      </c>
      <c r="H16">
        <v>637</v>
      </c>
      <c r="J16">
        <v>3.1349998025838555</v>
      </c>
    </row>
    <row r="17" spans="1:10" x14ac:dyDescent="0.25">
      <c r="A17" s="1" t="s">
        <v>2058</v>
      </c>
      <c r="B17" s="1" t="s">
        <v>2100</v>
      </c>
      <c r="C17">
        <v>100</v>
      </c>
      <c r="D17">
        <v>1811</v>
      </c>
      <c r="E17">
        <v>625</v>
      </c>
      <c r="F17">
        <v>164</v>
      </c>
      <c r="G17">
        <v>1811</v>
      </c>
      <c r="H17">
        <v>637</v>
      </c>
      <c r="J17">
        <v>1.1318737117602773</v>
      </c>
    </row>
    <row r="18" spans="1:10" x14ac:dyDescent="0.25">
      <c r="A18" s="1" t="s">
        <v>2058</v>
      </c>
      <c r="B18" s="1" t="s">
        <v>2101</v>
      </c>
      <c r="C18">
        <v>100</v>
      </c>
      <c r="D18">
        <v>1631</v>
      </c>
      <c r="E18">
        <v>625</v>
      </c>
      <c r="F18">
        <v>164</v>
      </c>
      <c r="G18">
        <v>1631</v>
      </c>
      <c r="H18">
        <v>637</v>
      </c>
      <c r="J18">
        <v>1.0193748636612188</v>
      </c>
    </row>
    <row r="19" spans="1:10" x14ac:dyDescent="0.25">
      <c r="A19" s="1" t="s">
        <v>2058</v>
      </c>
      <c r="B19" s="1" t="s">
        <v>2102</v>
      </c>
      <c r="C19">
        <v>100</v>
      </c>
      <c r="D19">
        <v>2228</v>
      </c>
      <c r="E19">
        <v>625</v>
      </c>
      <c r="F19">
        <v>164</v>
      </c>
      <c r="G19">
        <v>2228</v>
      </c>
      <c r="H19">
        <v>637</v>
      </c>
      <c r="J19">
        <v>1.3922656368084634</v>
      </c>
    </row>
    <row r="20" spans="1:10" x14ac:dyDescent="0.25">
      <c r="A20" s="1" t="s">
        <v>2058</v>
      </c>
      <c r="B20" s="1" t="s">
        <v>2103</v>
      </c>
      <c r="C20">
        <v>100</v>
      </c>
      <c r="D20">
        <v>5260</v>
      </c>
      <c r="E20">
        <v>625</v>
      </c>
      <c r="F20">
        <v>164</v>
      </c>
      <c r="G20">
        <v>5260</v>
      </c>
      <c r="H20">
        <v>637</v>
      </c>
      <c r="J20">
        <v>3.2874996922776498</v>
      </c>
    </row>
    <row r="21" spans="1:10" x14ac:dyDescent="0.25">
      <c r="A21" s="1" t="s">
        <v>2058</v>
      </c>
      <c r="B21" s="1" t="s">
        <v>2104</v>
      </c>
      <c r="C21">
        <v>100</v>
      </c>
      <c r="D21">
        <v>5146</v>
      </c>
      <c r="E21">
        <v>625</v>
      </c>
      <c r="F21">
        <v>164</v>
      </c>
      <c r="G21">
        <v>5280</v>
      </c>
      <c r="H21">
        <v>637</v>
      </c>
      <c r="J21">
        <v>3.2159372364699292</v>
      </c>
    </row>
    <row r="22" spans="1:10" x14ac:dyDescent="0.25">
      <c r="A22" s="1" t="s">
        <v>2058</v>
      </c>
      <c r="B22" s="1" t="s">
        <v>2105</v>
      </c>
      <c r="C22">
        <v>100</v>
      </c>
      <c r="D22">
        <v>5138</v>
      </c>
      <c r="E22">
        <v>625</v>
      </c>
      <c r="F22">
        <v>164</v>
      </c>
      <c r="G22">
        <v>5272</v>
      </c>
      <c r="H22">
        <v>637</v>
      </c>
      <c r="J22">
        <v>3.2112496963848201</v>
      </c>
    </row>
    <row r="23" spans="1:10" x14ac:dyDescent="0.25">
      <c r="A23" s="1" t="s">
        <v>2058</v>
      </c>
      <c r="B23" s="1" t="s">
        <v>2106</v>
      </c>
      <c r="C23">
        <v>100</v>
      </c>
      <c r="D23">
        <v>3320</v>
      </c>
      <c r="E23">
        <v>625</v>
      </c>
      <c r="F23">
        <v>164</v>
      </c>
      <c r="G23">
        <v>3320</v>
      </c>
      <c r="H23">
        <v>637</v>
      </c>
      <c r="J23">
        <v>2.0750686407394983</v>
      </c>
    </row>
    <row r="24" spans="1:10" x14ac:dyDescent="0.25">
      <c r="A24" s="1" t="s">
        <v>2058</v>
      </c>
      <c r="B24" s="1" t="s">
        <v>2107</v>
      </c>
      <c r="C24">
        <v>100</v>
      </c>
      <c r="D24">
        <v>5146</v>
      </c>
      <c r="E24">
        <v>625</v>
      </c>
      <c r="F24">
        <v>164</v>
      </c>
      <c r="G24">
        <v>5280</v>
      </c>
      <c r="H24">
        <v>637</v>
      </c>
      <c r="J24">
        <v>3.2159380200386036</v>
      </c>
    </row>
    <row r="25" spans="1:10" x14ac:dyDescent="0.25">
      <c r="A25" s="1" t="s">
        <v>2058</v>
      </c>
      <c r="B25" s="1" t="s">
        <v>2108</v>
      </c>
      <c r="C25">
        <v>100</v>
      </c>
      <c r="D25">
        <v>5260</v>
      </c>
      <c r="E25">
        <v>625</v>
      </c>
      <c r="F25">
        <v>164</v>
      </c>
      <c r="G25">
        <v>5260</v>
      </c>
      <c r="H25">
        <v>637</v>
      </c>
      <c r="J25">
        <v>3.2875057137020764</v>
      </c>
    </row>
    <row r="26" spans="1:10" x14ac:dyDescent="0.25">
      <c r="A26" s="1" t="s">
        <v>2058</v>
      </c>
      <c r="B26" s="1" t="s">
        <v>2109</v>
      </c>
      <c r="C26">
        <v>100</v>
      </c>
      <c r="D26">
        <v>2691</v>
      </c>
      <c r="E26">
        <v>625</v>
      </c>
      <c r="F26">
        <v>164</v>
      </c>
      <c r="G26">
        <v>2691</v>
      </c>
      <c r="H26">
        <v>637</v>
      </c>
      <c r="J26">
        <v>1.6819705306823829</v>
      </c>
    </row>
    <row r="27" spans="1:10" x14ac:dyDescent="0.25">
      <c r="A27" s="1" t="s">
        <v>2058</v>
      </c>
      <c r="B27" s="1" t="s">
        <v>2110</v>
      </c>
      <c r="C27">
        <v>100</v>
      </c>
      <c r="D27">
        <v>2275</v>
      </c>
      <c r="E27">
        <v>625</v>
      </c>
      <c r="F27">
        <v>164</v>
      </c>
      <c r="G27">
        <v>2275</v>
      </c>
      <c r="H27">
        <v>637</v>
      </c>
      <c r="J27">
        <v>1.4219089256371333</v>
      </c>
    </row>
    <row r="28" spans="1:10" x14ac:dyDescent="0.25">
      <c r="A28" s="1" t="s">
        <v>2058</v>
      </c>
      <c r="B28" s="1" t="s">
        <v>2111</v>
      </c>
      <c r="C28">
        <v>100</v>
      </c>
      <c r="D28">
        <v>2586</v>
      </c>
      <c r="E28">
        <v>625</v>
      </c>
      <c r="F28">
        <v>164</v>
      </c>
      <c r="G28">
        <v>2586</v>
      </c>
      <c r="H28">
        <v>637</v>
      </c>
      <c r="J28">
        <v>1.6162143047251727</v>
      </c>
    </row>
    <row r="29" spans="1:10" x14ac:dyDescent="0.25">
      <c r="A29" s="1" t="s">
        <v>2058</v>
      </c>
      <c r="B29" s="1" t="s">
        <v>2112</v>
      </c>
      <c r="C29">
        <v>100</v>
      </c>
      <c r="D29">
        <v>4023</v>
      </c>
      <c r="E29">
        <v>496</v>
      </c>
      <c r="F29">
        <v>164</v>
      </c>
      <c r="G29">
        <v>4280</v>
      </c>
      <c r="H29">
        <v>508</v>
      </c>
      <c r="J29">
        <v>1.995494623777428</v>
      </c>
    </row>
    <row r="30" spans="1:10" x14ac:dyDescent="0.25">
      <c r="A30" s="1" t="s">
        <v>2058</v>
      </c>
      <c r="B30" s="1" t="s">
        <v>2113</v>
      </c>
      <c r="C30">
        <v>100</v>
      </c>
      <c r="D30">
        <v>2687</v>
      </c>
      <c r="E30">
        <v>625</v>
      </c>
      <c r="F30">
        <v>164</v>
      </c>
      <c r="G30">
        <v>2687</v>
      </c>
      <c r="H30">
        <v>637</v>
      </c>
      <c r="J30">
        <v>1.6794705309203228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8"/>
  <sheetViews>
    <sheetView workbookViewId="0"/>
  </sheetViews>
  <sheetFormatPr defaultRowHeight="15" x14ac:dyDescent="0.25"/>
  <cols>
    <col min="1" max="1" width="11" bestFit="1" customWidth="1"/>
    <col min="2" max="2" width="21.42578125" bestFit="1" customWidth="1"/>
    <col min="3" max="3" width="9.28515625" bestFit="1" customWidth="1"/>
    <col min="4" max="4" width="9" bestFit="1" customWidth="1"/>
    <col min="5" max="5" width="9.42578125" bestFit="1" customWidth="1"/>
    <col min="6" max="6" width="8.85546875" bestFit="1" customWidth="1"/>
    <col min="7" max="7" width="8" bestFit="1" customWidth="1"/>
    <col min="8" max="8" width="8.42578125" bestFit="1" customWidth="1"/>
    <col min="9" max="9" width="13" bestFit="1" customWidth="1"/>
    <col min="10" max="10" width="13.7109375" bestFit="1" customWidth="1"/>
    <col min="11" max="11" width="8.42578125" bestFit="1" customWidth="1"/>
    <col min="12" max="12" width="7" bestFit="1" customWidth="1"/>
  </cols>
  <sheetData>
    <row r="1" spans="1:12" x14ac:dyDescent="0.25">
      <c r="A1" t="s">
        <v>14</v>
      </c>
      <c r="B1" t="s">
        <v>5</v>
      </c>
      <c r="C1" t="s">
        <v>68</v>
      </c>
      <c r="D1" t="s">
        <v>69</v>
      </c>
      <c r="E1" t="s">
        <v>70</v>
      </c>
      <c r="F1" t="s">
        <v>270</v>
      </c>
      <c r="G1" t="s">
        <v>1</v>
      </c>
      <c r="H1" t="s">
        <v>2</v>
      </c>
      <c r="I1" t="s">
        <v>71</v>
      </c>
      <c r="J1" t="s">
        <v>1101</v>
      </c>
      <c r="K1" t="s">
        <v>272</v>
      </c>
      <c r="L1" t="s">
        <v>273</v>
      </c>
    </row>
    <row r="2" spans="1:12" x14ac:dyDescent="0.25">
      <c r="A2" s="1" t="s">
        <v>2058</v>
      </c>
      <c r="B2" s="1" t="s">
        <v>2114</v>
      </c>
      <c r="C2">
        <v>100</v>
      </c>
      <c r="D2">
        <v>4628</v>
      </c>
      <c r="E2">
        <v>625</v>
      </c>
      <c r="F2">
        <v>164</v>
      </c>
      <c r="G2">
        <v>4628</v>
      </c>
      <c r="H2">
        <v>637</v>
      </c>
      <c r="J2">
        <v>2.8922056294376608</v>
      </c>
    </row>
    <row r="3" spans="1:12" x14ac:dyDescent="0.25">
      <c r="A3" s="1" t="s">
        <v>2058</v>
      </c>
      <c r="B3" s="1" t="s">
        <v>2115</v>
      </c>
      <c r="C3">
        <v>100</v>
      </c>
      <c r="D3">
        <v>4554</v>
      </c>
      <c r="E3">
        <v>625</v>
      </c>
      <c r="F3">
        <v>165</v>
      </c>
      <c r="G3">
        <v>4554</v>
      </c>
      <c r="H3">
        <v>637</v>
      </c>
      <c r="J3">
        <v>2.8463851390299224</v>
      </c>
    </row>
    <row r="4" spans="1:12" x14ac:dyDescent="0.25">
      <c r="A4" s="1" t="s">
        <v>2058</v>
      </c>
      <c r="B4" s="1" t="s">
        <v>2116</v>
      </c>
      <c r="C4">
        <v>100</v>
      </c>
      <c r="D4">
        <v>2333</v>
      </c>
      <c r="E4">
        <v>625</v>
      </c>
      <c r="F4">
        <v>164</v>
      </c>
      <c r="G4">
        <v>2333</v>
      </c>
      <c r="H4">
        <v>637</v>
      </c>
      <c r="J4">
        <v>1.4581053767377246</v>
      </c>
    </row>
    <row r="5" spans="1:12" x14ac:dyDescent="0.25">
      <c r="A5" s="1" t="s">
        <v>2058</v>
      </c>
      <c r="B5" s="1" t="s">
        <v>2117</v>
      </c>
      <c r="C5">
        <v>100</v>
      </c>
      <c r="D5">
        <v>5144</v>
      </c>
      <c r="E5">
        <v>496</v>
      </c>
      <c r="F5">
        <v>164</v>
      </c>
      <c r="G5">
        <v>5144</v>
      </c>
      <c r="H5">
        <v>508</v>
      </c>
      <c r="J5">
        <v>2.551499184712601</v>
      </c>
    </row>
    <row r="6" spans="1:12" x14ac:dyDescent="0.25">
      <c r="A6" s="1" t="s">
        <v>2058</v>
      </c>
      <c r="B6" s="1" t="s">
        <v>2118</v>
      </c>
      <c r="C6">
        <v>100</v>
      </c>
      <c r="D6">
        <v>3675</v>
      </c>
      <c r="E6">
        <v>517</v>
      </c>
      <c r="F6">
        <v>152</v>
      </c>
      <c r="G6">
        <v>3675</v>
      </c>
      <c r="H6">
        <v>517</v>
      </c>
      <c r="J6">
        <v>1.8998415261004973</v>
      </c>
    </row>
    <row r="7" spans="1:12" x14ac:dyDescent="0.25">
      <c r="A7" s="1" t="s">
        <v>2058</v>
      </c>
      <c r="B7" s="1" t="s">
        <v>2119</v>
      </c>
      <c r="C7">
        <v>100</v>
      </c>
      <c r="D7">
        <v>1383</v>
      </c>
      <c r="E7">
        <v>625</v>
      </c>
      <c r="F7">
        <v>164</v>
      </c>
      <c r="G7">
        <v>1383</v>
      </c>
      <c r="H7">
        <v>637</v>
      </c>
      <c r="J7">
        <v>0.86437491794474508</v>
      </c>
    </row>
    <row r="8" spans="1:12" x14ac:dyDescent="0.25">
      <c r="A8" s="1" t="s">
        <v>2058</v>
      </c>
      <c r="B8" s="1" t="s">
        <v>2120</v>
      </c>
      <c r="C8">
        <v>100</v>
      </c>
      <c r="D8">
        <v>782</v>
      </c>
      <c r="E8">
        <v>517</v>
      </c>
      <c r="F8">
        <v>152</v>
      </c>
      <c r="G8">
        <v>782</v>
      </c>
      <c r="H8">
        <v>517</v>
      </c>
      <c r="J8">
        <v>0.40419771429810902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81"/>
  <sheetViews>
    <sheetView workbookViewId="0"/>
  </sheetViews>
  <sheetFormatPr defaultRowHeight="15" x14ac:dyDescent="0.25"/>
  <cols>
    <col min="1" max="1" width="11" bestFit="1" customWidth="1"/>
    <col min="2" max="2" width="15.7109375" bestFit="1" customWidth="1"/>
    <col min="3" max="3" width="9.28515625" bestFit="1" customWidth="1"/>
    <col min="4" max="4" width="9" bestFit="1" customWidth="1"/>
    <col min="5" max="5" width="9.42578125" bestFit="1" customWidth="1"/>
    <col min="6" max="6" width="8.85546875" bestFit="1" customWidth="1"/>
    <col min="7" max="7" width="8" bestFit="1" customWidth="1"/>
    <col min="8" max="8" width="8.42578125" bestFit="1" customWidth="1"/>
    <col min="9" max="9" width="13" bestFit="1" customWidth="1"/>
    <col min="10" max="10" width="13.7109375" bestFit="1" customWidth="1"/>
    <col min="11" max="11" width="8.42578125" bestFit="1" customWidth="1"/>
    <col min="12" max="12" width="7" bestFit="1" customWidth="1"/>
  </cols>
  <sheetData>
    <row r="1" spans="1:12" x14ac:dyDescent="0.25">
      <c r="A1" t="s">
        <v>14</v>
      </c>
      <c r="B1" t="s">
        <v>5</v>
      </c>
      <c r="C1" t="s">
        <v>68</v>
      </c>
      <c r="D1" t="s">
        <v>69</v>
      </c>
      <c r="E1" t="s">
        <v>70</v>
      </c>
      <c r="F1" t="s">
        <v>270</v>
      </c>
      <c r="G1" t="s">
        <v>1</v>
      </c>
      <c r="H1" t="s">
        <v>2</v>
      </c>
      <c r="I1" t="s">
        <v>71</v>
      </c>
      <c r="J1" t="s">
        <v>1101</v>
      </c>
      <c r="K1" t="s">
        <v>272</v>
      </c>
      <c r="L1" t="s">
        <v>273</v>
      </c>
    </row>
    <row r="2" spans="1:12" x14ac:dyDescent="0.25">
      <c r="A2" s="1" t="s">
        <v>2058</v>
      </c>
      <c r="B2" s="1" t="s">
        <v>2123</v>
      </c>
      <c r="C2">
        <v>80</v>
      </c>
      <c r="D2">
        <v>1259</v>
      </c>
      <c r="E2">
        <v>575</v>
      </c>
      <c r="F2">
        <v>157</v>
      </c>
      <c r="G2">
        <v>1303</v>
      </c>
      <c r="H2">
        <v>575</v>
      </c>
      <c r="J2">
        <v>0.7239251851659898</v>
      </c>
    </row>
    <row r="3" spans="1:12" x14ac:dyDescent="0.25">
      <c r="A3" s="1" t="s">
        <v>2058</v>
      </c>
      <c r="B3" s="1" t="s">
        <v>2124</v>
      </c>
      <c r="C3">
        <v>80</v>
      </c>
      <c r="D3">
        <v>275</v>
      </c>
      <c r="E3">
        <v>575</v>
      </c>
      <c r="F3">
        <v>157</v>
      </c>
      <c r="G3">
        <v>475</v>
      </c>
      <c r="H3">
        <v>575</v>
      </c>
      <c r="J3">
        <v>0.15812499995745</v>
      </c>
    </row>
    <row r="4" spans="1:12" x14ac:dyDescent="0.25">
      <c r="A4" s="1" t="s">
        <v>2058</v>
      </c>
      <c r="B4" s="1" t="s">
        <v>2125</v>
      </c>
      <c r="C4">
        <v>80</v>
      </c>
      <c r="D4">
        <v>1259</v>
      </c>
      <c r="E4">
        <v>575</v>
      </c>
      <c r="F4">
        <v>157</v>
      </c>
      <c r="G4">
        <v>1303</v>
      </c>
      <c r="H4">
        <v>575</v>
      </c>
      <c r="J4">
        <v>0.72392518752003998</v>
      </c>
    </row>
    <row r="5" spans="1:12" x14ac:dyDescent="0.25">
      <c r="A5" s="1" t="s">
        <v>2058</v>
      </c>
      <c r="B5" s="1" t="s">
        <v>2126</v>
      </c>
      <c r="C5">
        <v>80</v>
      </c>
      <c r="D5">
        <v>275</v>
      </c>
      <c r="E5">
        <v>575</v>
      </c>
      <c r="F5">
        <v>157</v>
      </c>
      <c r="G5">
        <v>475</v>
      </c>
      <c r="H5">
        <v>575</v>
      </c>
      <c r="J5">
        <v>0.15812500004255001</v>
      </c>
    </row>
    <row r="6" spans="1:12" x14ac:dyDescent="0.25">
      <c r="A6" s="1" t="s">
        <v>2058</v>
      </c>
      <c r="B6" s="1" t="s">
        <v>2127</v>
      </c>
      <c r="C6">
        <v>80</v>
      </c>
      <c r="D6">
        <v>1253</v>
      </c>
      <c r="E6">
        <v>575</v>
      </c>
      <c r="F6">
        <v>157</v>
      </c>
      <c r="G6">
        <v>1275</v>
      </c>
      <c r="H6">
        <v>575</v>
      </c>
      <c r="J6">
        <v>0.72018812475626726</v>
      </c>
    </row>
    <row r="7" spans="1:12" x14ac:dyDescent="0.25">
      <c r="A7" s="1" t="s">
        <v>2058</v>
      </c>
      <c r="B7" s="1" t="s">
        <v>2128</v>
      </c>
      <c r="C7">
        <v>80</v>
      </c>
      <c r="D7">
        <v>270</v>
      </c>
      <c r="E7">
        <v>575</v>
      </c>
      <c r="F7">
        <v>157</v>
      </c>
      <c r="G7">
        <v>470</v>
      </c>
      <c r="H7">
        <v>575</v>
      </c>
      <c r="J7">
        <v>0.15525000004657499</v>
      </c>
    </row>
    <row r="8" spans="1:12" x14ac:dyDescent="0.25">
      <c r="A8" s="1" t="s">
        <v>2058</v>
      </c>
      <c r="B8" s="1" t="s">
        <v>2129</v>
      </c>
      <c r="C8">
        <v>80</v>
      </c>
      <c r="D8">
        <v>1253</v>
      </c>
      <c r="E8">
        <v>575</v>
      </c>
      <c r="F8">
        <v>157</v>
      </c>
      <c r="G8">
        <v>1275</v>
      </c>
      <c r="H8">
        <v>575</v>
      </c>
      <c r="J8">
        <v>0.72018768819438506</v>
      </c>
    </row>
    <row r="9" spans="1:12" x14ac:dyDescent="0.25">
      <c r="A9" s="1" t="s">
        <v>2058</v>
      </c>
      <c r="B9" s="1" t="s">
        <v>2130</v>
      </c>
      <c r="C9">
        <v>80</v>
      </c>
      <c r="D9">
        <v>1259</v>
      </c>
      <c r="E9">
        <v>575</v>
      </c>
      <c r="F9">
        <v>157</v>
      </c>
      <c r="G9">
        <v>1281</v>
      </c>
      <c r="H9">
        <v>575</v>
      </c>
      <c r="J9">
        <v>0.72392580358313563</v>
      </c>
    </row>
    <row r="10" spans="1:12" x14ac:dyDescent="0.25">
      <c r="A10" s="1" t="s">
        <v>2058</v>
      </c>
      <c r="B10" s="1" t="s">
        <v>2131</v>
      </c>
      <c r="C10">
        <v>80</v>
      </c>
      <c r="D10">
        <v>270</v>
      </c>
      <c r="E10">
        <v>575</v>
      </c>
      <c r="F10">
        <v>157</v>
      </c>
      <c r="G10">
        <v>470</v>
      </c>
      <c r="H10">
        <v>575</v>
      </c>
      <c r="J10">
        <v>0.15524999995342501</v>
      </c>
    </row>
    <row r="11" spans="1:12" x14ac:dyDescent="0.25">
      <c r="A11" s="1" t="s">
        <v>2058</v>
      </c>
      <c r="B11" s="1" t="s">
        <v>2132</v>
      </c>
      <c r="C11">
        <v>80</v>
      </c>
      <c r="D11">
        <v>1259</v>
      </c>
      <c r="E11">
        <v>575</v>
      </c>
      <c r="F11">
        <v>157</v>
      </c>
      <c r="G11">
        <v>1281</v>
      </c>
      <c r="H11">
        <v>575</v>
      </c>
      <c r="J11">
        <v>0.72392586862714026</v>
      </c>
    </row>
    <row r="12" spans="1:12" x14ac:dyDescent="0.25">
      <c r="A12" s="1" t="s">
        <v>2058</v>
      </c>
      <c r="B12" s="1" t="s">
        <v>2133</v>
      </c>
      <c r="C12">
        <v>80</v>
      </c>
      <c r="D12">
        <v>1416</v>
      </c>
      <c r="E12">
        <v>575</v>
      </c>
      <c r="F12">
        <v>157</v>
      </c>
      <c r="G12">
        <v>1438</v>
      </c>
      <c r="H12">
        <v>575</v>
      </c>
      <c r="J12">
        <v>0.81420018025690388</v>
      </c>
    </row>
    <row r="13" spans="1:12" x14ac:dyDescent="0.25">
      <c r="A13" s="1" t="s">
        <v>2058</v>
      </c>
      <c r="B13" s="1" t="s">
        <v>2134</v>
      </c>
      <c r="C13">
        <v>80</v>
      </c>
      <c r="D13">
        <v>282</v>
      </c>
      <c r="E13">
        <v>575</v>
      </c>
      <c r="F13">
        <v>157</v>
      </c>
      <c r="G13">
        <v>484</v>
      </c>
      <c r="H13">
        <v>575</v>
      </c>
      <c r="J13">
        <v>0.16243750000000001</v>
      </c>
    </row>
    <row r="14" spans="1:12" x14ac:dyDescent="0.25">
      <c r="A14" s="1" t="s">
        <v>2058</v>
      </c>
      <c r="B14" s="1" t="s">
        <v>2135</v>
      </c>
      <c r="C14">
        <v>80</v>
      </c>
      <c r="D14">
        <v>1416</v>
      </c>
      <c r="E14">
        <v>575</v>
      </c>
      <c r="F14">
        <v>157</v>
      </c>
      <c r="G14">
        <v>1438</v>
      </c>
      <c r="H14">
        <v>575</v>
      </c>
      <c r="J14">
        <v>0.8142001836275542</v>
      </c>
    </row>
    <row r="15" spans="1:12" x14ac:dyDescent="0.25">
      <c r="A15" s="1" t="s">
        <v>2058</v>
      </c>
      <c r="B15" s="1" t="s">
        <v>2136</v>
      </c>
      <c r="C15">
        <v>80</v>
      </c>
      <c r="D15">
        <v>1416</v>
      </c>
      <c r="E15">
        <v>575</v>
      </c>
      <c r="F15">
        <v>157</v>
      </c>
      <c r="G15">
        <v>1438</v>
      </c>
      <c r="H15">
        <v>575</v>
      </c>
      <c r="J15">
        <v>0.81420017977562886</v>
      </c>
    </row>
    <row r="16" spans="1:12" x14ac:dyDescent="0.25">
      <c r="A16" s="1" t="s">
        <v>2058</v>
      </c>
      <c r="B16" s="1" t="s">
        <v>2137</v>
      </c>
      <c r="C16">
        <v>80</v>
      </c>
      <c r="D16">
        <v>283</v>
      </c>
      <c r="E16">
        <v>575</v>
      </c>
      <c r="F16">
        <v>157</v>
      </c>
      <c r="G16">
        <v>484</v>
      </c>
      <c r="H16">
        <v>575</v>
      </c>
      <c r="J16">
        <v>0.16243750018112502</v>
      </c>
    </row>
    <row r="17" spans="1:10" x14ac:dyDescent="0.25">
      <c r="A17" s="1" t="s">
        <v>2058</v>
      </c>
      <c r="B17" s="1" t="s">
        <v>2138</v>
      </c>
      <c r="C17">
        <v>80</v>
      </c>
      <c r="D17">
        <v>1416</v>
      </c>
      <c r="E17">
        <v>575</v>
      </c>
      <c r="F17">
        <v>157</v>
      </c>
      <c r="G17">
        <v>1438</v>
      </c>
      <c r="H17">
        <v>575</v>
      </c>
      <c r="J17">
        <v>0.81420017986130389</v>
      </c>
    </row>
    <row r="18" spans="1:10" x14ac:dyDescent="0.25">
      <c r="A18" s="1" t="s">
        <v>2058</v>
      </c>
      <c r="B18" s="1" t="s">
        <v>2139</v>
      </c>
      <c r="C18">
        <v>80</v>
      </c>
      <c r="D18">
        <v>500</v>
      </c>
      <c r="E18">
        <v>575</v>
      </c>
      <c r="F18">
        <v>157</v>
      </c>
      <c r="G18">
        <v>544</v>
      </c>
      <c r="H18">
        <v>575</v>
      </c>
      <c r="J18">
        <v>0.28750033658799834</v>
      </c>
    </row>
    <row r="19" spans="1:10" x14ac:dyDescent="0.25">
      <c r="A19" s="1" t="s">
        <v>2058</v>
      </c>
      <c r="B19" s="1" t="s">
        <v>2140</v>
      </c>
      <c r="C19">
        <v>80</v>
      </c>
      <c r="D19">
        <v>290</v>
      </c>
      <c r="E19">
        <v>575</v>
      </c>
      <c r="F19">
        <v>157</v>
      </c>
      <c r="G19">
        <v>490</v>
      </c>
      <c r="H19">
        <v>575</v>
      </c>
      <c r="J19">
        <v>0.16674999995744999</v>
      </c>
    </row>
    <row r="20" spans="1:10" x14ac:dyDescent="0.25">
      <c r="A20" s="1" t="s">
        <v>2058</v>
      </c>
      <c r="B20" s="1" t="s">
        <v>2141</v>
      </c>
      <c r="C20">
        <v>80</v>
      </c>
      <c r="D20">
        <v>500</v>
      </c>
      <c r="E20">
        <v>575</v>
      </c>
      <c r="F20">
        <v>157</v>
      </c>
      <c r="G20">
        <v>544</v>
      </c>
      <c r="H20">
        <v>575</v>
      </c>
      <c r="J20">
        <v>0.28750033664032332</v>
      </c>
    </row>
    <row r="21" spans="1:10" x14ac:dyDescent="0.25">
      <c r="A21" s="1" t="s">
        <v>2058</v>
      </c>
      <c r="B21" s="1" t="s">
        <v>2142</v>
      </c>
      <c r="C21">
        <v>80</v>
      </c>
      <c r="D21">
        <v>290</v>
      </c>
      <c r="E21">
        <v>575</v>
      </c>
      <c r="F21">
        <v>157</v>
      </c>
      <c r="G21">
        <v>490</v>
      </c>
      <c r="H21">
        <v>575</v>
      </c>
      <c r="J21">
        <v>0.16675000008510002</v>
      </c>
    </row>
    <row r="22" spans="1:10" x14ac:dyDescent="0.25">
      <c r="A22" s="1" t="s">
        <v>2058</v>
      </c>
      <c r="B22" s="1" t="s">
        <v>2143</v>
      </c>
      <c r="C22">
        <v>80</v>
      </c>
      <c r="D22">
        <v>1803</v>
      </c>
      <c r="E22">
        <v>575</v>
      </c>
      <c r="F22">
        <v>157</v>
      </c>
      <c r="G22">
        <v>1824</v>
      </c>
      <c r="H22">
        <v>575</v>
      </c>
      <c r="J22">
        <v>1.036437670638557</v>
      </c>
    </row>
    <row r="23" spans="1:10" x14ac:dyDescent="0.25">
      <c r="A23" s="1" t="s">
        <v>2058</v>
      </c>
      <c r="B23" s="1" t="s">
        <v>2144</v>
      </c>
      <c r="C23">
        <v>80</v>
      </c>
      <c r="D23">
        <v>275</v>
      </c>
      <c r="E23">
        <v>575</v>
      </c>
      <c r="F23">
        <v>157</v>
      </c>
      <c r="G23">
        <v>475</v>
      </c>
      <c r="H23">
        <v>575</v>
      </c>
      <c r="J23">
        <v>0.15812500018112502</v>
      </c>
    </row>
    <row r="24" spans="1:10" x14ac:dyDescent="0.25">
      <c r="A24" s="1" t="s">
        <v>2058</v>
      </c>
      <c r="B24" s="1" t="s">
        <v>2145</v>
      </c>
      <c r="C24">
        <v>80</v>
      </c>
      <c r="D24">
        <v>1803</v>
      </c>
      <c r="E24">
        <v>575</v>
      </c>
      <c r="F24">
        <v>157</v>
      </c>
      <c r="G24">
        <v>1824</v>
      </c>
      <c r="H24">
        <v>575</v>
      </c>
      <c r="J24">
        <v>1.036437670896732</v>
      </c>
    </row>
    <row r="25" spans="1:10" x14ac:dyDescent="0.25">
      <c r="A25" s="1" t="s">
        <v>2058</v>
      </c>
      <c r="B25" s="1" t="s">
        <v>2146</v>
      </c>
      <c r="C25">
        <v>80</v>
      </c>
      <c r="D25">
        <v>1803</v>
      </c>
      <c r="E25">
        <v>575</v>
      </c>
      <c r="F25">
        <v>157</v>
      </c>
      <c r="G25">
        <v>1824</v>
      </c>
      <c r="H25">
        <v>575</v>
      </c>
      <c r="J25">
        <v>1.0364381759612444</v>
      </c>
    </row>
    <row r="26" spans="1:10" x14ac:dyDescent="0.25">
      <c r="A26" s="1" t="s">
        <v>2058</v>
      </c>
      <c r="B26" s="1" t="s">
        <v>2147</v>
      </c>
      <c r="C26">
        <v>80</v>
      </c>
      <c r="D26">
        <v>275</v>
      </c>
      <c r="E26">
        <v>575</v>
      </c>
      <c r="F26">
        <v>157</v>
      </c>
      <c r="G26">
        <v>475</v>
      </c>
      <c r="H26">
        <v>575</v>
      </c>
      <c r="J26">
        <v>0.15812499999999999</v>
      </c>
    </row>
    <row r="27" spans="1:10" x14ac:dyDescent="0.25">
      <c r="A27" s="1" t="s">
        <v>2058</v>
      </c>
      <c r="B27" s="1" t="s">
        <v>2148</v>
      </c>
      <c r="C27">
        <v>80</v>
      </c>
      <c r="D27">
        <v>1803</v>
      </c>
      <c r="E27">
        <v>575</v>
      </c>
      <c r="F27">
        <v>157</v>
      </c>
      <c r="G27">
        <v>1824</v>
      </c>
      <c r="H27">
        <v>575</v>
      </c>
      <c r="J27">
        <v>1.0364381762516193</v>
      </c>
    </row>
    <row r="28" spans="1:10" x14ac:dyDescent="0.25">
      <c r="A28" s="1" t="s">
        <v>2058</v>
      </c>
      <c r="B28" s="1" t="s">
        <v>2149</v>
      </c>
      <c r="C28">
        <v>80</v>
      </c>
      <c r="D28">
        <v>1259</v>
      </c>
      <c r="E28">
        <v>575</v>
      </c>
      <c r="F28">
        <v>157</v>
      </c>
      <c r="G28">
        <v>1303</v>
      </c>
      <c r="H28">
        <v>575</v>
      </c>
      <c r="J28">
        <v>0.72392518524533978</v>
      </c>
    </row>
    <row r="29" spans="1:10" x14ac:dyDescent="0.25">
      <c r="A29" s="1" t="s">
        <v>2058</v>
      </c>
      <c r="B29" s="1" t="s">
        <v>2150</v>
      </c>
      <c r="C29">
        <v>80</v>
      </c>
      <c r="D29">
        <v>275</v>
      </c>
      <c r="E29">
        <v>575</v>
      </c>
      <c r="F29">
        <v>157</v>
      </c>
      <c r="G29">
        <v>475</v>
      </c>
      <c r="H29">
        <v>575</v>
      </c>
      <c r="J29">
        <v>0.15812500004255001</v>
      </c>
    </row>
    <row r="30" spans="1:10" x14ac:dyDescent="0.25">
      <c r="A30" s="1" t="s">
        <v>2058</v>
      </c>
      <c r="B30" s="1" t="s">
        <v>2151</v>
      </c>
      <c r="C30">
        <v>80</v>
      </c>
      <c r="D30">
        <v>1259</v>
      </c>
      <c r="E30">
        <v>575</v>
      </c>
      <c r="F30">
        <v>157</v>
      </c>
      <c r="G30">
        <v>1303</v>
      </c>
      <c r="H30">
        <v>575</v>
      </c>
      <c r="J30">
        <v>0.72392518782708992</v>
      </c>
    </row>
    <row r="31" spans="1:10" x14ac:dyDescent="0.25">
      <c r="A31" s="1" t="s">
        <v>2058</v>
      </c>
      <c r="B31" s="1" t="s">
        <v>2152</v>
      </c>
      <c r="C31">
        <v>80</v>
      </c>
      <c r="D31">
        <v>275</v>
      </c>
      <c r="E31">
        <v>575</v>
      </c>
      <c r="F31">
        <v>157</v>
      </c>
      <c r="G31">
        <v>475</v>
      </c>
      <c r="H31">
        <v>575</v>
      </c>
      <c r="J31">
        <v>0.15812499995745</v>
      </c>
    </row>
    <row r="32" spans="1:10" x14ac:dyDescent="0.25">
      <c r="A32" s="1" t="s">
        <v>2058</v>
      </c>
      <c r="B32" s="1" t="s">
        <v>2153</v>
      </c>
      <c r="C32">
        <v>80</v>
      </c>
      <c r="D32">
        <v>1254</v>
      </c>
      <c r="E32">
        <v>575</v>
      </c>
      <c r="F32">
        <v>157</v>
      </c>
      <c r="G32">
        <v>1276</v>
      </c>
      <c r="H32">
        <v>575</v>
      </c>
      <c r="J32">
        <v>0.72105171813095326</v>
      </c>
    </row>
    <row r="33" spans="1:10" x14ac:dyDescent="0.25">
      <c r="A33" s="1" t="s">
        <v>2058</v>
      </c>
      <c r="B33" s="1" t="s">
        <v>2154</v>
      </c>
      <c r="C33">
        <v>80</v>
      </c>
      <c r="D33">
        <v>270</v>
      </c>
      <c r="E33">
        <v>575</v>
      </c>
      <c r="F33">
        <v>157</v>
      </c>
      <c r="G33">
        <v>470</v>
      </c>
      <c r="H33">
        <v>575</v>
      </c>
      <c r="J33">
        <v>0.15525000004657499</v>
      </c>
    </row>
    <row r="34" spans="1:10" x14ac:dyDescent="0.25">
      <c r="A34" s="1" t="s">
        <v>2058</v>
      </c>
      <c r="B34" s="1" t="s">
        <v>2155</v>
      </c>
      <c r="C34">
        <v>80</v>
      </c>
      <c r="D34">
        <v>1254</v>
      </c>
      <c r="E34">
        <v>575</v>
      </c>
      <c r="F34">
        <v>157</v>
      </c>
      <c r="G34">
        <v>1276</v>
      </c>
      <c r="H34">
        <v>575</v>
      </c>
      <c r="J34">
        <v>0.72105171776870325</v>
      </c>
    </row>
    <row r="35" spans="1:10" x14ac:dyDescent="0.25">
      <c r="A35" s="1" t="s">
        <v>2058</v>
      </c>
      <c r="B35" s="1" t="s">
        <v>2156</v>
      </c>
      <c r="C35">
        <v>80</v>
      </c>
      <c r="D35">
        <v>1244</v>
      </c>
      <c r="E35">
        <v>575</v>
      </c>
      <c r="F35">
        <v>157</v>
      </c>
      <c r="G35">
        <v>1266</v>
      </c>
      <c r="H35">
        <v>575</v>
      </c>
      <c r="J35">
        <v>0.71530019813136569</v>
      </c>
    </row>
    <row r="36" spans="1:10" x14ac:dyDescent="0.25">
      <c r="A36" s="1" t="s">
        <v>2058</v>
      </c>
      <c r="B36" s="1" t="s">
        <v>2157</v>
      </c>
      <c r="C36">
        <v>80</v>
      </c>
      <c r="D36">
        <v>270</v>
      </c>
      <c r="E36">
        <v>575</v>
      </c>
      <c r="F36">
        <v>157</v>
      </c>
      <c r="G36">
        <v>470</v>
      </c>
      <c r="H36">
        <v>575</v>
      </c>
      <c r="J36">
        <v>0.15525</v>
      </c>
    </row>
    <row r="37" spans="1:10" x14ac:dyDescent="0.25">
      <c r="A37" s="1" t="s">
        <v>2058</v>
      </c>
      <c r="B37" s="1" t="s">
        <v>2158</v>
      </c>
      <c r="C37">
        <v>80</v>
      </c>
      <c r="D37">
        <v>1244</v>
      </c>
      <c r="E37">
        <v>575</v>
      </c>
      <c r="F37">
        <v>157</v>
      </c>
      <c r="G37">
        <v>1266</v>
      </c>
      <c r="H37">
        <v>575</v>
      </c>
      <c r="J37">
        <v>0.71530018911479021</v>
      </c>
    </row>
    <row r="38" spans="1:10" x14ac:dyDescent="0.25">
      <c r="A38" s="1" t="s">
        <v>2058</v>
      </c>
      <c r="B38" s="1" t="s">
        <v>2159</v>
      </c>
      <c r="C38">
        <v>80</v>
      </c>
      <c r="D38">
        <v>1477</v>
      </c>
      <c r="E38">
        <v>575</v>
      </c>
      <c r="F38">
        <v>157</v>
      </c>
      <c r="G38">
        <v>1499</v>
      </c>
      <c r="H38">
        <v>575</v>
      </c>
      <c r="J38">
        <v>0.84927517761887339</v>
      </c>
    </row>
    <row r="39" spans="1:10" x14ac:dyDescent="0.25">
      <c r="A39" s="1" t="s">
        <v>2058</v>
      </c>
      <c r="B39" s="1" t="s">
        <v>2160</v>
      </c>
      <c r="C39">
        <v>80</v>
      </c>
      <c r="D39">
        <v>282</v>
      </c>
      <c r="E39">
        <v>575</v>
      </c>
      <c r="F39">
        <v>157</v>
      </c>
      <c r="G39">
        <v>484</v>
      </c>
      <c r="H39">
        <v>575</v>
      </c>
      <c r="J39">
        <v>0.16243750000000001</v>
      </c>
    </row>
    <row r="40" spans="1:10" x14ac:dyDescent="0.25">
      <c r="A40" s="1" t="s">
        <v>2058</v>
      </c>
      <c r="B40" s="1" t="s">
        <v>2161</v>
      </c>
      <c r="C40">
        <v>80</v>
      </c>
      <c r="D40">
        <v>1477</v>
      </c>
      <c r="E40">
        <v>575</v>
      </c>
      <c r="F40">
        <v>157</v>
      </c>
      <c r="G40">
        <v>1499</v>
      </c>
      <c r="H40">
        <v>575</v>
      </c>
      <c r="J40">
        <v>0.84927524658840359</v>
      </c>
    </row>
    <row r="41" spans="1:10" x14ac:dyDescent="0.25">
      <c r="A41" s="1" t="s">
        <v>2058</v>
      </c>
      <c r="B41" s="1" t="s">
        <v>2162</v>
      </c>
      <c r="C41">
        <v>80</v>
      </c>
      <c r="D41">
        <v>1416</v>
      </c>
      <c r="E41">
        <v>575</v>
      </c>
      <c r="F41">
        <v>157</v>
      </c>
      <c r="G41">
        <v>1438</v>
      </c>
      <c r="H41">
        <v>575</v>
      </c>
      <c r="J41">
        <v>0.8142001802109039</v>
      </c>
    </row>
    <row r="42" spans="1:10" x14ac:dyDescent="0.25">
      <c r="A42" s="1" t="s">
        <v>2058</v>
      </c>
      <c r="B42" s="1" t="s">
        <v>2163</v>
      </c>
      <c r="C42">
        <v>80</v>
      </c>
      <c r="D42">
        <v>282</v>
      </c>
      <c r="E42">
        <v>575</v>
      </c>
      <c r="F42">
        <v>157</v>
      </c>
      <c r="G42">
        <v>484</v>
      </c>
      <c r="H42">
        <v>575</v>
      </c>
      <c r="J42">
        <v>0.16243750000000001</v>
      </c>
    </row>
    <row r="43" spans="1:10" x14ac:dyDescent="0.25">
      <c r="A43" s="1" t="s">
        <v>2058</v>
      </c>
      <c r="B43" s="1" t="s">
        <v>2164</v>
      </c>
      <c r="C43">
        <v>80</v>
      </c>
      <c r="D43">
        <v>1416</v>
      </c>
      <c r="E43">
        <v>575</v>
      </c>
      <c r="F43">
        <v>157</v>
      </c>
      <c r="G43">
        <v>1438</v>
      </c>
      <c r="H43">
        <v>575</v>
      </c>
      <c r="J43">
        <v>0.8142001799883789</v>
      </c>
    </row>
    <row r="44" spans="1:10" x14ac:dyDescent="0.25">
      <c r="A44" s="1" t="s">
        <v>2058</v>
      </c>
      <c r="B44" s="1" t="s">
        <v>2165</v>
      </c>
      <c r="C44">
        <v>80</v>
      </c>
      <c r="D44">
        <v>500</v>
      </c>
      <c r="E44">
        <v>575</v>
      </c>
      <c r="F44">
        <v>157</v>
      </c>
      <c r="G44">
        <v>544</v>
      </c>
      <c r="H44">
        <v>575</v>
      </c>
      <c r="J44">
        <v>0.28750033661329832</v>
      </c>
    </row>
    <row r="45" spans="1:10" x14ac:dyDescent="0.25">
      <c r="A45" s="1" t="s">
        <v>2058</v>
      </c>
      <c r="B45" s="1" t="s">
        <v>2166</v>
      </c>
      <c r="C45">
        <v>80</v>
      </c>
      <c r="D45">
        <v>290</v>
      </c>
      <c r="E45">
        <v>575</v>
      </c>
      <c r="F45">
        <v>157</v>
      </c>
      <c r="G45">
        <v>490</v>
      </c>
      <c r="H45">
        <v>575</v>
      </c>
      <c r="J45">
        <v>0.16675000004255</v>
      </c>
    </row>
    <row r="46" spans="1:10" x14ac:dyDescent="0.25">
      <c r="A46" s="1" t="s">
        <v>2058</v>
      </c>
      <c r="B46" s="1" t="s">
        <v>2167</v>
      </c>
      <c r="C46">
        <v>80</v>
      </c>
      <c r="D46">
        <v>500</v>
      </c>
      <c r="E46">
        <v>575</v>
      </c>
      <c r="F46">
        <v>157</v>
      </c>
      <c r="G46">
        <v>544</v>
      </c>
      <c r="H46">
        <v>575</v>
      </c>
      <c r="J46">
        <v>0.28750033656039836</v>
      </c>
    </row>
    <row r="47" spans="1:10" x14ac:dyDescent="0.25">
      <c r="A47" s="1" t="s">
        <v>2058</v>
      </c>
      <c r="B47" s="1" t="s">
        <v>2168</v>
      </c>
      <c r="C47">
        <v>80</v>
      </c>
      <c r="D47">
        <v>290</v>
      </c>
      <c r="E47">
        <v>575</v>
      </c>
      <c r="F47">
        <v>157</v>
      </c>
      <c r="G47">
        <v>490</v>
      </c>
      <c r="H47">
        <v>575</v>
      </c>
      <c r="J47">
        <v>0.16674999995744999</v>
      </c>
    </row>
    <row r="48" spans="1:10" x14ac:dyDescent="0.25">
      <c r="A48" s="1" t="s">
        <v>2058</v>
      </c>
      <c r="B48" s="1" t="s">
        <v>2169</v>
      </c>
      <c r="C48">
        <v>80</v>
      </c>
      <c r="D48">
        <v>1682</v>
      </c>
      <c r="E48">
        <v>568</v>
      </c>
      <c r="F48">
        <v>157</v>
      </c>
      <c r="G48">
        <v>1726</v>
      </c>
      <c r="H48">
        <v>591</v>
      </c>
      <c r="J48">
        <v>0.95537646843357593</v>
      </c>
    </row>
    <row r="49" spans="1:10" x14ac:dyDescent="0.25">
      <c r="A49" s="1" t="s">
        <v>2058</v>
      </c>
      <c r="B49" s="1" t="s">
        <v>2170</v>
      </c>
      <c r="C49">
        <v>80</v>
      </c>
      <c r="D49">
        <v>275</v>
      </c>
      <c r="E49">
        <v>568</v>
      </c>
      <c r="F49">
        <v>157</v>
      </c>
      <c r="G49">
        <v>477</v>
      </c>
      <c r="H49">
        <v>591</v>
      </c>
      <c r="J49">
        <v>0.15620446163109195</v>
      </c>
    </row>
    <row r="50" spans="1:10" x14ac:dyDescent="0.25">
      <c r="A50" s="1" t="s">
        <v>2058</v>
      </c>
      <c r="B50" s="1" t="s">
        <v>2171</v>
      </c>
      <c r="C50">
        <v>80</v>
      </c>
      <c r="D50">
        <v>1682</v>
      </c>
      <c r="E50">
        <v>517</v>
      </c>
      <c r="F50">
        <v>157</v>
      </c>
      <c r="G50">
        <v>1726</v>
      </c>
      <c r="H50">
        <v>529</v>
      </c>
      <c r="J50">
        <v>0.86959408937068794</v>
      </c>
    </row>
    <row r="51" spans="1:10" x14ac:dyDescent="0.25">
      <c r="A51" s="1" t="s">
        <v>2058</v>
      </c>
      <c r="B51" s="1" t="s">
        <v>2172</v>
      </c>
      <c r="C51">
        <v>80</v>
      </c>
      <c r="D51">
        <v>275</v>
      </c>
      <c r="E51">
        <v>568</v>
      </c>
      <c r="F51">
        <v>157</v>
      </c>
      <c r="G51">
        <v>477</v>
      </c>
      <c r="H51">
        <v>591</v>
      </c>
      <c r="J51">
        <v>0.15620051121225834</v>
      </c>
    </row>
    <row r="52" spans="1:10" x14ac:dyDescent="0.25">
      <c r="A52" s="1" t="s">
        <v>2058</v>
      </c>
      <c r="B52" s="1" t="s">
        <v>2173</v>
      </c>
      <c r="C52">
        <v>80</v>
      </c>
      <c r="D52">
        <v>1682</v>
      </c>
      <c r="E52">
        <v>568</v>
      </c>
      <c r="F52">
        <v>157</v>
      </c>
      <c r="G52">
        <v>1726</v>
      </c>
      <c r="H52">
        <v>591</v>
      </c>
      <c r="J52">
        <v>0.95537646843357593</v>
      </c>
    </row>
    <row r="53" spans="1:10" x14ac:dyDescent="0.25">
      <c r="A53" s="1" t="s">
        <v>2058</v>
      </c>
      <c r="B53" s="1" t="s">
        <v>2174</v>
      </c>
      <c r="C53">
        <v>80</v>
      </c>
      <c r="D53">
        <v>275</v>
      </c>
      <c r="E53">
        <v>568</v>
      </c>
      <c r="F53">
        <v>157</v>
      </c>
      <c r="G53">
        <v>477</v>
      </c>
      <c r="H53">
        <v>591</v>
      </c>
      <c r="J53">
        <v>0.15620446177122588</v>
      </c>
    </row>
    <row r="54" spans="1:10" x14ac:dyDescent="0.25">
      <c r="A54" s="1" t="s">
        <v>2058</v>
      </c>
      <c r="B54" s="1" t="s">
        <v>2175</v>
      </c>
      <c r="C54">
        <v>80</v>
      </c>
      <c r="D54">
        <v>1682</v>
      </c>
      <c r="E54">
        <v>517</v>
      </c>
      <c r="F54">
        <v>157</v>
      </c>
      <c r="G54">
        <v>1726</v>
      </c>
      <c r="H54">
        <v>529</v>
      </c>
      <c r="J54">
        <v>0.86959408937068794</v>
      </c>
    </row>
    <row r="55" spans="1:10" x14ac:dyDescent="0.25">
      <c r="A55" s="1" t="s">
        <v>2058</v>
      </c>
      <c r="B55" s="1" t="s">
        <v>2176</v>
      </c>
      <c r="C55">
        <v>80</v>
      </c>
      <c r="D55">
        <v>275</v>
      </c>
      <c r="E55">
        <v>568</v>
      </c>
      <c r="F55">
        <v>157</v>
      </c>
      <c r="G55">
        <v>477</v>
      </c>
      <c r="H55">
        <v>591</v>
      </c>
      <c r="J55">
        <v>0.15620051121225834</v>
      </c>
    </row>
    <row r="56" spans="1:10" x14ac:dyDescent="0.25">
      <c r="A56" s="1" t="s">
        <v>2058</v>
      </c>
      <c r="B56" s="1" t="s">
        <v>2177</v>
      </c>
      <c r="C56">
        <v>80</v>
      </c>
      <c r="D56">
        <v>1020</v>
      </c>
      <c r="E56">
        <v>568</v>
      </c>
      <c r="F56">
        <v>157</v>
      </c>
      <c r="G56">
        <v>1064</v>
      </c>
      <c r="H56">
        <v>591</v>
      </c>
      <c r="J56">
        <v>0.57936059479142399</v>
      </c>
    </row>
    <row r="57" spans="1:10" x14ac:dyDescent="0.25">
      <c r="A57" s="1" t="s">
        <v>2058</v>
      </c>
      <c r="B57" s="1" t="s">
        <v>2178</v>
      </c>
      <c r="C57">
        <v>80</v>
      </c>
      <c r="D57">
        <v>610</v>
      </c>
      <c r="E57">
        <v>568</v>
      </c>
      <c r="F57">
        <v>157</v>
      </c>
      <c r="G57">
        <v>812</v>
      </c>
      <c r="H57">
        <v>591</v>
      </c>
      <c r="J57">
        <v>0.34648829178574453</v>
      </c>
    </row>
    <row r="58" spans="1:10" x14ac:dyDescent="0.25">
      <c r="A58" s="1" t="s">
        <v>2058</v>
      </c>
      <c r="B58" s="1" t="s">
        <v>2179</v>
      </c>
      <c r="C58">
        <v>80</v>
      </c>
      <c r="D58">
        <v>1020</v>
      </c>
      <c r="E58">
        <v>517</v>
      </c>
      <c r="F58">
        <v>157</v>
      </c>
      <c r="G58">
        <v>1064</v>
      </c>
      <c r="H58">
        <v>529</v>
      </c>
      <c r="J58">
        <v>0.527340144945603</v>
      </c>
    </row>
    <row r="59" spans="1:10" x14ac:dyDescent="0.25">
      <c r="A59" s="1" t="s">
        <v>2058</v>
      </c>
      <c r="B59" s="1" t="s">
        <v>2180</v>
      </c>
      <c r="C59">
        <v>80</v>
      </c>
      <c r="D59">
        <v>610</v>
      </c>
      <c r="E59">
        <v>568</v>
      </c>
      <c r="F59">
        <v>157</v>
      </c>
      <c r="G59">
        <v>812</v>
      </c>
      <c r="H59">
        <v>591</v>
      </c>
      <c r="J59">
        <v>0.34648284599621165</v>
      </c>
    </row>
    <row r="60" spans="1:10" x14ac:dyDescent="0.25">
      <c r="A60" s="1" t="s">
        <v>2058</v>
      </c>
      <c r="B60" s="1" t="s">
        <v>2181</v>
      </c>
      <c r="C60">
        <v>80</v>
      </c>
      <c r="D60">
        <v>1130</v>
      </c>
      <c r="E60">
        <v>568</v>
      </c>
      <c r="F60">
        <v>157</v>
      </c>
      <c r="G60">
        <v>1174</v>
      </c>
      <c r="H60">
        <v>591</v>
      </c>
      <c r="J60">
        <v>0.64184143300947194</v>
      </c>
    </row>
    <row r="61" spans="1:10" x14ac:dyDescent="0.25">
      <c r="A61" s="1" t="s">
        <v>2058</v>
      </c>
      <c r="B61" s="1" t="s">
        <v>2182</v>
      </c>
      <c r="C61">
        <v>80</v>
      </c>
      <c r="D61">
        <v>283</v>
      </c>
      <c r="E61">
        <v>568</v>
      </c>
      <c r="F61">
        <v>157</v>
      </c>
      <c r="G61">
        <v>485</v>
      </c>
      <c r="H61">
        <v>591</v>
      </c>
      <c r="J61">
        <v>0.16046673398907957</v>
      </c>
    </row>
    <row r="62" spans="1:10" x14ac:dyDescent="0.25">
      <c r="A62" s="1" t="s">
        <v>2058</v>
      </c>
      <c r="B62" s="1" t="s">
        <v>2183</v>
      </c>
      <c r="C62">
        <v>80</v>
      </c>
      <c r="D62">
        <v>1130</v>
      </c>
      <c r="E62">
        <v>517</v>
      </c>
      <c r="F62">
        <v>157</v>
      </c>
      <c r="G62">
        <v>1174</v>
      </c>
      <c r="H62">
        <v>529</v>
      </c>
      <c r="J62">
        <v>0.58421085719375498</v>
      </c>
    </row>
    <row r="63" spans="1:10" x14ac:dyDescent="0.25">
      <c r="A63" s="1" t="s">
        <v>2058</v>
      </c>
      <c r="B63" s="1" t="s">
        <v>2184</v>
      </c>
      <c r="C63">
        <v>80</v>
      </c>
      <c r="D63">
        <v>283</v>
      </c>
      <c r="E63">
        <v>568</v>
      </c>
      <c r="F63">
        <v>157</v>
      </c>
      <c r="G63">
        <v>485</v>
      </c>
      <c r="H63">
        <v>591</v>
      </c>
      <c r="J63">
        <v>0.16046013998204872</v>
      </c>
    </row>
    <row r="64" spans="1:10" x14ac:dyDescent="0.25">
      <c r="A64" s="1" t="s">
        <v>2058</v>
      </c>
      <c r="B64" s="1" t="s">
        <v>2185</v>
      </c>
      <c r="C64">
        <v>80</v>
      </c>
      <c r="D64">
        <v>270</v>
      </c>
      <c r="E64">
        <v>575</v>
      </c>
      <c r="F64">
        <v>157</v>
      </c>
      <c r="G64">
        <v>470</v>
      </c>
      <c r="H64">
        <v>575</v>
      </c>
      <c r="J64">
        <v>0.15524999995342501</v>
      </c>
    </row>
    <row r="65" spans="1:10" x14ac:dyDescent="0.25">
      <c r="A65" s="1" t="s">
        <v>2058</v>
      </c>
      <c r="B65" s="1" t="s">
        <v>2186</v>
      </c>
      <c r="C65">
        <v>80</v>
      </c>
      <c r="D65">
        <v>270</v>
      </c>
      <c r="E65">
        <v>575</v>
      </c>
      <c r="F65">
        <v>157</v>
      </c>
      <c r="G65">
        <v>470</v>
      </c>
      <c r="H65">
        <v>575</v>
      </c>
      <c r="J65">
        <v>0.15525000004657499</v>
      </c>
    </row>
    <row r="66" spans="1:10" x14ac:dyDescent="0.25">
      <c r="A66" s="1" t="s">
        <v>2058</v>
      </c>
      <c r="B66" s="1" t="s">
        <v>2187</v>
      </c>
      <c r="C66">
        <v>80</v>
      </c>
      <c r="D66">
        <v>282</v>
      </c>
      <c r="E66">
        <v>575</v>
      </c>
      <c r="F66">
        <v>157</v>
      </c>
      <c r="G66">
        <v>482</v>
      </c>
      <c r="H66">
        <v>575</v>
      </c>
      <c r="J66">
        <v>0.16243750000000001</v>
      </c>
    </row>
    <row r="67" spans="1:10" x14ac:dyDescent="0.25">
      <c r="A67" s="1" t="s">
        <v>2058</v>
      </c>
      <c r="B67" s="1" t="s">
        <v>2188</v>
      </c>
      <c r="C67">
        <v>80</v>
      </c>
      <c r="D67">
        <v>283</v>
      </c>
      <c r="E67">
        <v>575</v>
      </c>
      <c r="F67">
        <v>157</v>
      </c>
      <c r="G67">
        <v>482</v>
      </c>
      <c r="H67">
        <v>575</v>
      </c>
      <c r="J67">
        <v>0.16243750009257502</v>
      </c>
    </row>
    <row r="68" spans="1:10" x14ac:dyDescent="0.25">
      <c r="A68" s="1" t="s">
        <v>2058</v>
      </c>
      <c r="B68" s="1" t="s">
        <v>2189</v>
      </c>
      <c r="C68">
        <v>80</v>
      </c>
      <c r="D68">
        <v>275</v>
      </c>
      <c r="E68">
        <v>575</v>
      </c>
      <c r="F68">
        <v>157</v>
      </c>
      <c r="G68">
        <v>475</v>
      </c>
      <c r="H68">
        <v>575</v>
      </c>
      <c r="J68">
        <v>0.15812500009314998</v>
      </c>
    </row>
    <row r="69" spans="1:10" x14ac:dyDescent="0.25">
      <c r="A69" s="1" t="s">
        <v>2058</v>
      </c>
      <c r="B69" s="1" t="s">
        <v>2190</v>
      </c>
      <c r="C69">
        <v>80</v>
      </c>
      <c r="D69">
        <v>275</v>
      </c>
      <c r="E69">
        <v>575</v>
      </c>
      <c r="F69">
        <v>157</v>
      </c>
      <c r="G69">
        <v>475</v>
      </c>
      <c r="H69">
        <v>575</v>
      </c>
      <c r="J69">
        <v>0.15812499999999999</v>
      </c>
    </row>
    <row r="70" spans="1:10" x14ac:dyDescent="0.25">
      <c r="A70" s="1" t="s">
        <v>2058</v>
      </c>
      <c r="B70" s="1" t="s">
        <v>2191</v>
      </c>
      <c r="C70">
        <v>80</v>
      </c>
      <c r="D70">
        <v>282</v>
      </c>
      <c r="E70">
        <v>575</v>
      </c>
      <c r="F70">
        <v>157</v>
      </c>
      <c r="G70">
        <v>482</v>
      </c>
      <c r="H70">
        <v>575</v>
      </c>
      <c r="J70">
        <v>0.16243750000000001</v>
      </c>
    </row>
    <row r="71" spans="1:10" x14ac:dyDescent="0.25">
      <c r="A71" s="1" t="s">
        <v>2058</v>
      </c>
      <c r="B71" s="1" t="s">
        <v>2192</v>
      </c>
      <c r="C71">
        <v>80</v>
      </c>
      <c r="D71">
        <v>282</v>
      </c>
      <c r="E71">
        <v>575</v>
      </c>
      <c r="F71">
        <v>157</v>
      </c>
      <c r="G71">
        <v>482</v>
      </c>
      <c r="H71">
        <v>575</v>
      </c>
      <c r="J71">
        <v>0.16243750000000001</v>
      </c>
    </row>
    <row r="72" spans="1:10" x14ac:dyDescent="0.25">
      <c r="A72" s="1" t="s">
        <v>2058</v>
      </c>
      <c r="B72" s="1" t="s">
        <v>2193</v>
      </c>
      <c r="C72">
        <v>80</v>
      </c>
      <c r="D72">
        <v>270</v>
      </c>
      <c r="E72">
        <v>575</v>
      </c>
      <c r="F72">
        <v>157</v>
      </c>
      <c r="G72">
        <v>470</v>
      </c>
      <c r="H72">
        <v>575</v>
      </c>
      <c r="J72">
        <v>0.15525</v>
      </c>
    </row>
    <row r="73" spans="1:10" x14ac:dyDescent="0.25">
      <c r="A73" s="1" t="s">
        <v>2058</v>
      </c>
      <c r="B73" s="1" t="s">
        <v>2194</v>
      </c>
      <c r="C73">
        <v>80</v>
      </c>
      <c r="D73">
        <v>270</v>
      </c>
      <c r="E73">
        <v>575</v>
      </c>
      <c r="F73">
        <v>157</v>
      </c>
      <c r="G73">
        <v>470</v>
      </c>
      <c r="H73">
        <v>575</v>
      </c>
      <c r="J73">
        <v>0.15524999995342501</v>
      </c>
    </row>
    <row r="74" spans="1:10" x14ac:dyDescent="0.25">
      <c r="A74" s="1" t="s">
        <v>2058</v>
      </c>
      <c r="B74" s="1" t="s">
        <v>2195</v>
      </c>
      <c r="C74">
        <v>80</v>
      </c>
      <c r="D74">
        <v>1020</v>
      </c>
      <c r="E74">
        <v>568</v>
      </c>
      <c r="F74">
        <v>157</v>
      </c>
      <c r="G74">
        <v>1064</v>
      </c>
      <c r="H74">
        <v>591</v>
      </c>
      <c r="J74">
        <v>0.57936059479142399</v>
      </c>
    </row>
    <row r="75" spans="1:10" x14ac:dyDescent="0.25">
      <c r="A75" s="1" t="s">
        <v>2058</v>
      </c>
      <c r="B75" s="1" t="s">
        <v>2196</v>
      </c>
      <c r="C75">
        <v>80</v>
      </c>
      <c r="D75">
        <v>610</v>
      </c>
      <c r="E75">
        <v>568</v>
      </c>
      <c r="F75">
        <v>157</v>
      </c>
      <c r="G75">
        <v>812</v>
      </c>
      <c r="H75">
        <v>591</v>
      </c>
      <c r="J75">
        <v>0.34648022246562166</v>
      </c>
    </row>
    <row r="76" spans="1:10" x14ac:dyDescent="0.25">
      <c r="A76" s="1" t="s">
        <v>2058</v>
      </c>
      <c r="B76" s="1" t="s">
        <v>2197</v>
      </c>
      <c r="C76">
        <v>80</v>
      </c>
      <c r="D76">
        <v>1020</v>
      </c>
      <c r="E76">
        <v>517</v>
      </c>
      <c r="F76">
        <v>157</v>
      </c>
      <c r="G76">
        <v>1064</v>
      </c>
      <c r="H76">
        <v>529</v>
      </c>
      <c r="J76">
        <v>0.52734014496111303</v>
      </c>
    </row>
    <row r="77" spans="1:10" x14ac:dyDescent="0.25">
      <c r="A77" s="1" t="s">
        <v>2058</v>
      </c>
      <c r="B77" s="1" t="s">
        <v>2198</v>
      </c>
      <c r="C77">
        <v>80</v>
      </c>
      <c r="D77">
        <v>610</v>
      </c>
      <c r="E77">
        <v>568</v>
      </c>
      <c r="F77">
        <v>157</v>
      </c>
      <c r="G77">
        <v>812</v>
      </c>
      <c r="H77">
        <v>591</v>
      </c>
      <c r="J77">
        <v>0.3464800504429284</v>
      </c>
    </row>
    <row r="78" spans="1:10" x14ac:dyDescent="0.25">
      <c r="A78" s="1" t="s">
        <v>2058</v>
      </c>
      <c r="B78" s="1" t="s">
        <v>2199</v>
      </c>
      <c r="C78">
        <v>80</v>
      </c>
      <c r="D78">
        <v>1130</v>
      </c>
      <c r="E78">
        <v>568</v>
      </c>
      <c r="F78">
        <v>157</v>
      </c>
      <c r="G78">
        <v>1174</v>
      </c>
      <c r="H78">
        <v>591</v>
      </c>
      <c r="J78">
        <v>0.64184143300947194</v>
      </c>
    </row>
    <row r="79" spans="1:10" x14ac:dyDescent="0.25">
      <c r="A79" s="1" t="s">
        <v>2058</v>
      </c>
      <c r="B79" s="1" t="s">
        <v>2200</v>
      </c>
      <c r="C79">
        <v>80</v>
      </c>
      <c r="D79">
        <v>283</v>
      </c>
      <c r="E79">
        <v>568</v>
      </c>
      <c r="F79">
        <v>157</v>
      </c>
      <c r="G79">
        <v>485</v>
      </c>
      <c r="H79">
        <v>591</v>
      </c>
      <c r="J79">
        <v>0.1604667340794835</v>
      </c>
    </row>
    <row r="80" spans="1:10" x14ac:dyDescent="0.25">
      <c r="A80" s="1" t="s">
        <v>2058</v>
      </c>
      <c r="B80" s="1" t="s">
        <v>2201</v>
      </c>
      <c r="C80">
        <v>80</v>
      </c>
      <c r="D80">
        <v>1130</v>
      </c>
      <c r="E80">
        <v>517</v>
      </c>
      <c r="F80">
        <v>157</v>
      </c>
      <c r="G80">
        <v>1174</v>
      </c>
      <c r="H80">
        <v>529</v>
      </c>
      <c r="J80">
        <v>0.58421085719375498</v>
      </c>
    </row>
    <row r="81" spans="1:10" x14ac:dyDescent="0.25">
      <c r="A81" s="1" t="s">
        <v>2058</v>
      </c>
      <c r="B81" s="1" t="s">
        <v>2202</v>
      </c>
      <c r="C81">
        <v>80</v>
      </c>
      <c r="D81">
        <v>283</v>
      </c>
      <c r="E81">
        <v>568</v>
      </c>
      <c r="F81">
        <v>157</v>
      </c>
      <c r="G81">
        <v>485</v>
      </c>
      <c r="H81">
        <v>591</v>
      </c>
      <c r="J81">
        <v>0.16046014063053868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L57"/>
  <sheetViews>
    <sheetView workbookViewId="0"/>
  </sheetViews>
  <sheetFormatPr defaultRowHeight="15" x14ac:dyDescent="0.25"/>
  <cols>
    <col min="1" max="1" width="11" bestFit="1" customWidth="1"/>
    <col min="2" max="2" width="15.7109375" bestFit="1" customWidth="1"/>
    <col min="3" max="3" width="9.28515625" bestFit="1" customWidth="1"/>
    <col min="4" max="4" width="9" bestFit="1" customWidth="1"/>
    <col min="5" max="5" width="9.42578125" bestFit="1" customWidth="1"/>
    <col min="6" max="6" width="8.85546875" bestFit="1" customWidth="1"/>
    <col min="7" max="7" width="8" bestFit="1" customWidth="1"/>
    <col min="8" max="8" width="8.42578125" bestFit="1" customWidth="1"/>
    <col min="9" max="9" width="13" bestFit="1" customWidth="1"/>
    <col min="10" max="10" width="13.7109375" bestFit="1" customWidth="1"/>
    <col min="11" max="11" width="8.42578125" bestFit="1" customWidth="1"/>
    <col min="12" max="12" width="7" bestFit="1" customWidth="1"/>
  </cols>
  <sheetData>
    <row r="1" spans="1:12" x14ac:dyDescent="0.25">
      <c r="A1" t="s">
        <v>14</v>
      </c>
      <c r="B1" t="s">
        <v>5</v>
      </c>
      <c r="C1" t="s">
        <v>68</v>
      </c>
      <c r="D1" t="s">
        <v>69</v>
      </c>
      <c r="E1" t="s">
        <v>70</v>
      </c>
      <c r="F1" t="s">
        <v>270</v>
      </c>
      <c r="G1" t="s">
        <v>1</v>
      </c>
      <c r="H1" t="s">
        <v>2</v>
      </c>
      <c r="I1" t="s">
        <v>71</v>
      </c>
      <c r="J1" t="s">
        <v>1101</v>
      </c>
      <c r="K1" t="s">
        <v>272</v>
      </c>
      <c r="L1" t="s">
        <v>273</v>
      </c>
    </row>
    <row r="2" spans="1:12" x14ac:dyDescent="0.25">
      <c r="A2" s="1" t="s">
        <v>2058</v>
      </c>
      <c r="B2" s="1" t="s">
        <v>2210</v>
      </c>
      <c r="C2">
        <v>80</v>
      </c>
      <c r="D2">
        <v>1253</v>
      </c>
      <c r="E2">
        <v>1007</v>
      </c>
      <c r="F2">
        <v>127</v>
      </c>
      <c r="G2">
        <v>1275</v>
      </c>
      <c r="H2">
        <v>1032</v>
      </c>
      <c r="J2">
        <v>1.2612671324692439</v>
      </c>
    </row>
    <row r="3" spans="1:12" x14ac:dyDescent="0.25">
      <c r="A3" s="1" t="s">
        <v>2058</v>
      </c>
      <c r="B3" s="1" t="s">
        <v>2211</v>
      </c>
      <c r="C3">
        <v>80</v>
      </c>
      <c r="D3">
        <v>270</v>
      </c>
      <c r="E3">
        <v>1007</v>
      </c>
      <c r="F3">
        <v>127</v>
      </c>
      <c r="G3">
        <v>470</v>
      </c>
      <c r="H3">
        <v>1032</v>
      </c>
      <c r="J3">
        <v>0.27188973130196686</v>
      </c>
    </row>
    <row r="4" spans="1:12" x14ac:dyDescent="0.25">
      <c r="A4" s="1" t="s">
        <v>2058</v>
      </c>
      <c r="B4" s="1" t="s">
        <v>2212</v>
      </c>
      <c r="C4">
        <v>80</v>
      </c>
      <c r="D4">
        <v>270</v>
      </c>
      <c r="E4">
        <v>1007</v>
      </c>
      <c r="F4">
        <v>127</v>
      </c>
      <c r="G4">
        <v>470</v>
      </c>
      <c r="H4">
        <v>1032</v>
      </c>
      <c r="J4">
        <v>0.27188973153760471</v>
      </c>
    </row>
    <row r="5" spans="1:12" x14ac:dyDescent="0.25">
      <c r="A5" s="1" t="s">
        <v>2058</v>
      </c>
      <c r="B5" s="1" t="s">
        <v>2213</v>
      </c>
      <c r="C5">
        <v>80</v>
      </c>
      <c r="D5">
        <v>1416</v>
      </c>
      <c r="E5">
        <v>1007</v>
      </c>
      <c r="F5">
        <v>127</v>
      </c>
      <c r="G5">
        <v>1438</v>
      </c>
      <c r="H5">
        <v>1032</v>
      </c>
      <c r="J5">
        <v>1.4259192012651092</v>
      </c>
    </row>
    <row r="6" spans="1:12" x14ac:dyDescent="0.25">
      <c r="A6" s="1" t="s">
        <v>2058</v>
      </c>
      <c r="B6" s="1" t="s">
        <v>2214</v>
      </c>
      <c r="C6">
        <v>80</v>
      </c>
      <c r="D6">
        <v>282</v>
      </c>
      <c r="E6">
        <v>1007</v>
      </c>
      <c r="F6">
        <v>127</v>
      </c>
      <c r="G6">
        <v>484</v>
      </c>
      <c r="H6">
        <v>1032</v>
      </c>
      <c r="J6">
        <v>0.28447721877689996</v>
      </c>
    </row>
    <row r="7" spans="1:12" x14ac:dyDescent="0.25">
      <c r="A7" s="1" t="s">
        <v>2058</v>
      </c>
      <c r="B7" s="1" t="s">
        <v>2215</v>
      </c>
      <c r="C7">
        <v>80</v>
      </c>
      <c r="D7">
        <v>282</v>
      </c>
      <c r="E7">
        <v>1007</v>
      </c>
      <c r="F7">
        <v>127</v>
      </c>
      <c r="G7">
        <v>484</v>
      </c>
      <c r="H7">
        <v>1032</v>
      </c>
      <c r="J7">
        <v>0.28447865692789998</v>
      </c>
    </row>
    <row r="8" spans="1:12" x14ac:dyDescent="0.25">
      <c r="A8" s="1" t="s">
        <v>2058</v>
      </c>
      <c r="B8" s="1" t="s">
        <v>2216</v>
      </c>
      <c r="C8">
        <v>80</v>
      </c>
      <c r="D8">
        <v>275</v>
      </c>
      <c r="E8">
        <v>1007</v>
      </c>
      <c r="F8">
        <v>127</v>
      </c>
      <c r="G8">
        <v>475</v>
      </c>
      <c r="H8">
        <v>1032</v>
      </c>
      <c r="J8">
        <v>0.27692472616848202</v>
      </c>
    </row>
    <row r="9" spans="1:12" x14ac:dyDescent="0.25">
      <c r="A9" s="1" t="s">
        <v>2058</v>
      </c>
      <c r="B9" s="1" t="s">
        <v>2217</v>
      </c>
      <c r="C9">
        <v>80</v>
      </c>
      <c r="D9">
        <v>275</v>
      </c>
      <c r="E9">
        <v>1007</v>
      </c>
      <c r="F9">
        <v>127</v>
      </c>
      <c r="G9">
        <v>475</v>
      </c>
      <c r="H9">
        <v>1032</v>
      </c>
      <c r="J9">
        <v>0.27692472631751791</v>
      </c>
    </row>
    <row r="10" spans="1:12" x14ac:dyDescent="0.25">
      <c r="A10" s="1" t="s">
        <v>2058</v>
      </c>
      <c r="B10" s="1" t="s">
        <v>2218</v>
      </c>
      <c r="C10">
        <v>80</v>
      </c>
      <c r="D10">
        <v>1259</v>
      </c>
      <c r="E10">
        <v>1007</v>
      </c>
      <c r="F10">
        <v>127</v>
      </c>
      <c r="G10">
        <v>1303</v>
      </c>
      <c r="H10">
        <v>1032</v>
      </c>
      <c r="J10">
        <v>1.2678120039127498</v>
      </c>
    </row>
    <row r="11" spans="1:12" x14ac:dyDescent="0.25">
      <c r="A11" s="1" t="s">
        <v>2058</v>
      </c>
      <c r="B11" s="1" t="s">
        <v>2219</v>
      </c>
      <c r="C11">
        <v>80</v>
      </c>
      <c r="D11">
        <v>1259</v>
      </c>
      <c r="E11">
        <v>1007</v>
      </c>
      <c r="F11">
        <v>127</v>
      </c>
      <c r="G11">
        <v>1303</v>
      </c>
      <c r="H11">
        <v>1032</v>
      </c>
      <c r="J11">
        <v>1.2678120037506233</v>
      </c>
    </row>
    <row r="12" spans="1:12" x14ac:dyDescent="0.25">
      <c r="A12" s="1" t="s">
        <v>2058</v>
      </c>
      <c r="B12" s="1" t="s">
        <v>2220</v>
      </c>
      <c r="C12">
        <v>80</v>
      </c>
      <c r="D12">
        <v>290</v>
      </c>
      <c r="E12">
        <v>1007</v>
      </c>
      <c r="F12">
        <v>127</v>
      </c>
      <c r="G12">
        <v>490</v>
      </c>
      <c r="H12">
        <v>1032</v>
      </c>
      <c r="J12">
        <v>0.29202971123628207</v>
      </c>
    </row>
    <row r="13" spans="1:12" x14ac:dyDescent="0.25">
      <c r="A13" s="1" t="s">
        <v>2058</v>
      </c>
      <c r="B13" s="1" t="s">
        <v>2221</v>
      </c>
      <c r="C13">
        <v>80</v>
      </c>
      <c r="D13">
        <v>290</v>
      </c>
      <c r="E13">
        <v>1007</v>
      </c>
      <c r="F13">
        <v>127</v>
      </c>
      <c r="G13">
        <v>490</v>
      </c>
      <c r="H13">
        <v>1032</v>
      </c>
      <c r="J13">
        <v>0.29202971138531791</v>
      </c>
    </row>
    <row r="14" spans="1:12" x14ac:dyDescent="0.25">
      <c r="A14" s="1" t="s">
        <v>2058</v>
      </c>
      <c r="B14" s="1" t="s">
        <v>2222</v>
      </c>
      <c r="C14">
        <v>80</v>
      </c>
      <c r="D14">
        <v>500</v>
      </c>
      <c r="E14">
        <v>1007</v>
      </c>
      <c r="F14">
        <v>127</v>
      </c>
      <c r="G14">
        <v>544</v>
      </c>
      <c r="H14">
        <v>1032</v>
      </c>
      <c r="J14">
        <v>0.50350006503093669</v>
      </c>
    </row>
    <row r="15" spans="1:12" x14ac:dyDescent="0.25">
      <c r="A15" s="1" t="s">
        <v>2058</v>
      </c>
      <c r="B15" s="1" t="s">
        <v>2223</v>
      </c>
      <c r="C15">
        <v>80</v>
      </c>
      <c r="D15">
        <v>500</v>
      </c>
      <c r="E15">
        <v>1007</v>
      </c>
      <c r="F15">
        <v>127</v>
      </c>
      <c r="G15">
        <v>544</v>
      </c>
      <c r="H15">
        <v>1032</v>
      </c>
      <c r="J15">
        <v>0.50350006512257373</v>
      </c>
    </row>
    <row r="16" spans="1:12" x14ac:dyDescent="0.25">
      <c r="A16" s="1" t="s">
        <v>2058</v>
      </c>
      <c r="B16" s="1" t="s">
        <v>2224</v>
      </c>
      <c r="C16">
        <v>80</v>
      </c>
      <c r="D16">
        <v>1803</v>
      </c>
      <c r="E16">
        <v>1007</v>
      </c>
      <c r="F16">
        <v>127</v>
      </c>
      <c r="G16">
        <v>1825</v>
      </c>
      <c r="H16">
        <v>1032</v>
      </c>
      <c r="J16">
        <v>1.815117536783696</v>
      </c>
    </row>
    <row r="17" spans="1:10" x14ac:dyDescent="0.25">
      <c r="A17" s="1" t="s">
        <v>2058</v>
      </c>
      <c r="B17" s="1" t="s">
        <v>2225</v>
      </c>
      <c r="C17">
        <v>80</v>
      </c>
      <c r="D17">
        <v>275</v>
      </c>
      <c r="E17">
        <v>1007</v>
      </c>
      <c r="F17">
        <v>127</v>
      </c>
      <c r="G17">
        <v>475</v>
      </c>
      <c r="H17">
        <v>1032</v>
      </c>
      <c r="J17">
        <v>0.27692472656020467</v>
      </c>
    </row>
    <row r="18" spans="1:10" x14ac:dyDescent="0.25">
      <c r="A18" s="1" t="s">
        <v>2058</v>
      </c>
      <c r="B18" s="1" t="s">
        <v>2226</v>
      </c>
      <c r="C18">
        <v>80</v>
      </c>
      <c r="D18">
        <v>275</v>
      </c>
      <c r="E18">
        <v>1007</v>
      </c>
      <c r="F18">
        <v>127</v>
      </c>
      <c r="G18">
        <v>475</v>
      </c>
      <c r="H18">
        <v>1032</v>
      </c>
      <c r="J18">
        <v>0.27692472624300002</v>
      </c>
    </row>
    <row r="19" spans="1:10" x14ac:dyDescent="0.25">
      <c r="A19" s="1" t="s">
        <v>2058</v>
      </c>
      <c r="B19" s="1" t="s">
        <v>2227</v>
      </c>
      <c r="C19">
        <v>80</v>
      </c>
      <c r="D19">
        <v>270</v>
      </c>
      <c r="E19">
        <v>1007</v>
      </c>
      <c r="F19">
        <v>127</v>
      </c>
      <c r="G19">
        <v>470</v>
      </c>
      <c r="H19">
        <v>1032</v>
      </c>
      <c r="J19">
        <v>0.27188973113883308</v>
      </c>
    </row>
    <row r="20" spans="1:10" x14ac:dyDescent="0.25">
      <c r="A20" s="1" t="s">
        <v>2058</v>
      </c>
      <c r="B20" s="1" t="s">
        <v>2228</v>
      </c>
      <c r="C20">
        <v>80</v>
      </c>
      <c r="D20">
        <v>270</v>
      </c>
      <c r="E20">
        <v>1007</v>
      </c>
      <c r="F20">
        <v>127</v>
      </c>
      <c r="G20">
        <v>470</v>
      </c>
      <c r="H20">
        <v>1032</v>
      </c>
      <c r="J20">
        <v>0.27188973190620003</v>
      </c>
    </row>
    <row r="21" spans="1:10" x14ac:dyDescent="0.25">
      <c r="A21" s="1" t="s">
        <v>2058</v>
      </c>
      <c r="B21" s="1" t="s">
        <v>2229</v>
      </c>
      <c r="C21">
        <v>80</v>
      </c>
      <c r="D21">
        <v>282</v>
      </c>
      <c r="E21">
        <v>1007</v>
      </c>
      <c r="F21">
        <v>127</v>
      </c>
      <c r="G21">
        <v>484</v>
      </c>
      <c r="H21">
        <v>1032</v>
      </c>
      <c r="J21">
        <v>0.28447721877689996</v>
      </c>
    </row>
    <row r="22" spans="1:10" x14ac:dyDescent="0.25">
      <c r="A22" s="1" t="s">
        <v>2058</v>
      </c>
      <c r="B22" s="1" t="s">
        <v>2230</v>
      </c>
      <c r="C22">
        <v>80</v>
      </c>
      <c r="D22">
        <v>282</v>
      </c>
      <c r="E22">
        <v>1007</v>
      </c>
      <c r="F22">
        <v>127</v>
      </c>
      <c r="G22">
        <v>484</v>
      </c>
      <c r="H22">
        <v>1032</v>
      </c>
      <c r="J22">
        <v>0.28447865692789998</v>
      </c>
    </row>
    <row r="23" spans="1:10" x14ac:dyDescent="0.25">
      <c r="A23" s="1" t="s">
        <v>2058</v>
      </c>
      <c r="B23" s="1" t="s">
        <v>2231</v>
      </c>
      <c r="C23">
        <v>80</v>
      </c>
      <c r="D23">
        <v>1416</v>
      </c>
      <c r="E23">
        <v>1007</v>
      </c>
      <c r="F23">
        <v>127</v>
      </c>
      <c r="G23">
        <v>1438</v>
      </c>
      <c r="H23">
        <v>1032</v>
      </c>
      <c r="J23">
        <v>1.4259120451256839</v>
      </c>
    </row>
    <row r="24" spans="1:10" x14ac:dyDescent="0.25">
      <c r="A24" s="1" t="s">
        <v>2058</v>
      </c>
      <c r="B24" s="1" t="s">
        <v>2232</v>
      </c>
      <c r="C24">
        <v>80</v>
      </c>
      <c r="D24">
        <v>275</v>
      </c>
      <c r="E24">
        <v>1007</v>
      </c>
      <c r="F24">
        <v>127</v>
      </c>
      <c r="G24">
        <v>475</v>
      </c>
      <c r="H24">
        <v>1032</v>
      </c>
      <c r="J24">
        <v>0.27692472631751791</v>
      </c>
    </row>
    <row r="25" spans="1:10" x14ac:dyDescent="0.25">
      <c r="A25" s="1" t="s">
        <v>2058</v>
      </c>
      <c r="B25" s="1" t="s">
        <v>2233</v>
      </c>
      <c r="C25">
        <v>80</v>
      </c>
      <c r="D25">
        <v>275</v>
      </c>
      <c r="E25">
        <v>1007</v>
      </c>
      <c r="F25">
        <v>127</v>
      </c>
      <c r="G25">
        <v>475</v>
      </c>
      <c r="H25">
        <v>1032</v>
      </c>
      <c r="J25">
        <v>0.27692472616848202</v>
      </c>
    </row>
    <row r="26" spans="1:10" x14ac:dyDescent="0.25">
      <c r="A26" s="1" t="s">
        <v>2058</v>
      </c>
      <c r="B26" s="1" t="s">
        <v>2234</v>
      </c>
      <c r="C26">
        <v>80</v>
      </c>
      <c r="D26">
        <v>1259</v>
      </c>
      <c r="E26">
        <v>1007</v>
      </c>
      <c r="F26">
        <v>127</v>
      </c>
      <c r="G26">
        <v>1303</v>
      </c>
      <c r="H26">
        <v>1032</v>
      </c>
      <c r="J26">
        <v>1.2678120037274621</v>
      </c>
    </row>
    <row r="27" spans="1:10" x14ac:dyDescent="0.25">
      <c r="A27" s="1" t="s">
        <v>2058</v>
      </c>
      <c r="B27" s="1" t="s">
        <v>2235</v>
      </c>
      <c r="C27">
        <v>80</v>
      </c>
      <c r="D27">
        <v>1259</v>
      </c>
      <c r="E27">
        <v>1007</v>
      </c>
      <c r="F27">
        <v>127</v>
      </c>
      <c r="G27">
        <v>1303</v>
      </c>
      <c r="H27">
        <v>1032</v>
      </c>
      <c r="J27">
        <v>1.2678120038895888</v>
      </c>
    </row>
    <row r="28" spans="1:10" x14ac:dyDescent="0.25">
      <c r="A28" s="1" t="s">
        <v>2058</v>
      </c>
      <c r="B28" s="1" t="s">
        <v>2236</v>
      </c>
      <c r="C28">
        <v>80</v>
      </c>
      <c r="D28">
        <v>290</v>
      </c>
      <c r="E28">
        <v>1007</v>
      </c>
      <c r="F28">
        <v>127</v>
      </c>
      <c r="G28">
        <v>490</v>
      </c>
      <c r="H28">
        <v>1032</v>
      </c>
      <c r="J28">
        <v>0.29202971145983586</v>
      </c>
    </row>
    <row r="29" spans="1:10" x14ac:dyDescent="0.25">
      <c r="A29" s="1" t="s">
        <v>2058</v>
      </c>
      <c r="B29" s="1" t="s">
        <v>2237</v>
      </c>
      <c r="C29">
        <v>80</v>
      </c>
      <c r="D29">
        <v>290</v>
      </c>
      <c r="E29">
        <v>1007</v>
      </c>
      <c r="F29">
        <v>127</v>
      </c>
      <c r="G29">
        <v>490</v>
      </c>
      <c r="H29">
        <v>1032</v>
      </c>
      <c r="J29">
        <v>0.29202971123628207</v>
      </c>
    </row>
    <row r="30" spans="1:10" x14ac:dyDescent="0.25">
      <c r="A30" s="1" t="s">
        <v>2058</v>
      </c>
      <c r="B30" s="1" t="s">
        <v>2238</v>
      </c>
      <c r="C30">
        <v>80</v>
      </c>
      <c r="D30">
        <v>500</v>
      </c>
      <c r="E30">
        <v>1007</v>
      </c>
      <c r="F30">
        <v>127</v>
      </c>
      <c r="G30">
        <v>544</v>
      </c>
      <c r="H30">
        <v>1032</v>
      </c>
      <c r="J30">
        <v>0.5035000650752447</v>
      </c>
    </row>
    <row r="31" spans="1:10" x14ac:dyDescent="0.25">
      <c r="A31" s="1" t="s">
        <v>2058</v>
      </c>
      <c r="B31" s="1" t="s">
        <v>2239</v>
      </c>
      <c r="C31">
        <v>80</v>
      </c>
      <c r="D31">
        <v>500</v>
      </c>
      <c r="E31">
        <v>1007</v>
      </c>
      <c r="F31">
        <v>127</v>
      </c>
      <c r="G31">
        <v>544</v>
      </c>
      <c r="H31">
        <v>1032</v>
      </c>
      <c r="J31">
        <v>0.5035000649826008</v>
      </c>
    </row>
    <row r="32" spans="1:10" x14ac:dyDescent="0.25">
      <c r="A32" s="1" t="s">
        <v>2058</v>
      </c>
      <c r="B32" s="1" t="s">
        <v>2240</v>
      </c>
      <c r="C32">
        <v>80</v>
      </c>
      <c r="D32">
        <v>1244</v>
      </c>
      <c r="E32">
        <v>1007</v>
      </c>
      <c r="F32">
        <v>127</v>
      </c>
      <c r="G32">
        <v>1266</v>
      </c>
      <c r="H32">
        <v>1032</v>
      </c>
      <c r="J32">
        <v>1.2527081147990069</v>
      </c>
    </row>
    <row r="33" spans="1:10" x14ac:dyDescent="0.25">
      <c r="A33" s="1" t="s">
        <v>2058</v>
      </c>
      <c r="B33" s="1" t="s">
        <v>2241</v>
      </c>
      <c r="C33">
        <v>80</v>
      </c>
      <c r="D33">
        <v>1259</v>
      </c>
      <c r="E33">
        <v>1007</v>
      </c>
      <c r="F33">
        <v>127</v>
      </c>
      <c r="G33">
        <v>1281</v>
      </c>
      <c r="H33">
        <v>1032</v>
      </c>
      <c r="J33">
        <v>1.267815064096236</v>
      </c>
    </row>
    <row r="34" spans="1:10" x14ac:dyDescent="0.25">
      <c r="A34" s="1" t="s">
        <v>2058</v>
      </c>
      <c r="B34" s="1" t="s">
        <v>2242</v>
      </c>
      <c r="C34">
        <v>80</v>
      </c>
      <c r="D34">
        <v>1253</v>
      </c>
      <c r="E34">
        <v>1007</v>
      </c>
      <c r="F34">
        <v>127</v>
      </c>
      <c r="G34">
        <v>1275</v>
      </c>
      <c r="H34">
        <v>1032</v>
      </c>
      <c r="J34">
        <v>1.2612683793929598</v>
      </c>
    </row>
    <row r="35" spans="1:10" x14ac:dyDescent="0.25">
      <c r="A35" s="1" t="s">
        <v>2058</v>
      </c>
      <c r="B35" s="1" t="s">
        <v>2243</v>
      </c>
      <c r="C35">
        <v>80</v>
      </c>
      <c r="D35">
        <v>1259</v>
      </c>
      <c r="E35">
        <v>1007</v>
      </c>
      <c r="F35">
        <v>127</v>
      </c>
      <c r="G35">
        <v>1281</v>
      </c>
      <c r="H35">
        <v>1032</v>
      </c>
      <c r="J35">
        <v>1.2678150635041201</v>
      </c>
    </row>
    <row r="36" spans="1:10" x14ac:dyDescent="0.25">
      <c r="A36" s="1" t="s">
        <v>2058</v>
      </c>
      <c r="B36" s="1" t="s">
        <v>2244</v>
      </c>
      <c r="C36">
        <v>80</v>
      </c>
      <c r="D36">
        <v>270</v>
      </c>
      <c r="E36">
        <v>1007</v>
      </c>
      <c r="F36">
        <v>127</v>
      </c>
      <c r="G36">
        <v>470</v>
      </c>
      <c r="H36">
        <v>1032</v>
      </c>
      <c r="J36">
        <v>0.27188973113883308</v>
      </c>
    </row>
    <row r="37" spans="1:10" x14ac:dyDescent="0.25">
      <c r="A37" s="1" t="s">
        <v>2058</v>
      </c>
      <c r="B37" s="1" t="s">
        <v>2245</v>
      </c>
      <c r="C37">
        <v>80</v>
      </c>
      <c r="D37">
        <v>270</v>
      </c>
      <c r="E37">
        <v>1007</v>
      </c>
      <c r="F37">
        <v>127</v>
      </c>
      <c r="G37">
        <v>470</v>
      </c>
      <c r="H37">
        <v>1032</v>
      </c>
      <c r="J37">
        <v>0.27188973138353378</v>
      </c>
    </row>
    <row r="38" spans="1:10" x14ac:dyDescent="0.25">
      <c r="A38" s="1" t="s">
        <v>2058</v>
      </c>
      <c r="B38" s="1" t="s">
        <v>2246</v>
      </c>
      <c r="C38">
        <v>80</v>
      </c>
      <c r="D38">
        <v>1416</v>
      </c>
      <c r="E38">
        <v>1007</v>
      </c>
      <c r="F38">
        <v>127</v>
      </c>
      <c r="G38">
        <v>1438</v>
      </c>
      <c r="H38">
        <v>1032</v>
      </c>
      <c r="J38">
        <v>1.4259120000000001</v>
      </c>
    </row>
    <row r="39" spans="1:10" x14ac:dyDescent="0.25">
      <c r="A39" s="1" t="s">
        <v>2058</v>
      </c>
      <c r="B39" s="1" t="s">
        <v>2247</v>
      </c>
      <c r="C39">
        <v>80</v>
      </c>
      <c r="D39">
        <v>1416</v>
      </c>
      <c r="E39">
        <v>1007</v>
      </c>
      <c r="F39">
        <v>127</v>
      </c>
      <c r="G39">
        <v>1438</v>
      </c>
      <c r="H39">
        <v>1032</v>
      </c>
      <c r="J39">
        <v>1.4259120000000001</v>
      </c>
    </row>
    <row r="40" spans="1:10" x14ac:dyDescent="0.25">
      <c r="A40" s="1" t="s">
        <v>2058</v>
      </c>
      <c r="B40" s="1" t="s">
        <v>2248</v>
      </c>
      <c r="C40">
        <v>80</v>
      </c>
      <c r="D40">
        <v>1416</v>
      </c>
      <c r="E40">
        <v>1007</v>
      </c>
      <c r="F40">
        <v>127</v>
      </c>
      <c r="G40">
        <v>1438</v>
      </c>
      <c r="H40">
        <v>1032</v>
      </c>
      <c r="J40">
        <v>1.4259120000140981</v>
      </c>
    </row>
    <row r="41" spans="1:10" x14ac:dyDescent="0.25">
      <c r="A41" s="1" t="s">
        <v>2058</v>
      </c>
      <c r="B41" s="1" t="s">
        <v>2249</v>
      </c>
      <c r="C41">
        <v>80</v>
      </c>
      <c r="D41">
        <v>282</v>
      </c>
      <c r="E41">
        <v>1007</v>
      </c>
      <c r="F41">
        <v>127</v>
      </c>
      <c r="G41">
        <v>482</v>
      </c>
      <c r="H41">
        <v>1032</v>
      </c>
      <c r="J41">
        <v>0.28447721877689996</v>
      </c>
    </row>
    <row r="42" spans="1:10" x14ac:dyDescent="0.25">
      <c r="A42" s="1" t="s">
        <v>2058</v>
      </c>
      <c r="B42" s="1" t="s">
        <v>2250</v>
      </c>
      <c r="C42">
        <v>80</v>
      </c>
      <c r="D42">
        <v>282</v>
      </c>
      <c r="E42">
        <v>1007</v>
      </c>
      <c r="F42">
        <v>127</v>
      </c>
      <c r="G42">
        <v>482</v>
      </c>
      <c r="H42">
        <v>1032</v>
      </c>
      <c r="J42">
        <v>0.28447865692789998</v>
      </c>
    </row>
    <row r="43" spans="1:10" x14ac:dyDescent="0.25">
      <c r="A43" s="1" t="s">
        <v>2058</v>
      </c>
      <c r="B43" s="1" t="s">
        <v>2251</v>
      </c>
      <c r="C43">
        <v>80</v>
      </c>
      <c r="D43">
        <v>1803</v>
      </c>
      <c r="E43">
        <v>1007</v>
      </c>
      <c r="F43">
        <v>127</v>
      </c>
      <c r="G43">
        <v>1824</v>
      </c>
      <c r="H43">
        <v>1032</v>
      </c>
      <c r="J43">
        <v>1.8151176635498909</v>
      </c>
    </row>
    <row r="44" spans="1:10" x14ac:dyDescent="0.25">
      <c r="A44" s="1" t="s">
        <v>2058</v>
      </c>
      <c r="B44" s="1" t="s">
        <v>2252</v>
      </c>
      <c r="C44">
        <v>80</v>
      </c>
      <c r="D44">
        <v>1803</v>
      </c>
      <c r="E44">
        <v>1007</v>
      </c>
      <c r="F44">
        <v>127</v>
      </c>
      <c r="G44">
        <v>1825</v>
      </c>
      <c r="H44">
        <v>1032</v>
      </c>
      <c r="J44">
        <v>1.8151175362086991</v>
      </c>
    </row>
    <row r="45" spans="1:10" x14ac:dyDescent="0.25">
      <c r="A45" s="1" t="s">
        <v>2058</v>
      </c>
      <c r="B45" s="1" t="s">
        <v>2253</v>
      </c>
      <c r="C45">
        <v>80</v>
      </c>
      <c r="D45">
        <v>1803</v>
      </c>
      <c r="E45">
        <v>1007</v>
      </c>
      <c r="F45">
        <v>127</v>
      </c>
      <c r="G45">
        <v>1824</v>
      </c>
      <c r="H45">
        <v>1032</v>
      </c>
      <c r="J45">
        <v>1.8151176629738868</v>
      </c>
    </row>
    <row r="46" spans="1:10" x14ac:dyDescent="0.25">
      <c r="A46" s="1" t="s">
        <v>2058</v>
      </c>
      <c r="B46" s="1" t="s">
        <v>2254</v>
      </c>
      <c r="C46">
        <v>80</v>
      </c>
      <c r="D46">
        <v>275</v>
      </c>
      <c r="E46">
        <v>1007</v>
      </c>
      <c r="F46">
        <v>127</v>
      </c>
      <c r="G46">
        <v>475</v>
      </c>
      <c r="H46">
        <v>1032</v>
      </c>
      <c r="J46">
        <v>0.27692472640613386</v>
      </c>
    </row>
    <row r="47" spans="1:10" x14ac:dyDescent="0.25">
      <c r="A47" s="1" t="s">
        <v>2058</v>
      </c>
      <c r="B47" s="1" t="s">
        <v>2255</v>
      </c>
      <c r="C47">
        <v>80</v>
      </c>
      <c r="D47">
        <v>275</v>
      </c>
      <c r="E47">
        <v>1007</v>
      </c>
      <c r="F47">
        <v>127</v>
      </c>
      <c r="G47">
        <v>475</v>
      </c>
      <c r="H47">
        <v>1032</v>
      </c>
      <c r="J47">
        <v>0.27692472624300002</v>
      </c>
    </row>
    <row r="48" spans="1:10" x14ac:dyDescent="0.25">
      <c r="A48" s="1" t="s">
        <v>2058</v>
      </c>
      <c r="B48" s="1" t="s">
        <v>2256</v>
      </c>
      <c r="C48">
        <v>80</v>
      </c>
      <c r="D48">
        <v>1477</v>
      </c>
      <c r="E48">
        <v>1007</v>
      </c>
      <c r="F48">
        <v>127</v>
      </c>
      <c r="G48">
        <v>1499</v>
      </c>
      <c r="H48">
        <v>1032</v>
      </c>
      <c r="J48">
        <v>1.4873390451317261</v>
      </c>
    </row>
    <row r="49" spans="1:10" x14ac:dyDescent="0.25">
      <c r="A49" s="1" t="s">
        <v>2058</v>
      </c>
      <c r="B49" s="1" t="s">
        <v>2257</v>
      </c>
      <c r="C49">
        <v>80</v>
      </c>
      <c r="D49">
        <v>1416</v>
      </c>
      <c r="E49">
        <v>1007</v>
      </c>
      <c r="F49">
        <v>127</v>
      </c>
      <c r="G49">
        <v>1438</v>
      </c>
      <c r="H49">
        <v>1032</v>
      </c>
      <c r="J49">
        <v>1.4259120451478378</v>
      </c>
    </row>
    <row r="50" spans="1:10" x14ac:dyDescent="0.25">
      <c r="A50" s="1" t="s">
        <v>2058</v>
      </c>
      <c r="B50" s="1" t="s">
        <v>2258</v>
      </c>
      <c r="C50">
        <v>80</v>
      </c>
      <c r="D50">
        <v>1477</v>
      </c>
      <c r="E50">
        <v>1007</v>
      </c>
      <c r="F50">
        <v>127</v>
      </c>
      <c r="G50">
        <v>1499</v>
      </c>
      <c r="H50">
        <v>1032</v>
      </c>
      <c r="J50">
        <v>1.487339045141796</v>
      </c>
    </row>
    <row r="51" spans="1:10" x14ac:dyDescent="0.25">
      <c r="A51" s="1" t="s">
        <v>2058</v>
      </c>
      <c r="B51" s="1" t="s">
        <v>2259</v>
      </c>
      <c r="C51">
        <v>80</v>
      </c>
      <c r="D51">
        <v>282</v>
      </c>
      <c r="E51">
        <v>1007</v>
      </c>
      <c r="F51">
        <v>127</v>
      </c>
      <c r="G51">
        <v>482</v>
      </c>
      <c r="H51">
        <v>1032</v>
      </c>
      <c r="J51">
        <v>0.28448009361554999</v>
      </c>
    </row>
    <row r="52" spans="1:10" x14ac:dyDescent="0.25">
      <c r="A52" s="1" t="s">
        <v>2058</v>
      </c>
      <c r="B52" s="1" t="s">
        <v>2260</v>
      </c>
      <c r="C52">
        <v>80</v>
      </c>
      <c r="D52">
        <v>282</v>
      </c>
      <c r="E52">
        <v>1007</v>
      </c>
      <c r="F52">
        <v>127</v>
      </c>
      <c r="G52">
        <v>482</v>
      </c>
      <c r="H52">
        <v>1032</v>
      </c>
      <c r="J52">
        <v>0.28447721877689996</v>
      </c>
    </row>
    <row r="53" spans="1:10" x14ac:dyDescent="0.25">
      <c r="A53" s="1" t="s">
        <v>2058</v>
      </c>
      <c r="B53" s="1" t="s">
        <v>2261</v>
      </c>
      <c r="C53">
        <v>80</v>
      </c>
      <c r="D53">
        <v>1254</v>
      </c>
      <c r="E53">
        <v>1007</v>
      </c>
      <c r="F53">
        <v>127</v>
      </c>
      <c r="G53">
        <v>1276</v>
      </c>
      <c r="H53">
        <v>1032</v>
      </c>
      <c r="J53">
        <v>1.2627810371522799</v>
      </c>
    </row>
    <row r="54" spans="1:10" x14ac:dyDescent="0.25">
      <c r="A54" s="1" t="s">
        <v>2058</v>
      </c>
      <c r="B54" s="1" t="s">
        <v>2262</v>
      </c>
      <c r="C54">
        <v>80</v>
      </c>
      <c r="D54">
        <v>1244</v>
      </c>
      <c r="E54">
        <v>1007</v>
      </c>
      <c r="F54">
        <v>127</v>
      </c>
      <c r="G54">
        <v>1266</v>
      </c>
      <c r="H54">
        <v>1032</v>
      </c>
      <c r="J54">
        <v>1.2527081147265029</v>
      </c>
    </row>
    <row r="55" spans="1:10" x14ac:dyDescent="0.25">
      <c r="A55" s="1" t="s">
        <v>2058</v>
      </c>
      <c r="B55" s="1" t="s">
        <v>2263</v>
      </c>
      <c r="C55">
        <v>80</v>
      </c>
      <c r="D55">
        <v>1254</v>
      </c>
      <c r="E55">
        <v>1007</v>
      </c>
      <c r="F55">
        <v>127</v>
      </c>
      <c r="G55">
        <v>1276</v>
      </c>
      <c r="H55">
        <v>1032</v>
      </c>
      <c r="J55">
        <v>1.2627810370787689</v>
      </c>
    </row>
    <row r="56" spans="1:10" x14ac:dyDescent="0.25">
      <c r="A56" s="1" t="s">
        <v>2058</v>
      </c>
      <c r="B56" s="1" t="s">
        <v>2264</v>
      </c>
      <c r="C56">
        <v>80</v>
      </c>
      <c r="D56">
        <v>270</v>
      </c>
      <c r="E56">
        <v>1007</v>
      </c>
      <c r="F56">
        <v>127</v>
      </c>
      <c r="G56">
        <v>470</v>
      </c>
      <c r="H56">
        <v>1032</v>
      </c>
      <c r="J56">
        <v>0.27188973190620003</v>
      </c>
    </row>
    <row r="57" spans="1:10" x14ac:dyDescent="0.25">
      <c r="A57" s="1" t="s">
        <v>2058</v>
      </c>
      <c r="B57" s="1" t="s">
        <v>2265</v>
      </c>
      <c r="C57">
        <v>80</v>
      </c>
      <c r="D57">
        <v>270</v>
      </c>
      <c r="E57">
        <v>1007</v>
      </c>
      <c r="F57">
        <v>127</v>
      </c>
      <c r="G57">
        <v>470</v>
      </c>
      <c r="H57">
        <v>1032</v>
      </c>
      <c r="J57">
        <v>0.27188973130196686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91"/>
  <sheetViews>
    <sheetView workbookViewId="0"/>
  </sheetViews>
  <sheetFormatPr defaultRowHeight="15" x14ac:dyDescent="0.25"/>
  <cols>
    <col min="1" max="1" width="15.85546875" bestFit="1" customWidth="1"/>
    <col min="2" max="2" width="9.42578125" bestFit="1" customWidth="1"/>
    <col min="4" max="4" width="10.85546875" bestFit="1" customWidth="1"/>
    <col min="5" max="5" width="6.28515625" bestFit="1" customWidth="1"/>
    <col min="6" max="6" width="7.42578125" bestFit="1" customWidth="1"/>
    <col min="7" max="10" width="12" bestFit="1" customWidth="1"/>
    <col min="11" max="11" width="7.7109375" bestFit="1" customWidth="1"/>
    <col min="12" max="12" width="14.5703125" bestFit="1" customWidth="1"/>
    <col min="13" max="13" width="20.140625" bestFit="1" customWidth="1"/>
  </cols>
  <sheetData>
    <row r="1" spans="1:13" x14ac:dyDescent="0.25">
      <c r="A1" t="s">
        <v>5</v>
      </c>
      <c r="B1" t="s">
        <v>46</v>
      </c>
      <c r="C1" t="s">
        <v>89</v>
      </c>
      <c r="D1" t="s">
        <v>196</v>
      </c>
      <c r="E1" t="s">
        <v>195</v>
      </c>
      <c r="F1" t="s">
        <v>197</v>
      </c>
      <c r="G1" t="s">
        <v>198</v>
      </c>
      <c r="H1" t="s">
        <v>199</v>
      </c>
      <c r="I1" t="s">
        <v>200</v>
      </c>
      <c r="J1" t="s">
        <v>201</v>
      </c>
      <c r="K1" t="s">
        <v>202</v>
      </c>
      <c r="L1" t="s">
        <v>203</v>
      </c>
      <c r="M1" t="s">
        <v>204</v>
      </c>
    </row>
    <row r="2" spans="1:13" x14ac:dyDescent="0.25">
      <c r="A2" s="1" t="s">
        <v>2266</v>
      </c>
      <c r="B2">
        <v>5</v>
      </c>
      <c r="C2" t="s">
        <v>108</v>
      </c>
      <c r="D2" s="1" t="s">
        <v>244</v>
      </c>
      <c r="E2">
        <v>2</v>
      </c>
      <c r="F2">
        <v>50</v>
      </c>
      <c r="G2">
        <v>30.3783597141</v>
      </c>
      <c r="H2">
        <v>24.683805591070318</v>
      </c>
      <c r="I2">
        <v>193.96132701299999</v>
      </c>
      <c r="J2">
        <v>266998.26627000002</v>
      </c>
      <c r="L2" s="1" t="s">
        <v>245</v>
      </c>
      <c r="M2" t="s">
        <v>246</v>
      </c>
    </row>
    <row r="3" spans="1:13" x14ac:dyDescent="0.25">
      <c r="A3" s="1" t="s">
        <v>2267</v>
      </c>
      <c r="B3">
        <v>5</v>
      </c>
      <c r="C3" t="s">
        <v>108</v>
      </c>
      <c r="D3" s="1" t="s">
        <v>244</v>
      </c>
      <c r="E3">
        <v>2</v>
      </c>
      <c r="F3">
        <v>50</v>
      </c>
      <c r="G3">
        <v>30.3783597141</v>
      </c>
      <c r="H3">
        <v>24.683805591070318</v>
      </c>
      <c r="I3">
        <v>193.96132701299999</v>
      </c>
      <c r="J3">
        <v>266998.26627000002</v>
      </c>
      <c r="L3" s="1" t="s">
        <v>245</v>
      </c>
      <c r="M3" t="s">
        <v>246</v>
      </c>
    </row>
    <row r="4" spans="1:13" x14ac:dyDescent="0.25">
      <c r="A4" s="1" t="s">
        <v>2268</v>
      </c>
      <c r="B4">
        <v>5</v>
      </c>
      <c r="C4" t="s">
        <v>108</v>
      </c>
      <c r="D4" s="1" t="s">
        <v>244</v>
      </c>
      <c r="E4">
        <v>2</v>
      </c>
      <c r="F4">
        <v>50</v>
      </c>
      <c r="G4">
        <v>30.3783597141</v>
      </c>
      <c r="H4">
        <v>24.683805591070318</v>
      </c>
      <c r="I4">
        <v>193.96132701299999</v>
      </c>
      <c r="J4">
        <v>266998.26627000002</v>
      </c>
      <c r="L4" s="1" t="s">
        <v>245</v>
      </c>
      <c r="M4" t="s">
        <v>246</v>
      </c>
    </row>
    <row r="5" spans="1:13" x14ac:dyDescent="0.25">
      <c r="A5" s="1" t="s">
        <v>2269</v>
      </c>
      <c r="B5">
        <v>5</v>
      </c>
      <c r="C5" t="s">
        <v>108</v>
      </c>
      <c r="D5" s="1" t="s">
        <v>244</v>
      </c>
      <c r="E5">
        <v>2</v>
      </c>
      <c r="F5">
        <v>50</v>
      </c>
      <c r="G5">
        <v>30.3783597141</v>
      </c>
      <c r="H5">
        <v>24.683805591276531</v>
      </c>
      <c r="I5">
        <v>193.96132701299999</v>
      </c>
      <c r="J5">
        <v>266998.26627099997</v>
      </c>
      <c r="L5" s="1" t="s">
        <v>245</v>
      </c>
      <c r="M5" t="s">
        <v>246</v>
      </c>
    </row>
    <row r="6" spans="1:13" x14ac:dyDescent="0.25">
      <c r="A6" s="1" t="s">
        <v>2270</v>
      </c>
      <c r="B6">
        <v>5</v>
      </c>
      <c r="C6" t="s">
        <v>108</v>
      </c>
      <c r="D6" s="1" t="s">
        <v>244</v>
      </c>
      <c r="E6">
        <v>2</v>
      </c>
      <c r="F6">
        <v>50</v>
      </c>
      <c r="G6">
        <v>30.3783597141</v>
      </c>
      <c r="H6">
        <v>24.683805591070318</v>
      </c>
      <c r="I6">
        <v>193.96132701299999</v>
      </c>
      <c r="J6">
        <v>266998.26627000002</v>
      </c>
      <c r="L6" s="1" t="s">
        <v>245</v>
      </c>
      <c r="M6" t="s">
        <v>246</v>
      </c>
    </row>
    <row r="7" spans="1:13" x14ac:dyDescent="0.25">
      <c r="A7" s="1" t="s">
        <v>2271</v>
      </c>
      <c r="B7">
        <v>5</v>
      </c>
      <c r="C7" t="s">
        <v>108</v>
      </c>
      <c r="D7" s="1" t="s">
        <v>244</v>
      </c>
      <c r="E7">
        <v>2</v>
      </c>
      <c r="F7">
        <v>50</v>
      </c>
      <c r="G7">
        <v>30.3783597141</v>
      </c>
      <c r="H7">
        <v>24.683805591070318</v>
      </c>
      <c r="I7">
        <v>193.96132701299999</v>
      </c>
      <c r="J7">
        <v>266998.26627000002</v>
      </c>
      <c r="L7" s="1" t="s">
        <v>245</v>
      </c>
      <c r="M7" t="s">
        <v>246</v>
      </c>
    </row>
    <row r="8" spans="1:13" x14ac:dyDescent="0.25">
      <c r="A8" s="1" t="s">
        <v>2272</v>
      </c>
      <c r="B8">
        <v>5</v>
      </c>
      <c r="C8" t="s">
        <v>108</v>
      </c>
      <c r="D8" s="1" t="s">
        <v>244</v>
      </c>
      <c r="E8">
        <v>2</v>
      </c>
      <c r="F8">
        <v>50</v>
      </c>
      <c r="G8">
        <v>30.3783597141</v>
      </c>
      <c r="H8">
        <v>24.683805591070318</v>
      </c>
      <c r="I8">
        <v>193.96132701299999</v>
      </c>
      <c r="J8">
        <v>266998.26627000002</v>
      </c>
      <c r="L8" s="1" t="s">
        <v>245</v>
      </c>
      <c r="M8" t="s">
        <v>246</v>
      </c>
    </row>
    <row r="9" spans="1:13" x14ac:dyDescent="0.25">
      <c r="A9" s="1" t="s">
        <v>2273</v>
      </c>
      <c r="B9">
        <v>5</v>
      </c>
      <c r="C9" t="s">
        <v>108</v>
      </c>
      <c r="D9" s="1" t="s">
        <v>244</v>
      </c>
      <c r="E9">
        <v>2</v>
      </c>
      <c r="F9">
        <v>50</v>
      </c>
      <c r="G9">
        <v>30.3783597141</v>
      </c>
      <c r="H9">
        <v>24.683805591276531</v>
      </c>
      <c r="I9">
        <v>193.96132701299999</v>
      </c>
      <c r="J9">
        <v>266998.26627099997</v>
      </c>
      <c r="L9" s="1" t="s">
        <v>245</v>
      </c>
      <c r="M9" t="s">
        <v>246</v>
      </c>
    </row>
    <row r="10" spans="1:13" x14ac:dyDescent="0.25">
      <c r="A10" s="1" t="s">
        <v>2274</v>
      </c>
      <c r="B10">
        <v>5</v>
      </c>
      <c r="C10" t="s">
        <v>108</v>
      </c>
      <c r="D10" s="1" t="s">
        <v>244</v>
      </c>
      <c r="E10">
        <v>2</v>
      </c>
      <c r="F10">
        <v>50</v>
      </c>
      <c r="G10">
        <v>30.3783597141</v>
      </c>
      <c r="H10">
        <v>24.683805591070318</v>
      </c>
      <c r="I10">
        <v>193.96132701299999</v>
      </c>
      <c r="J10">
        <v>266998.26627000002</v>
      </c>
      <c r="L10" s="1" t="s">
        <v>245</v>
      </c>
      <c r="M10" t="s">
        <v>246</v>
      </c>
    </row>
    <row r="11" spans="1:13" x14ac:dyDescent="0.25">
      <c r="A11" s="1" t="s">
        <v>2275</v>
      </c>
      <c r="B11">
        <v>5</v>
      </c>
      <c r="C11" t="s">
        <v>108</v>
      </c>
      <c r="D11" s="1" t="s">
        <v>244</v>
      </c>
      <c r="E11">
        <v>2</v>
      </c>
      <c r="F11">
        <v>50</v>
      </c>
      <c r="G11">
        <v>30.3783597141</v>
      </c>
      <c r="H11">
        <v>24.683805591070318</v>
      </c>
      <c r="I11">
        <v>193.96132701299999</v>
      </c>
      <c r="J11">
        <v>266998.26627000002</v>
      </c>
      <c r="L11" s="1" t="s">
        <v>245</v>
      </c>
      <c r="M11" t="s">
        <v>246</v>
      </c>
    </row>
    <row r="12" spans="1:13" x14ac:dyDescent="0.25">
      <c r="A12" s="1" t="s">
        <v>2276</v>
      </c>
      <c r="B12">
        <v>5</v>
      </c>
      <c r="C12" t="s">
        <v>108</v>
      </c>
      <c r="D12" s="1" t="s">
        <v>244</v>
      </c>
      <c r="E12">
        <v>2</v>
      </c>
      <c r="F12">
        <v>50</v>
      </c>
      <c r="G12">
        <v>30.3783597141</v>
      </c>
      <c r="H12">
        <v>24.683805591070318</v>
      </c>
      <c r="I12">
        <v>193.96132701299999</v>
      </c>
      <c r="J12">
        <v>266998.26627000002</v>
      </c>
      <c r="L12" s="1" t="s">
        <v>245</v>
      </c>
      <c r="M12" t="s">
        <v>246</v>
      </c>
    </row>
    <row r="13" spans="1:13" x14ac:dyDescent="0.25">
      <c r="A13" s="1" t="s">
        <v>2277</v>
      </c>
      <c r="B13">
        <v>5</v>
      </c>
      <c r="C13" t="s">
        <v>108</v>
      </c>
      <c r="D13" s="1" t="s">
        <v>244</v>
      </c>
      <c r="E13">
        <v>2</v>
      </c>
      <c r="F13">
        <v>50</v>
      </c>
      <c r="G13">
        <v>30.3783597141</v>
      </c>
      <c r="H13">
        <v>24.683805591070318</v>
      </c>
      <c r="I13">
        <v>193.96132701299999</v>
      </c>
      <c r="J13">
        <v>266998.26627000002</v>
      </c>
      <c r="L13" s="1" t="s">
        <v>245</v>
      </c>
      <c r="M13" t="s">
        <v>246</v>
      </c>
    </row>
    <row r="14" spans="1:13" x14ac:dyDescent="0.25">
      <c r="A14" s="1" t="s">
        <v>2278</v>
      </c>
      <c r="B14">
        <v>5</v>
      </c>
      <c r="C14" t="s">
        <v>108</v>
      </c>
      <c r="D14" s="1" t="s">
        <v>244</v>
      </c>
      <c r="E14">
        <v>2</v>
      </c>
      <c r="F14">
        <v>50</v>
      </c>
      <c r="G14">
        <v>30.3783597141</v>
      </c>
      <c r="H14">
        <v>24.683805591070318</v>
      </c>
      <c r="I14">
        <v>193.96132701299999</v>
      </c>
      <c r="J14">
        <v>266998.26627000002</v>
      </c>
      <c r="L14" s="1" t="s">
        <v>245</v>
      </c>
      <c r="M14" t="s">
        <v>246</v>
      </c>
    </row>
    <row r="15" spans="1:13" x14ac:dyDescent="0.25">
      <c r="A15" s="1" t="s">
        <v>2279</v>
      </c>
      <c r="B15">
        <v>5</v>
      </c>
      <c r="C15" t="s">
        <v>108</v>
      </c>
      <c r="D15" s="1" t="s">
        <v>244</v>
      </c>
      <c r="E15">
        <v>2</v>
      </c>
      <c r="F15">
        <v>50</v>
      </c>
      <c r="G15">
        <v>30.3783597141</v>
      </c>
      <c r="H15">
        <v>24.683805591070318</v>
      </c>
      <c r="I15">
        <v>193.96132701299999</v>
      </c>
      <c r="J15">
        <v>266998.26627000002</v>
      </c>
      <c r="L15" s="1" t="s">
        <v>245</v>
      </c>
      <c r="M15" t="s">
        <v>246</v>
      </c>
    </row>
    <row r="16" spans="1:13" x14ac:dyDescent="0.25">
      <c r="A16" s="1" t="s">
        <v>2280</v>
      </c>
      <c r="B16">
        <v>5</v>
      </c>
      <c r="C16" t="s">
        <v>108</v>
      </c>
      <c r="D16" s="1" t="s">
        <v>244</v>
      </c>
      <c r="E16">
        <v>2</v>
      </c>
      <c r="F16">
        <v>50</v>
      </c>
      <c r="G16">
        <v>30.3783597141</v>
      </c>
      <c r="H16">
        <v>24.683805591070318</v>
      </c>
      <c r="I16">
        <v>193.96132701299999</v>
      </c>
      <c r="J16">
        <v>266998.26627000002</v>
      </c>
      <c r="L16" s="1" t="s">
        <v>245</v>
      </c>
      <c r="M16" t="s">
        <v>246</v>
      </c>
    </row>
    <row r="17" spans="1:13" x14ac:dyDescent="0.25">
      <c r="A17" s="1" t="s">
        <v>2281</v>
      </c>
      <c r="B17">
        <v>5</v>
      </c>
      <c r="C17" t="s">
        <v>108</v>
      </c>
      <c r="D17" s="1" t="s">
        <v>244</v>
      </c>
      <c r="E17">
        <v>2</v>
      </c>
      <c r="F17">
        <v>50</v>
      </c>
      <c r="G17">
        <v>30.3783597141</v>
      </c>
      <c r="H17">
        <v>24.683805591070318</v>
      </c>
      <c r="I17">
        <v>193.96132701299999</v>
      </c>
      <c r="J17">
        <v>266998.26627000002</v>
      </c>
      <c r="L17" s="1" t="s">
        <v>245</v>
      </c>
      <c r="M17" t="s">
        <v>246</v>
      </c>
    </row>
    <row r="18" spans="1:13" x14ac:dyDescent="0.25">
      <c r="A18" s="1" t="s">
        <v>2282</v>
      </c>
      <c r="B18">
        <v>5</v>
      </c>
      <c r="C18" t="s">
        <v>108</v>
      </c>
      <c r="D18" s="1" t="s">
        <v>244</v>
      </c>
      <c r="E18">
        <v>2</v>
      </c>
      <c r="F18">
        <v>50</v>
      </c>
      <c r="G18">
        <v>30.3783597141</v>
      </c>
      <c r="H18">
        <v>24.683805591070318</v>
      </c>
      <c r="I18">
        <v>193.96132701299999</v>
      </c>
      <c r="J18">
        <v>266998.26627000002</v>
      </c>
      <c r="L18" s="1" t="s">
        <v>245</v>
      </c>
      <c r="M18" t="s">
        <v>246</v>
      </c>
    </row>
    <row r="19" spans="1:13" x14ac:dyDescent="0.25">
      <c r="A19" s="1" t="s">
        <v>2283</v>
      </c>
      <c r="B19">
        <v>5</v>
      </c>
      <c r="C19" t="s">
        <v>108</v>
      </c>
      <c r="D19" s="1" t="s">
        <v>244</v>
      </c>
      <c r="E19">
        <v>2</v>
      </c>
      <c r="F19">
        <v>50</v>
      </c>
      <c r="G19">
        <v>30.3783597141</v>
      </c>
      <c r="H19">
        <v>24.683805591276531</v>
      </c>
      <c r="I19">
        <v>193.96132701299999</v>
      </c>
      <c r="J19">
        <v>266998.26627099997</v>
      </c>
      <c r="L19" s="1" t="s">
        <v>245</v>
      </c>
      <c r="M19" t="s">
        <v>246</v>
      </c>
    </row>
    <row r="20" spans="1:13" x14ac:dyDescent="0.25">
      <c r="A20" s="1" t="s">
        <v>2284</v>
      </c>
      <c r="B20">
        <v>5</v>
      </c>
      <c r="C20" t="s">
        <v>108</v>
      </c>
      <c r="D20" s="1" t="s">
        <v>244</v>
      </c>
      <c r="E20">
        <v>2</v>
      </c>
      <c r="F20">
        <v>50</v>
      </c>
      <c r="G20">
        <v>30.3783597141</v>
      </c>
      <c r="H20">
        <v>24.683805591070318</v>
      </c>
      <c r="I20">
        <v>193.96132701299999</v>
      </c>
      <c r="J20">
        <v>266998.26627000002</v>
      </c>
      <c r="L20" s="1" t="s">
        <v>245</v>
      </c>
      <c r="M20" t="s">
        <v>246</v>
      </c>
    </row>
    <row r="21" spans="1:13" x14ac:dyDescent="0.25">
      <c r="A21" s="1" t="s">
        <v>2285</v>
      </c>
      <c r="B21">
        <v>5</v>
      </c>
      <c r="C21" t="s">
        <v>108</v>
      </c>
      <c r="D21" s="1" t="s">
        <v>244</v>
      </c>
      <c r="E21">
        <v>2</v>
      </c>
      <c r="F21">
        <v>50</v>
      </c>
      <c r="G21">
        <v>30.3783597141</v>
      </c>
      <c r="H21">
        <v>24.683805591070318</v>
      </c>
      <c r="I21">
        <v>193.96132701299999</v>
      </c>
      <c r="J21">
        <v>266998.26627000002</v>
      </c>
      <c r="L21" s="1" t="s">
        <v>245</v>
      </c>
      <c r="M21" t="s">
        <v>246</v>
      </c>
    </row>
    <row r="22" spans="1:13" x14ac:dyDescent="0.25">
      <c r="A22" s="1" t="s">
        <v>2286</v>
      </c>
      <c r="B22">
        <v>5</v>
      </c>
      <c r="C22" t="s">
        <v>108</v>
      </c>
      <c r="D22" s="1" t="s">
        <v>244</v>
      </c>
      <c r="E22">
        <v>2</v>
      </c>
      <c r="F22">
        <v>50</v>
      </c>
      <c r="G22">
        <v>30.3783597141</v>
      </c>
      <c r="H22">
        <v>24.683805591070318</v>
      </c>
      <c r="I22">
        <v>193.96132701299999</v>
      </c>
      <c r="J22">
        <v>266998.26627000002</v>
      </c>
      <c r="L22" s="1" t="s">
        <v>245</v>
      </c>
      <c r="M22" t="s">
        <v>246</v>
      </c>
    </row>
    <row r="23" spans="1:13" x14ac:dyDescent="0.25">
      <c r="A23" s="1" t="s">
        <v>2287</v>
      </c>
      <c r="B23">
        <v>5</v>
      </c>
      <c r="C23" t="s">
        <v>108</v>
      </c>
      <c r="D23" s="1" t="s">
        <v>244</v>
      </c>
      <c r="E23">
        <v>2</v>
      </c>
      <c r="F23">
        <v>50</v>
      </c>
      <c r="G23">
        <v>30.3783597141</v>
      </c>
      <c r="H23">
        <v>24.683805591070318</v>
      </c>
      <c r="I23">
        <v>193.96132701299999</v>
      </c>
      <c r="J23">
        <v>266998.26627000002</v>
      </c>
      <c r="L23" s="1" t="s">
        <v>245</v>
      </c>
      <c r="M23" t="s">
        <v>246</v>
      </c>
    </row>
    <row r="24" spans="1:13" x14ac:dyDescent="0.25">
      <c r="A24" s="1" t="s">
        <v>2288</v>
      </c>
      <c r="B24">
        <v>5</v>
      </c>
      <c r="C24" t="s">
        <v>108</v>
      </c>
      <c r="D24" s="1" t="s">
        <v>244</v>
      </c>
      <c r="E24">
        <v>2</v>
      </c>
      <c r="F24">
        <v>50</v>
      </c>
      <c r="G24">
        <v>30.3783597141</v>
      </c>
      <c r="H24">
        <v>24.683805591070318</v>
      </c>
      <c r="I24">
        <v>193.96132701299999</v>
      </c>
      <c r="J24">
        <v>266998.26627000002</v>
      </c>
      <c r="L24" s="1" t="s">
        <v>245</v>
      </c>
      <c r="M24" t="s">
        <v>246</v>
      </c>
    </row>
    <row r="25" spans="1:13" x14ac:dyDescent="0.25">
      <c r="A25" s="1" t="s">
        <v>2289</v>
      </c>
      <c r="B25">
        <v>5</v>
      </c>
      <c r="C25" t="s">
        <v>108</v>
      </c>
      <c r="D25" s="1" t="s">
        <v>244</v>
      </c>
      <c r="E25">
        <v>2</v>
      </c>
      <c r="F25">
        <v>50</v>
      </c>
      <c r="G25">
        <v>30.3783597141</v>
      </c>
      <c r="H25">
        <v>24.683805591070318</v>
      </c>
      <c r="I25">
        <v>193.96132701299999</v>
      </c>
      <c r="J25">
        <v>266998.26627000002</v>
      </c>
      <c r="L25" s="1" t="s">
        <v>245</v>
      </c>
      <c r="M25" t="s">
        <v>246</v>
      </c>
    </row>
    <row r="26" spans="1:13" x14ac:dyDescent="0.25">
      <c r="A26" s="1" t="s">
        <v>2290</v>
      </c>
      <c r="B26">
        <v>5</v>
      </c>
      <c r="C26" t="s">
        <v>108</v>
      </c>
      <c r="D26" s="1" t="s">
        <v>244</v>
      </c>
      <c r="E26">
        <v>2</v>
      </c>
      <c r="F26">
        <v>50</v>
      </c>
      <c r="G26">
        <v>30.3783597141</v>
      </c>
      <c r="H26">
        <v>24.683805591070318</v>
      </c>
      <c r="I26">
        <v>193.96132701299999</v>
      </c>
      <c r="J26">
        <v>266998.26627000002</v>
      </c>
      <c r="L26" s="1" t="s">
        <v>245</v>
      </c>
      <c r="M26" t="s">
        <v>246</v>
      </c>
    </row>
    <row r="27" spans="1:13" x14ac:dyDescent="0.25">
      <c r="A27" s="1" t="s">
        <v>2291</v>
      </c>
      <c r="B27">
        <v>5</v>
      </c>
      <c r="C27" t="s">
        <v>108</v>
      </c>
      <c r="D27" s="1" t="s">
        <v>244</v>
      </c>
      <c r="E27">
        <v>2</v>
      </c>
      <c r="F27">
        <v>50</v>
      </c>
      <c r="G27">
        <v>30.3783597141</v>
      </c>
      <c r="H27">
        <v>24.683805591070318</v>
      </c>
      <c r="I27">
        <v>193.96132701299999</v>
      </c>
      <c r="J27">
        <v>266998.26627000002</v>
      </c>
      <c r="L27" s="1" t="s">
        <v>245</v>
      </c>
      <c r="M27" t="s">
        <v>246</v>
      </c>
    </row>
    <row r="28" spans="1:13" x14ac:dyDescent="0.25">
      <c r="A28" s="1" t="s">
        <v>2292</v>
      </c>
      <c r="B28">
        <v>5</v>
      </c>
      <c r="C28" t="s">
        <v>108</v>
      </c>
      <c r="D28" s="1" t="s">
        <v>244</v>
      </c>
      <c r="E28">
        <v>2</v>
      </c>
      <c r="F28">
        <v>50</v>
      </c>
      <c r="G28">
        <v>30.3783597141</v>
      </c>
      <c r="H28">
        <v>24.683805591070318</v>
      </c>
      <c r="I28">
        <v>193.96132701299999</v>
      </c>
      <c r="J28">
        <v>266998.26627000002</v>
      </c>
      <c r="L28" s="1" t="s">
        <v>245</v>
      </c>
      <c r="M28" t="s">
        <v>246</v>
      </c>
    </row>
    <row r="29" spans="1:13" x14ac:dyDescent="0.25">
      <c r="A29" s="1" t="s">
        <v>2293</v>
      </c>
      <c r="B29">
        <v>5</v>
      </c>
      <c r="C29" t="s">
        <v>108</v>
      </c>
      <c r="D29" s="1" t="s">
        <v>244</v>
      </c>
      <c r="E29">
        <v>2</v>
      </c>
      <c r="F29">
        <v>50</v>
      </c>
      <c r="G29">
        <v>30.3783597141</v>
      </c>
      <c r="H29">
        <v>24.683805591276531</v>
      </c>
      <c r="I29">
        <v>193.96132701299999</v>
      </c>
      <c r="J29">
        <v>266998.26627099997</v>
      </c>
      <c r="L29" s="1" t="s">
        <v>245</v>
      </c>
      <c r="M29" t="s">
        <v>246</v>
      </c>
    </row>
    <row r="30" spans="1:13" x14ac:dyDescent="0.25">
      <c r="A30" s="1" t="s">
        <v>2294</v>
      </c>
      <c r="B30">
        <v>5</v>
      </c>
      <c r="C30" t="s">
        <v>108</v>
      </c>
      <c r="D30" s="1" t="s">
        <v>244</v>
      </c>
      <c r="E30">
        <v>2</v>
      </c>
      <c r="F30">
        <v>50</v>
      </c>
      <c r="G30">
        <v>30.3783597141</v>
      </c>
      <c r="H30">
        <v>24.683805591276531</v>
      </c>
      <c r="I30">
        <v>193.96132701299999</v>
      </c>
      <c r="J30">
        <v>266998.26627099997</v>
      </c>
      <c r="L30" s="1" t="s">
        <v>245</v>
      </c>
      <c r="M30" t="s">
        <v>246</v>
      </c>
    </row>
    <row r="31" spans="1:13" x14ac:dyDescent="0.25">
      <c r="A31" s="1" t="s">
        <v>2295</v>
      </c>
      <c r="B31">
        <v>5</v>
      </c>
      <c r="C31" t="s">
        <v>108</v>
      </c>
      <c r="D31" s="1" t="s">
        <v>244</v>
      </c>
      <c r="E31">
        <v>2</v>
      </c>
      <c r="F31">
        <v>50</v>
      </c>
      <c r="G31">
        <v>30.3783597141</v>
      </c>
      <c r="H31">
        <v>24.683805591070318</v>
      </c>
      <c r="I31">
        <v>193.96132701299999</v>
      </c>
      <c r="J31">
        <v>266998.26627000002</v>
      </c>
      <c r="L31" s="1" t="s">
        <v>245</v>
      </c>
      <c r="M31" t="s">
        <v>246</v>
      </c>
    </row>
    <row r="32" spans="1:13" x14ac:dyDescent="0.25">
      <c r="A32" s="1" t="s">
        <v>2266</v>
      </c>
      <c r="B32">
        <v>1</v>
      </c>
      <c r="C32" t="s">
        <v>108</v>
      </c>
      <c r="D32" s="1" t="s">
        <v>244</v>
      </c>
      <c r="E32">
        <v>2</v>
      </c>
      <c r="F32">
        <v>50</v>
      </c>
      <c r="G32">
        <v>51.035132638</v>
      </c>
      <c r="H32">
        <v>27.035000871880662</v>
      </c>
      <c r="I32">
        <v>817.46477493500004</v>
      </c>
      <c r="J32">
        <v>1595489.6029699999</v>
      </c>
      <c r="L32" s="1" t="s">
        <v>245</v>
      </c>
      <c r="M32" t="s">
        <v>246</v>
      </c>
    </row>
    <row r="33" spans="1:13" x14ac:dyDescent="0.25">
      <c r="A33" s="1" t="s">
        <v>2266</v>
      </c>
      <c r="B33">
        <v>2</v>
      </c>
      <c r="C33" t="s">
        <v>108</v>
      </c>
      <c r="D33" s="1" t="s">
        <v>244</v>
      </c>
      <c r="E33">
        <v>3</v>
      </c>
      <c r="F33">
        <v>50</v>
      </c>
      <c r="G33">
        <v>51.035132638</v>
      </c>
      <c r="H33">
        <v>24.683805591397366</v>
      </c>
      <c r="I33">
        <v>897.54847365800003</v>
      </c>
      <c r="J33">
        <v>1699035.4358699999</v>
      </c>
      <c r="L33" s="1" t="s">
        <v>245</v>
      </c>
      <c r="M33" t="s">
        <v>246</v>
      </c>
    </row>
    <row r="34" spans="1:13" x14ac:dyDescent="0.25">
      <c r="A34" s="1" t="s">
        <v>2267</v>
      </c>
      <c r="B34">
        <v>1</v>
      </c>
      <c r="C34" t="s">
        <v>108</v>
      </c>
      <c r="D34" s="1" t="s">
        <v>244</v>
      </c>
      <c r="E34">
        <v>2</v>
      </c>
      <c r="F34">
        <v>50</v>
      </c>
      <c r="G34">
        <v>51.035132638</v>
      </c>
      <c r="H34">
        <v>27.035000871880662</v>
      </c>
      <c r="I34">
        <v>817.46477493500004</v>
      </c>
      <c r="J34">
        <v>1595489.6029699999</v>
      </c>
      <c r="L34" s="1" t="s">
        <v>245</v>
      </c>
      <c r="M34" t="s">
        <v>246</v>
      </c>
    </row>
    <row r="35" spans="1:13" x14ac:dyDescent="0.25">
      <c r="A35" s="1" t="s">
        <v>2267</v>
      </c>
      <c r="B35">
        <v>2</v>
      </c>
      <c r="C35" t="s">
        <v>108</v>
      </c>
      <c r="D35" s="1" t="s">
        <v>244</v>
      </c>
      <c r="E35">
        <v>3</v>
      </c>
      <c r="F35">
        <v>50</v>
      </c>
      <c r="G35">
        <v>51.035132638</v>
      </c>
      <c r="H35">
        <v>24.683805591397366</v>
      </c>
      <c r="I35">
        <v>897.54847365800003</v>
      </c>
      <c r="J35">
        <v>1699035.4358699999</v>
      </c>
      <c r="L35" s="1" t="s">
        <v>245</v>
      </c>
      <c r="M35" t="s">
        <v>246</v>
      </c>
    </row>
    <row r="36" spans="1:13" x14ac:dyDescent="0.25">
      <c r="A36" s="1" t="s">
        <v>2268</v>
      </c>
      <c r="B36">
        <v>1</v>
      </c>
      <c r="C36" t="s">
        <v>108</v>
      </c>
      <c r="D36" s="1" t="s">
        <v>244</v>
      </c>
      <c r="E36">
        <v>2</v>
      </c>
      <c r="F36">
        <v>50</v>
      </c>
      <c r="G36">
        <v>51.035132638</v>
      </c>
      <c r="H36">
        <v>27.035000871976159</v>
      </c>
      <c r="I36">
        <v>817.46477493400005</v>
      </c>
      <c r="J36">
        <v>1595489.6029699999</v>
      </c>
      <c r="L36" s="1" t="s">
        <v>245</v>
      </c>
      <c r="M36" t="s">
        <v>246</v>
      </c>
    </row>
    <row r="37" spans="1:13" x14ac:dyDescent="0.25">
      <c r="A37" s="1" t="s">
        <v>2268</v>
      </c>
      <c r="B37">
        <v>2</v>
      </c>
      <c r="C37" t="s">
        <v>108</v>
      </c>
      <c r="D37" s="1" t="s">
        <v>244</v>
      </c>
      <c r="E37">
        <v>3</v>
      </c>
      <c r="F37">
        <v>50</v>
      </c>
      <c r="G37">
        <v>51.035132638</v>
      </c>
      <c r="H37">
        <v>24.683805591397366</v>
      </c>
      <c r="I37">
        <v>897.54847365800003</v>
      </c>
      <c r="J37">
        <v>1699035.4358699999</v>
      </c>
      <c r="L37" s="1" t="s">
        <v>245</v>
      </c>
      <c r="M37" t="s">
        <v>246</v>
      </c>
    </row>
    <row r="38" spans="1:13" x14ac:dyDescent="0.25">
      <c r="A38" s="1" t="s">
        <v>2269</v>
      </c>
      <c r="B38">
        <v>1</v>
      </c>
      <c r="C38" t="s">
        <v>108</v>
      </c>
      <c r="D38" s="1" t="s">
        <v>244</v>
      </c>
      <c r="E38">
        <v>2</v>
      </c>
      <c r="F38">
        <v>50</v>
      </c>
      <c r="G38">
        <v>51.035132638</v>
      </c>
      <c r="H38">
        <v>27.035000871976159</v>
      </c>
      <c r="I38">
        <v>817.46477493400005</v>
      </c>
      <c r="J38">
        <v>1595489.6029699999</v>
      </c>
      <c r="L38" s="1" t="s">
        <v>245</v>
      </c>
      <c r="M38" t="s">
        <v>246</v>
      </c>
    </row>
    <row r="39" spans="1:13" x14ac:dyDescent="0.25">
      <c r="A39" s="1" t="s">
        <v>2269</v>
      </c>
      <c r="B39">
        <v>2</v>
      </c>
      <c r="C39" t="s">
        <v>108</v>
      </c>
      <c r="D39" s="1" t="s">
        <v>244</v>
      </c>
      <c r="E39">
        <v>3</v>
      </c>
      <c r="F39">
        <v>50</v>
      </c>
      <c r="G39">
        <v>51.035132638</v>
      </c>
      <c r="H39">
        <v>24.683805591397366</v>
      </c>
      <c r="I39">
        <v>897.54847365800003</v>
      </c>
      <c r="J39">
        <v>1699035.4358699999</v>
      </c>
      <c r="L39" s="1" t="s">
        <v>245</v>
      </c>
      <c r="M39" t="s">
        <v>246</v>
      </c>
    </row>
    <row r="40" spans="1:13" x14ac:dyDescent="0.25">
      <c r="A40" s="1" t="s">
        <v>2270</v>
      </c>
      <c r="B40">
        <v>1</v>
      </c>
      <c r="C40" t="s">
        <v>108</v>
      </c>
      <c r="D40" s="1" t="s">
        <v>244</v>
      </c>
      <c r="E40">
        <v>2</v>
      </c>
      <c r="F40">
        <v>50</v>
      </c>
      <c r="G40">
        <v>51.035132638</v>
      </c>
      <c r="H40">
        <v>27.035000871976159</v>
      </c>
      <c r="I40">
        <v>817.46477493400005</v>
      </c>
      <c r="J40">
        <v>1595489.6029699999</v>
      </c>
      <c r="L40" s="1" t="s">
        <v>245</v>
      </c>
      <c r="M40" t="s">
        <v>246</v>
      </c>
    </row>
    <row r="41" spans="1:13" x14ac:dyDescent="0.25">
      <c r="A41" s="1" t="s">
        <v>2270</v>
      </c>
      <c r="B41">
        <v>2</v>
      </c>
      <c r="C41" t="s">
        <v>108</v>
      </c>
      <c r="D41" s="1" t="s">
        <v>244</v>
      </c>
      <c r="E41">
        <v>3</v>
      </c>
      <c r="F41">
        <v>50</v>
      </c>
      <c r="G41">
        <v>51.035132638</v>
      </c>
      <c r="H41">
        <v>24.683805590951728</v>
      </c>
      <c r="I41">
        <v>897.54847365800003</v>
      </c>
      <c r="J41">
        <v>1699035.4358600001</v>
      </c>
      <c r="L41" s="1" t="s">
        <v>245</v>
      </c>
      <c r="M41" t="s">
        <v>246</v>
      </c>
    </row>
    <row r="42" spans="1:13" x14ac:dyDescent="0.25">
      <c r="A42" s="1" t="s">
        <v>2271</v>
      </c>
      <c r="B42">
        <v>1</v>
      </c>
      <c r="C42" t="s">
        <v>108</v>
      </c>
      <c r="D42" s="1" t="s">
        <v>244</v>
      </c>
      <c r="E42">
        <v>2</v>
      </c>
      <c r="F42">
        <v>50</v>
      </c>
      <c r="G42">
        <v>51.035132638</v>
      </c>
      <c r="H42">
        <v>27.035000871976159</v>
      </c>
      <c r="I42">
        <v>817.46477493400005</v>
      </c>
      <c r="J42">
        <v>1595489.6029699999</v>
      </c>
      <c r="L42" s="1" t="s">
        <v>245</v>
      </c>
      <c r="M42" t="s">
        <v>246</v>
      </c>
    </row>
    <row r="43" spans="1:13" x14ac:dyDescent="0.25">
      <c r="A43" s="1" t="s">
        <v>2271</v>
      </c>
      <c r="B43">
        <v>2</v>
      </c>
      <c r="C43" t="s">
        <v>108</v>
      </c>
      <c r="D43" s="1" t="s">
        <v>244</v>
      </c>
      <c r="E43">
        <v>3</v>
      </c>
      <c r="F43">
        <v>50</v>
      </c>
      <c r="G43">
        <v>51.035132638</v>
      </c>
      <c r="H43">
        <v>24.683805591397366</v>
      </c>
      <c r="I43">
        <v>897.54847365800003</v>
      </c>
      <c r="J43">
        <v>1699035.4358699999</v>
      </c>
      <c r="L43" s="1" t="s">
        <v>245</v>
      </c>
      <c r="M43" t="s">
        <v>246</v>
      </c>
    </row>
    <row r="44" spans="1:13" x14ac:dyDescent="0.25">
      <c r="A44" s="1" t="s">
        <v>2272</v>
      </c>
      <c r="B44">
        <v>1</v>
      </c>
      <c r="C44" t="s">
        <v>108</v>
      </c>
      <c r="D44" s="1" t="s">
        <v>244</v>
      </c>
      <c r="E44">
        <v>2</v>
      </c>
      <c r="F44">
        <v>50</v>
      </c>
      <c r="G44">
        <v>51.035132638</v>
      </c>
      <c r="H44">
        <v>27.035000871976159</v>
      </c>
      <c r="I44">
        <v>817.46477493400005</v>
      </c>
      <c r="J44">
        <v>1595489.6029699999</v>
      </c>
      <c r="L44" s="1" t="s">
        <v>245</v>
      </c>
      <c r="M44" t="s">
        <v>246</v>
      </c>
    </row>
    <row r="45" spans="1:13" x14ac:dyDescent="0.25">
      <c r="A45" s="1" t="s">
        <v>2272</v>
      </c>
      <c r="B45">
        <v>2</v>
      </c>
      <c r="C45" t="s">
        <v>108</v>
      </c>
      <c r="D45" s="1" t="s">
        <v>244</v>
      </c>
      <c r="E45">
        <v>3</v>
      </c>
      <c r="F45">
        <v>50</v>
      </c>
      <c r="G45">
        <v>51.035132638</v>
      </c>
      <c r="H45">
        <v>24.683805590951728</v>
      </c>
      <c r="I45">
        <v>897.54847365800003</v>
      </c>
      <c r="J45">
        <v>1699035.4358600001</v>
      </c>
      <c r="L45" s="1" t="s">
        <v>245</v>
      </c>
      <c r="M45" t="s">
        <v>246</v>
      </c>
    </row>
    <row r="46" spans="1:13" x14ac:dyDescent="0.25">
      <c r="A46" s="1" t="s">
        <v>2273</v>
      </c>
      <c r="B46">
        <v>1</v>
      </c>
      <c r="C46" t="s">
        <v>108</v>
      </c>
      <c r="D46" s="1" t="s">
        <v>244</v>
      </c>
      <c r="E46">
        <v>2</v>
      </c>
      <c r="F46">
        <v>50</v>
      </c>
      <c r="G46">
        <v>51.035132638</v>
      </c>
      <c r="H46">
        <v>27.035000871976159</v>
      </c>
      <c r="I46">
        <v>817.46477493400005</v>
      </c>
      <c r="J46">
        <v>1595489.6029699999</v>
      </c>
      <c r="L46" s="1" t="s">
        <v>245</v>
      </c>
      <c r="M46" t="s">
        <v>246</v>
      </c>
    </row>
    <row r="47" spans="1:13" x14ac:dyDescent="0.25">
      <c r="A47" s="1" t="s">
        <v>2273</v>
      </c>
      <c r="B47">
        <v>2</v>
      </c>
      <c r="C47" t="s">
        <v>108</v>
      </c>
      <c r="D47" s="1" t="s">
        <v>244</v>
      </c>
      <c r="E47">
        <v>3</v>
      </c>
      <c r="F47">
        <v>50</v>
      </c>
      <c r="G47">
        <v>51.035132638</v>
      </c>
      <c r="H47">
        <v>24.683805591397366</v>
      </c>
      <c r="I47">
        <v>897.54847365800003</v>
      </c>
      <c r="J47">
        <v>1699035.4358699999</v>
      </c>
      <c r="L47" s="1" t="s">
        <v>245</v>
      </c>
      <c r="M47" t="s">
        <v>246</v>
      </c>
    </row>
    <row r="48" spans="1:13" x14ac:dyDescent="0.25">
      <c r="A48" s="1" t="s">
        <v>2274</v>
      </c>
      <c r="B48">
        <v>1</v>
      </c>
      <c r="C48" t="s">
        <v>108</v>
      </c>
      <c r="D48" s="1" t="s">
        <v>244</v>
      </c>
      <c r="E48">
        <v>2</v>
      </c>
      <c r="F48">
        <v>50</v>
      </c>
      <c r="G48">
        <v>51.035132638</v>
      </c>
      <c r="H48">
        <v>27.035000871976159</v>
      </c>
      <c r="I48">
        <v>817.46477493400005</v>
      </c>
      <c r="J48">
        <v>1595489.6029699999</v>
      </c>
      <c r="L48" s="1" t="s">
        <v>245</v>
      </c>
      <c r="M48" t="s">
        <v>246</v>
      </c>
    </row>
    <row r="49" spans="1:13" x14ac:dyDescent="0.25">
      <c r="A49" s="1" t="s">
        <v>2274</v>
      </c>
      <c r="B49">
        <v>2</v>
      </c>
      <c r="C49" t="s">
        <v>108</v>
      </c>
      <c r="D49" s="1" t="s">
        <v>244</v>
      </c>
      <c r="E49">
        <v>3</v>
      </c>
      <c r="F49">
        <v>50</v>
      </c>
      <c r="G49">
        <v>51.035132638</v>
      </c>
      <c r="H49">
        <v>24.683805590951728</v>
      </c>
      <c r="I49">
        <v>897.54847365800003</v>
      </c>
      <c r="J49">
        <v>1699035.4358600001</v>
      </c>
      <c r="L49" s="1" t="s">
        <v>245</v>
      </c>
      <c r="M49" t="s">
        <v>246</v>
      </c>
    </row>
    <row r="50" spans="1:13" x14ac:dyDescent="0.25">
      <c r="A50" s="1" t="s">
        <v>2275</v>
      </c>
      <c r="B50">
        <v>1</v>
      </c>
      <c r="C50" t="s">
        <v>108</v>
      </c>
      <c r="D50" s="1" t="s">
        <v>244</v>
      </c>
      <c r="E50">
        <v>2</v>
      </c>
      <c r="F50">
        <v>50</v>
      </c>
      <c r="G50">
        <v>51.035132638</v>
      </c>
      <c r="H50">
        <v>27.035000871976159</v>
      </c>
      <c r="I50">
        <v>817.46477493400005</v>
      </c>
      <c r="J50">
        <v>1595489.6029699999</v>
      </c>
      <c r="L50" s="1" t="s">
        <v>245</v>
      </c>
      <c r="M50" t="s">
        <v>246</v>
      </c>
    </row>
    <row r="51" spans="1:13" x14ac:dyDescent="0.25">
      <c r="A51" s="1" t="s">
        <v>2275</v>
      </c>
      <c r="B51">
        <v>2</v>
      </c>
      <c r="C51" t="s">
        <v>108</v>
      </c>
      <c r="D51" s="1" t="s">
        <v>244</v>
      </c>
      <c r="E51">
        <v>3</v>
      </c>
      <c r="F51">
        <v>50</v>
      </c>
      <c r="G51">
        <v>51.035132638</v>
      </c>
      <c r="H51">
        <v>24.683805591397366</v>
      </c>
      <c r="I51">
        <v>897.54847365800003</v>
      </c>
      <c r="J51">
        <v>1699035.4358699999</v>
      </c>
      <c r="L51" s="1" t="s">
        <v>245</v>
      </c>
      <c r="M51" t="s">
        <v>246</v>
      </c>
    </row>
    <row r="52" spans="1:13" x14ac:dyDescent="0.25">
      <c r="A52" s="1" t="s">
        <v>2276</v>
      </c>
      <c r="B52">
        <v>1</v>
      </c>
      <c r="C52" t="s">
        <v>108</v>
      </c>
      <c r="D52" s="1" t="s">
        <v>244</v>
      </c>
      <c r="E52">
        <v>2</v>
      </c>
      <c r="F52">
        <v>50</v>
      </c>
      <c r="G52">
        <v>51.035132638</v>
      </c>
      <c r="H52">
        <v>27.035000871880662</v>
      </c>
      <c r="I52">
        <v>817.46477493500004</v>
      </c>
      <c r="J52">
        <v>1595489.6029699999</v>
      </c>
      <c r="L52" s="1" t="s">
        <v>245</v>
      </c>
      <c r="M52" t="s">
        <v>246</v>
      </c>
    </row>
    <row r="53" spans="1:13" x14ac:dyDescent="0.25">
      <c r="A53" s="1" t="s">
        <v>2276</v>
      </c>
      <c r="B53">
        <v>2</v>
      </c>
      <c r="C53" t="s">
        <v>108</v>
      </c>
      <c r="D53" s="1" t="s">
        <v>244</v>
      </c>
      <c r="E53">
        <v>3</v>
      </c>
      <c r="F53">
        <v>50</v>
      </c>
      <c r="G53">
        <v>51.035132638</v>
      </c>
      <c r="H53">
        <v>24.683805591397366</v>
      </c>
      <c r="I53">
        <v>897.54847365800003</v>
      </c>
      <c r="J53">
        <v>1699035.4358699999</v>
      </c>
      <c r="L53" s="1" t="s">
        <v>245</v>
      </c>
      <c r="M53" t="s">
        <v>246</v>
      </c>
    </row>
    <row r="54" spans="1:13" x14ac:dyDescent="0.25">
      <c r="A54" s="1" t="s">
        <v>2277</v>
      </c>
      <c r="B54">
        <v>1</v>
      </c>
      <c r="C54" t="s">
        <v>108</v>
      </c>
      <c r="D54" s="1" t="s">
        <v>244</v>
      </c>
      <c r="E54">
        <v>2</v>
      </c>
      <c r="F54">
        <v>50</v>
      </c>
      <c r="G54">
        <v>51.035132638</v>
      </c>
      <c r="H54">
        <v>27.035000871880662</v>
      </c>
      <c r="I54">
        <v>817.46477493500004</v>
      </c>
      <c r="J54">
        <v>1595489.6029699999</v>
      </c>
      <c r="L54" s="1" t="s">
        <v>245</v>
      </c>
      <c r="M54" t="s">
        <v>246</v>
      </c>
    </row>
    <row r="55" spans="1:13" x14ac:dyDescent="0.25">
      <c r="A55" s="1" t="s">
        <v>2277</v>
      </c>
      <c r="B55">
        <v>2</v>
      </c>
      <c r="C55" t="s">
        <v>108</v>
      </c>
      <c r="D55" s="1" t="s">
        <v>244</v>
      </c>
      <c r="E55">
        <v>3</v>
      </c>
      <c r="F55">
        <v>50</v>
      </c>
      <c r="G55">
        <v>51.035132638</v>
      </c>
      <c r="H55">
        <v>24.683805591397366</v>
      </c>
      <c r="I55">
        <v>897.54847365800003</v>
      </c>
      <c r="J55">
        <v>1699035.4358699999</v>
      </c>
      <c r="L55" s="1" t="s">
        <v>245</v>
      </c>
      <c r="M55" t="s">
        <v>246</v>
      </c>
    </row>
    <row r="56" spans="1:13" x14ac:dyDescent="0.25">
      <c r="A56" s="1" t="s">
        <v>2278</v>
      </c>
      <c r="B56">
        <v>1</v>
      </c>
      <c r="C56" t="s">
        <v>108</v>
      </c>
      <c r="D56" s="1" t="s">
        <v>244</v>
      </c>
      <c r="E56">
        <v>2</v>
      </c>
      <c r="F56">
        <v>50</v>
      </c>
      <c r="G56">
        <v>51.035132638</v>
      </c>
      <c r="H56">
        <v>27.035000871976159</v>
      </c>
      <c r="I56">
        <v>817.46477493400005</v>
      </c>
      <c r="J56">
        <v>1595489.6029699999</v>
      </c>
      <c r="L56" s="1" t="s">
        <v>245</v>
      </c>
      <c r="M56" t="s">
        <v>246</v>
      </c>
    </row>
    <row r="57" spans="1:13" x14ac:dyDescent="0.25">
      <c r="A57" s="1" t="s">
        <v>2278</v>
      </c>
      <c r="B57">
        <v>2</v>
      </c>
      <c r="C57" t="s">
        <v>108</v>
      </c>
      <c r="D57" s="1" t="s">
        <v>244</v>
      </c>
      <c r="E57">
        <v>3</v>
      </c>
      <c r="F57">
        <v>50</v>
      </c>
      <c r="G57">
        <v>51.035132638</v>
      </c>
      <c r="H57">
        <v>24.683805591397366</v>
      </c>
      <c r="I57">
        <v>897.54847365800003</v>
      </c>
      <c r="J57">
        <v>1699035.4358699999</v>
      </c>
      <c r="L57" s="1" t="s">
        <v>245</v>
      </c>
      <c r="M57" t="s">
        <v>246</v>
      </c>
    </row>
    <row r="58" spans="1:13" x14ac:dyDescent="0.25">
      <c r="A58" s="1" t="s">
        <v>2279</v>
      </c>
      <c r="B58">
        <v>1</v>
      </c>
      <c r="C58" t="s">
        <v>108</v>
      </c>
      <c r="D58" s="1" t="s">
        <v>244</v>
      </c>
      <c r="E58">
        <v>2</v>
      </c>
      <c r="F58">
        <v>50</v>
      </c>
      <c r="G58">
        <v>51.035132638</v>
      </c>
      <c r="H58">
        <v>27.035000871976159</v>
      </c>
      <c r="I58">
        <v>817.46477493400005</v>
      </c>
      <c r="J58">
        <v>1595489.6029699999</v>
      </c>
      <c r="L58" s="1" t="s">
        <v>245</v>
      </c>
      <c r="M58" t="s">
        <v>246</v>
      </c>
    </row>
    <row r="59" spans="1:13" x14ac:dyDescent="0.25">
      <c r="A59" s="1" t="s">
        <v>2279</v>
      </c>
      <c r="B59">
        <v>2</v>
      </c>
      <c r="C59" t="s">
        <v>108</v>
      </c>
      <c r="D59" s="1" t="s">
        <v>244</v>
      </c>
      <c r="E59">
        <v>3</v>
      </c>
      <c r="F59">
        <v>50</v>
      </c>
      <c r="G59">
        <v>51.035132638</v>
      </c>
      <c r="H59">
        <v>24.683805591397366</v>
      </c>
      <c r="I59">
        <v>897.54847365800003</v>
      </c>
      <c r="J59">
        <v>1699035.4358699999</v>
      </c>
      <c r="L59" s="1" t="s">
        <v>245</v>
      </c>
      <c r="M59" t="s">
        <v>246</v>
      </c>
    </row>
    <row r="60" spans="1:13" x14ac:dyDescent="0.25">
      <c r="A60" s="1" t="s">
        <v>2280</v>
      </c>
      <c r="B60">
        <v>1</v>
      </c>
      <c r="C60" t="s">
        <v>108</v>
      </c>
      <c r="D60" s="1" t="s">
        <v>244</v>
      </c>
      <c r="E60">
        <v>2</v>
      </c>
      <c r="F60">
        <v>50</v>
      </c>
      <c r="G60">
        <v>51.035132638</v>
      </c>
      <c r="H60">
        <v>27.035000871976159</v>
      </c>
      <c r="I60">
        <v>817.46477493400005</v>
      </c>
      <c r="J60">
        <v>1595489.6029699999</v>
      </c>
      <c r="L60" s="1" t="s">
        <v>245</v>
      </c>
      <c r="M60" t="s">
        <v>246</v>
      </c>
    </row>
    <row r="61" spans="1:13" x14ac:dyDescent="0.25">
      <c r="A61" s="1" t="s">
        <v>2280</v>
      </c>
      <c r="B61">
        <v>2</v>
      </c>
      <c r="C61" t="s">
        <v>108</v>
      </c>
      <c r="D61" s="1" t="s">
        <v>244</v>
      </c>
      <c r="E61">
        <v>3</v>
      </c>
      <c r="F61">
        <v>50</v>
      </c>
      <c r="G61">
        <v>51.035132638</v>
      </c>
      <c r="H61">
        <v>24.683805590951728</v>
      </c>
      <c r="I61">
        <v>897.54847365800003</v>
      </c>
      <c r="J61">
        <v>1699035.4358600001</v>
      </c>
      <c r="L61" s="1" t="s">
        <v>245</v>
      </c>
      <c r="M61" t="s">
        <v>246</v>
      </c>
    </row>
    <row r="62" spans="1:13" x14ac:dyDescent="0.25">
      <c r="A62" s="1" t="s">
        <v>2281</v>
      </c>
      <c r="B62">
        <v>1</v>
      </c>
      <c r="C62" t="s">
        <v>108</v>
      </c>
      <c r="D62" s="1" t="s">
        <v>244</v>
      </c>
      <c r="E62">
        <v>2</v>
      </c>
      <c r="F62">
        <v>50</v>
      </c>
      <c r="G62">
        <v>51.035132638</v>
      </c>
      <c r="H62">
        <v>27.035000871976159</v>
      </c>
      <c r="I62">
        <v>817.46477493400005</v>
      </c>
      <c r="J62">
        <v>1595489.6029699999</v>
      </c>
      <c r="L62" s="1" t="s">
        <v>245</v>
      </c>
      <c r="M62" t="s">
        <v>246</v>
      </c>
    </row>
    <row r="63" spans="1:13" x14ac:dyDescent="0.25">
      <c r="A63" s="1" t="s">
        <v>2281</v>
      </c>
      <c r="B63">
        <v>2</v>
      </c>
      <c r="C63" t="s">
        <v>108</v>
      </c>
      <c r="D63" s="1" t="s">
        <v>244</v>
      </c>
      <c r="E63">
        <v>3</v>
      </c>
      <c r="F63">
        <v>50</v>
      </c>
      <c r="G63">
        <v>51.035132638</v>
      </c>
      <c r="H63">
        <v>24.683805591397366</v>
      </c>
      <c r="I63">
        <v>897.54847365800003</v>
      </c>
      <c r="J63">
        <v>1699035.4358699999</v>
      </c>
      <c r="L63" s="1" t="s">
        <v>245</v>
      </c>
      <c r="M63" t="s">
        <v>246</v>
      </c>
    </row>
    <row r="64" spans="1:13" x14ac:dyDescent="0.25">
      <c r="A64" s="1" t="s">
        <v>2282</v>
      </c>
      <c r="B64">
        <v>1</v>
      </c>
      <c r="C64" t="s">
        <v>108</v>
      </c>
      <c r="D64" s="1" t="s">
        <v>244</v>
      </c>
      <c r="E64">
        <v>2</v>
      </c>
      <c r="F64">
        <v>50</v>
      </c>
      <c r="G64">
        <v>51.035132638</v>
      </c>
      <c r="H64">
        <v>27.035000871976159</v>
      </c>
      <c r="I64">
        <v>817.46477493400005</v>
      </c>
      <c r="J64">
        <v>1595489.6029699999</v>
      </c>
      <c r="L64" s="1" t="s">
        <v>245</v>
      </c>
      <c r="M64" t="s">
        <v>246</v>
      </c>
    </row>
    <row r="65" spans="1:13" x14ac:dyDescent="0.25">
      <c r="A65" s="1" t="s">
        <v>2282</v>
      </c>
      <c r="B65">
        <v>2</v>
      </c>
      <c r="C65" t="s">
        <v>108</v>
      </c>
      <c r="D65" s="1" t="s">
        <v>244</v>
      </c>
      <c r="E65">
        <v>3</v>
      </c>
      <c r="F65">
        <v>50</v>
      </c>
      <c r="G65">
        <v>51.035132638</v>
      </c>
      <c r="H65">
        <v>24.683805590951728</v>
      </c>
      <c r="I65">
        <v>897.54847365800003</v>
      </c>
      <c r="J65">
        <v>1699035.4358600001</v>
      </c>
      <c r="L65" s="1" t="s">
        <v>245</v>
      </c>
      <c r="M65" t="s">
        <v>246</v>
      </c>
    </row>
    <row r="66" spans="1:13" x14ac:dyDescent="0.25">
      <c r="A66" s="1" t="s">
        <v>2283</v>
      </c>
      <c r="B66">
        <v>1</v>
      </c>
      <c r="C66" t="s">
        <v>108</v>
      </c>
      <c r="D66" s="1" t="s">
        <v>244</v>
      </c>
      <c r="E66">
        <v>2</v>
      </c>
      <c r="F66">
        <v>50</v>
      </c>
      <c r="G66">
        <v>51.035132638</v>
      </c>
      <c r="H66">
        <v>27.035000871976159</v>
      </c>
      <c r="I66">
        <v>817.46477493400005</v>
      </c>
      <c r="J66">
        <v>1595489.6029699999</v>
      </c>
      <c r="L66" s="1" t="s">
        <v>245</v>
      </c>
      <c r="M66" t="s">
        <v>246</v>
      </c>
    </row>
    <row r="67" spans="1:13" x14ac:dyDescent="0.25">
      <c r="A67" s="1" t="s">
        <v>2283</v>
      </c>
      <c r="B67">
        <v>2</v>
      </c>
      <c r="C67" t="s">
        <v>108</v>
      </c>
      <c r="D67" s="1" t="s">
        <v>244</v>
      </c>
      <c r="E67">
        <v>3</v>
      </c>
      <c r="F67">
        <v>50</v>
      </c>
      <c r="G67">
        <v>51.035132638</v>
      </c>
      <c r="H67">
        <v>24.683805590951728</v>
      </c>
      <c r="I67">
        <v>897.54847365800003</v>
      </c>
      <c r="J67">
        <v>1699035.4358600001</v>
      </c>
      <c r="L67" s="1" t="s">
        <v>245</v>
      </c>
      <c r="M67" t="s">
        <v>246</v>
      </c>
    </row>
    <row r="68" spans="1:13" x14ac:dyDescent="0.25">
      <c r="A68" s="1" t="s">
        <v>2284</v>
      </c>
      <c r="B68">
        <v>1</v>
      </c>
      <c r="C68" t="s">
        <v>108</v>
      </c>
      <c r="D68" s="1" t="s">
        <v>244</v>
      </c>
      <c r="E68">
        <v>2</v>
      </c>
      <c r="F68">
        <v>50</v>
      </c>
      <c r="G68">
        <v>51.035132638</v>
      </c>
      <c r="H68">
        <v>27.035000871976159</v>
      </c>
      <c r="I68">
        <v>817.46477493400005</v>
      </c>
      <c r="J68">
        <v>1595489.6029699999</v>
      </c>
      <c r="L68" s="1" t="s">
        <v>245</v>
      </c>
      <c r="M68" t="s">
        <v>246</v>
      </c>
    </row>
    <row r="69" spans="1:13" x14ac:dyDescent="0.25">
      <c r="A69" s="1" t="s">
        <v>2284</v>
      </c>
      <c r="B69">
        <v>2</v>
      </c>
      <c r="C69" t="s">
        <v>108</v>
      </c>
      <c r="D69" s="1" t="s">
        <v>244</v>
      </c>
      <c r="E69">
        <v>3</v>
      </c>
      <c r="F69">
        <v>50</v>
      </c>
      <c r="G69">
        <v>51.035132638</v>
      </c>
      <c r="H69">
        <v>24.683805590951728</v>
      </c>
      <c r="I69">
        <v>897.54847365800003</v>
      </c>
      <c r="J69">
        <v>1699035.4358600001</v>
      </c>
      <c r="L69" s="1" t="s">
        <v>245</v>
      </c>
      <c r="M69" t="s">
        <v>246</v>
      </c>
    </row>
    <row r="70" spans="1:13" x14ac:dyDescent="0.25">
      <c r="A70" s="1" t="s">
        <v>2285</v>
      </c>
      <c r="B70">
        <v>1</v>
      </c>
      <c r="C70" t="s">
        <v>108</v>
      </c>
      <c r="D70" s="1" t="s">
        <v>244</v>
      </c>
      <c r="E70">
        <v>2</v>
      </c>
      <c r="F70">
        <v>50</v>
      </c>
      <c r="G70">
        <v>51.035132638</v>
      </c>
      <c r="H70">
        <v>27.035000871976159</v>
      </c>
      <c r="I70">
        <v>817.46477493400005</v>
      </c>
      <c r="J70">
        <v>1595489.6029699999</v>
      </c>
      <c r="L70" s="1" t="s">
        <v>245</v>
      </c>
      <c r="M70" t="s">
        <v>246</v>
      </c>
    </row>
    <row r="71" spans="1:13" x14ac:dyDescent="0.25">
      <c r="A71" s="1" t="s">
        <v>2285</v>
      </c>
      <c r="B71">
        <v>2</v>
      </c>
      <c r="C71" t="s">
        <v>108</v>
      </c>
      <c r="D71" s="1" t="s">
        <v>244</v>
      </c>
      <c r="E71">
        <v>3</v>
      </c>
      <c r="F71">
        <v>50</v>
      </c>
      <c r="G71">
        <v>51.035132638</v>
      </c>
      <c r="H71">
        <v>24.683805590951728</v>
      </c>
      <c r="I71">
        <v>897.54847365800003</v>
      </c>
      <c r="J71">
        <v>1699035.4358600001</v>
      </c>
      <c r="L71" s="1" t="s">
        <v>245</v>
      </c>
      <c r="M71" t="s">
        <v>246</v>
      </c>
    </row>
    <row r="72" spans="1:13" x14ac:dyDescent="0.25">
      <c r="A72" s="1" t="s">
        <v>2286</v>
      </c>
      <c r="B72">
        <v>1</v>
      </c>
      <c r="C72" t="s">
        <v>108</v>
      </c>
      <c r="D72" s="1" t="s">
        <v>244</v>
      </c>
      <c r="E72">
        <v>2</v>
      </c>
      <c r="F72">
        <v>50</v>
      </c>
      <c r="G72">
        <v>51.035132638</v>
      </c>
      <c r="H72">
        <v>27.035000871880662</v>
      </c>
      <c r="I72">
        <v>817.46477493500004</v>
      </c>
      <c r="J72">
        <v>1595489.6029699999</v>
      </c>
      <c r="L72" s="1" t="s">
        <v>245</v>
      </c>
      <c r="M72" t="s">
        <v>246</v>
      </c>
    </row>
    <row r="73" spans="1:13" x14ac:dyDescent="0.25">
      <c r="A73" s="1" t="s">
        <v>2286</v>
      </c>
      <c r="B73">
        <v>2</v>
      </c>
      <c r="C73" t="s">
        <v>108</v>
      </c>
      <c r="D73" s="1" t="s">
        <v>244</v>
      </c>
      <c r="E73">
        <v>3</v>
      </c>
      <c r="F73">
        <v>50</v>
      </c>
      <c r="G73">
        <v>51.035132638</v>
      </c>
      <c r="H73">
        <v>24.683805591397366</v>
      </c>
      <c r="I73">
        <v>897.54847365800003</v>
      </c>
      <c r="J73">
        <v>1699035.4358699999</v>
      </c>
      <c r="L73" s="1" t="s">
        <v>245</v>
      </c>
      <c r="M73" t="s">
        <v>246</v>
      </c>
    </row>
    <row r="74" spans="1:13" x14ac:dyDescent="0.25">
      <c r="A74" s="1" t="s">
        <v>2287</v>
      </c>
      <c r="B74">
        <v>1</v>
      </c>
      <c r="C74" t="s">
        <v>108</v>
      </c>
      <c r="D74" s="1" t="s">
        <v>244</v>
      </c>
      <c r="E74">
        <v>2</v>
      </c>
      <c r="F74">
        <v>50</v>
      </c>
      <c r="G74">
        <v>51.035132638</v>
      </c>
      <c r="H74">
        <v>27.035000871880662</v>
      </c>
      <c r="I74">
        <v>817.46477493500004</v>
      </c>
      <c r="J74">
        <v>1595489.6029699999</v>
      </c>
      <c r="L74" s="1" t="s">
        <v>245</v>
      </c>
      <c r="M74" t="s">
        <v>246</v>
      </c>
    </row>
    <row r="75" spans="1:13" x14ac:dyDescent="0.25">
      <c r="A75" s="1" t="s">
        <v>2287</v>
      </c>
      <c r="B75">
        <v>2</v>
      </c>
      <c r="C75" t="s">
        <v>108</v>
      </c>
      <c r="D75" s="1" t="s">
        <v>244</v>
      </c>
      <c r="E75">
        <v>3</v>
      </c>
      <c r="F75">
        <v>50</v>
      </c>
      <c r="G75">
        <v>51.035132638</v>
      </c>
      <c r="H75">
        <v>24.683805590951728</v>
      </c>
      <c r="I75">
        <v>897.54847365800003</v>
      </c>
      <c r="J75">
        <v>1699035.4358600001</v>
      </c>
      <c r="L75" s="1" t="s">
        <v>245</v>
      </c>
      <c r="M75" t="s">
        <v>246</v>
      </c>
    </row>
    <row r="76" spans="1:13" x14ac:dyDescent="0.25">
      <c r="A76" s="1" t="s">
        <v>2288</v>
      </c>
      <c r="B76">
        <v>1</v>
      </c>
      <c r="C76" t="s">
        <v>108</v>
      </c>
      <c r="D76" s="1" t="s">
        <v>244</v>
      </c>
      <c r="E76">
        <v>2</v>
      </c>
      <c r="F76">
        <v>50</v>
      </c>
      <c r="G76">
        <v>51.035132638</v>
      </c>
      <c r="H76">
        <v>27.035000871976159</v>
      </c>
      <c r="I76">
        <v>817.46477493400005</v>
      </c>
      <c r="J76">
        <v>1595489.6029699999</v>
      </c>
      <c r="L76" s="1" t="s">
        <v>245</v>
      </c>
      <c r="M76" t="s">
        <v>246</v>
      </c>
    </row>
    <row r="77" spans="1:13" x14ac:dyDescent="0.25">
      <c r="A77" s="1" t="s">
        <v>2288</v>
      </c>
      <c r="B77">
        <v>2</v>
      </c>
      <c r="C77" t="s">
        <v>108</v>
      </c>
      <c r="D77" s="1" t="s">
        <v>244</v>
      </c>
      <c r="E77">
        <v>3</v>
      </c>
      <c r="F77">
        <v>50</v>
      </c>
      <c r="G77">
        <v>51.035132638</v>
      </c>
      <c r="H77">
        <v>24.683805591397366</v>
      </c>
      <c r="I77">
        <v>897.54847365800003</v>
      </c>
      <c r="J77">
        <v>1699035.4358699999</v>
      </c>
      <c r="L77" s="1" t="s">
        <v>245</v>
      </c>
      <c r="M77" t="s">
        <v>246</v>
      </c>
    </row>
    <row r="78" spans="1:13" x14ac:dyDescent="0.25">
      <c r="A78" s="1" t="s">
        <v>2289</v>
      </c>
      <c r="B78">
        <v>1</v>
      </c>
      <c r="C78" t="s">
        <v>108</v>
      </c>
      <c r="D78" s="1" t="s">
        <v>244</v>
      </c>
      <c r="E78">
        <v>2</v>
      </c>
      <c r="F78">
        <v>50</v>
      </c>
      <c r="G78">
        <v>51.035132638</v>
      </c>
      <c r="H78">
        <v>27.035000871976159</v>
      </c>
      <c r="I78">
        <v>817.46477493400005</v>
      </c>
      <c r="J78">
        <v>1595489.6029699999</v>
      </c>
      <c r="L78" s="1" t="s">
        <v>245</v>
      </c>
      <c r="M78" t="s">
        <v>246</v>
      </c>
    </row>
    <row r="79" spans="1:13" x14ac:dyDescent="0.25">
      <c r="A79" s="1" t="s">
        <v>2289</v>
      </c>
      <c r="B79">
        <v>2</v>
      </c>
      <c r="C79" t="s">
        <v>108</v>
      </c>
      <c r="D79" s="1" t="s">
        <v>244</v>
      </c>
      <c r="E79">
        <v>3</v>
      </c>
      <c r="F79">
        <v>50</v>
      </c>
      <c r="G79">
        <v>51.035132638</v>
      </c>
      <c r="H79">
        <v>24.683805591397366</v>
      </c>
      <c r="I79">
        <v>897.54847365800003</v>
      </c>
      <c r="J79">
        <v>1699035.4358699999</v>
      </c>
      <c r="L79" s="1" t="s">
        <v>245</v>
      </c>
      <c r="M79" t="s">
        <v>246</v>
      </c>
    </row>
    <row r="80" spans="1:13" x14ac:dyDescent="0.25">
      <c r="A80" s="1" t="s">
        <v>2290</v>
      </c>
      <c r="B80">
        <v>1</v>
      </c>
      <c r="C80" t="s">
        <v>108</v>
      </c>
      <c r="D80" s="1" t="s">
        <v>244</v>
      </c>
      <c r="E80">
        <v>2</v>
      </c>
      <c r="F80">
        <v>50</v>
      </c>
      <c r="G80">
        <v>51.035132638</v>
      </c>
      <c r="H80">
        <v>27.035000871976159</v>
      </c>
      <c r="I80">
        <v>817.46477493400005</v>
      </c>
      <c r="J80">
        <v>1595489.6029699999</v>
      </c>
      <c r="L80" s="1" t="s">
        <v>245</v>
      </c>
      <c r="M80" t="s">
        <v>246</v>
      </c>
    </row>
    <row r="81" spans="1:13" x14ac:dyDescent="0.25">
      <c r="A81" s="1" t="s">
        <v>2290</v>
      </c>
      <c r="B81">
        <v>2</v>
      </c>
      <c r="C81" t="s">
        <v>108</v>
      </c>
      <c r="D81" s="1" t="s">
        <v>244</v>
      </c>
      <c r="E81">
        <v>3</v>
      </c>
      <c r="F81">
        <v>50</v>
      </c>
      <c r="G81">
        <v>51.035132638</v>
      </c>
      <c r="H81">
        <v>24.683805590951728</v>
      </c>
      <c r="I81">
        <v>897.54847365800003</v>
      </c>
      <c r="J81">
        <v>1699035.4358600001</v>
      </c>
      <c r="L81" s="1" t="s">
        <v>245</v>
      </c>
      <c r="M81" t="s">
        <v>246</v>
      </c>
    </row>
    <row r="82" spans="1:13" x14ac:dyDescent="0.25">
      <c r="A82" s="1" t="s">
        <v>2291</v>
      </c>
      <c r="B82">
        <v>1</v>
      </c>
      <c r="C82" t="s">
        <v>108</v>
      </c>
      <c r="D82" s="1" t="s">
        <v>244</v>
      </c>
      <c r="E82">
        <v>2</v>
      </c>
      <c r="F82">
        <v>50</v>
      </c>
      <c r="G82">
        <v>51.035132638</v>
      </c>
      <c r="H82">
        <v>27.035000871976159</v>
      </c>
      <c r="I82">
        <v>817.46477493400005</v>
      </c>
      <c r="J82">
        <v>1595489.6029699999</v>
      </c>
      <c r="L82" s="1" t="s">
        <v>245</v>
      </c>
      <c r="M82" t="s">
        <v>246</v>
      </c>
    </row>
    <row r="83" spans="1:13" x14ac:dyDescent="0.25">
      <c r="A83" s="1" t="s">
        <v>2291</v>
      </c>
      <c r="B83">
        <v>2</v>
      </c>
      <c r="C83" t="s">
        <v>108</v>
      </c>
      <c r="D83" s="1" t="s">
        <v>244</v>
      </c>
      <c r="E83">
        <v>3</v>
      </c>
      <c r="F83">
        <v>50</v>
      </c>
      <c r="G83">
        <v>51.035132638</v>
      </c>
      <c r="H83">
        <v>24.683805591397366</v>
      </c>
      <c r="I83">
        <v>897.54847365800003</v>
      </c>
      <c r="J83">
        <v>1699035.4358699999</v>
      </c>
      <c r="L83" s="1" t="s">
        <v>245</v>
      </c>
      <c r="M83" t="s">
        <v>246</v>
      </c>
    </row>
    <row r="84" spans="1:13" x14ac:dyDescent="0.25">
      <c r="A84" s="1" t="s">
        <v>2292</v>
      </c>
      <c r="B84">
        <v>1</v>
      </c>
      <c r="C84" t="s">
        <v>108</v>
      </c>
      <c r="D84" s="1" t="s">
        <v>244</v>
      </c>
      <c r="E84">
        <v>2</v>
      </c>
      <c r="F84">
        <v>50</v>
      </c>
      <c r="G84">
        <v>51.035132638</v>
      </c>
      <c r="H84">
        <v>27.035000871976159</v>
      </c>
      <c r="I84">
        <v>817.46477493400005</v>
      </c>
      <c r="J84">
        <v>1595489.6029699999</v>
      </c>
      <c r="L84" s="1" t="s">
        <v>245</v>
      </c>
      <c r="M84" t="s">
        <v>246</v>
      </c>
    </row>
    <row r="85" spans="1:13" x14ac:dyDescent="0.25">
      <c r="A85" s="1" t="s">
        <v>2292</v>
      </c>
      <c r="B85">
        <v>2</v>
      </c>
      <c r="C85" t="s">
        <v>108</v>
      </c>
      <c r="D85" s="1" t="s">
        <v>244</v>
      </c>
      <c r="E85">
        <v>3</v>
      </c>
      <c r="F85">
        <v>50</v>
      </c>
      <c r="G85">
        <v>51.035132638</v>
      </c>
      <c r="H85">
        <v>24.683805591397366</v>
      </c>
      <c r="I85">
        <v>897.54847365800003</v>
      </c>
      <c r="J85">
        <v>1699035.4358699999</v>
      </c>
      <c r="L85" s="1" t="s">
        <v>245</v>
      </c>
      <c r="M85" t="s">
        <v>246</v>
      </c>
    </row>
    <row r="86" spans="1:13" x14ac:dyDescent="0.25">
      <c r="A86" s="1" t="s">
        <v>2293</v>
      </c>
      <c r="B86">
        <v>1</v>
      </c>
      <c r="C86" t="s">
        <v>108</v>
      </c>
      <c r="D86" s="1" t="s">
        <v>244</v>
      </c>
      <c r="E86">
        <v>2</v>
      </c>
      <c r="F86">
        <v>50</v>
      </c>
      <c r="G86">
        <v>51.035132638</v>
      </c>
      <c r="H86">
        <v>27.035000871976159</v>
      </c>
      <c r="I86">
        <v>817.46477493400005</v>
      </c>
      <c r="J86">
        <v>1595489.6029699999</v>
      </c>
      <c r="L86" s="1" t="s">
        <v>245</v>
      </c>
      <c r="M86" t="s">
        <v>246</v>
      </c>
    </row>
    <row r="87" spans="1:13" x14ac:dyDescent="0.25">
      <c r="A87" s="1" t="s">
        <v>2293</v>
      </c>
      <c r="B87">
        <v>2</v>
      </c>
      <c r="C87" t="s">
        <v>108</v>
      </c>
      <c r="D87" s="1" t="s">
        <v>244</v>
      </c>
      <c r="E87">
        <v>3</v>
      </c>
      <c r="F87">
        <v>50</v>
      </c>
      <c r="G87">
        <v>51.035132638</v>
      </c>
      <c r="H87">
        <v>24.683805591397366</v>
      </c>
      <c r="I87">
        <v>897.54847365800003</v>
      </c>
      <c r="J87">
        <v>1699035.4358699999</v>
      </c>
      <c r="L87" s="1" t="s">
        <v>245</v>
      </c>
      <c r="M87" t="s">
        <v>246</v>
      </c>
    </row>
    <row r="88" spans="1:13" x14ac:dyDescent="0.25">
      <c r="A88" s="1" t="s">
        <v>2294</v>
      </c>
      <c r="B88">
        <v>1</v>
      </c>
      <c r="C88" t="s">
        <v>108</v>
      </c>
      <c r="D88" s="1" t="s">
        <v>244</v>
      </c>
      <c r="E88">
        <v>2</v>
      </c>
      <c r="F88">
        <v>50</v>
      </c>
      <c r="G88">
        <v>51.035132638</v>
      </c>
      <c r="H88">
        <v>27.035000871976159</v>
      </c>
      <c r="I88">
        <v>817.46477493400005</v>
      </c>
      <c r="J88">
        <v>1595489.6029699999</v>
      </c>
      <c r="L88" s="1" t="s">
        <v>245</v>
      </c>
      <c r="M88" t="s">
        <v>246</v>
      </c>
    </row>
    <row r="89" spans="1:13" x14ac:dyDescent="0.25">
      <c r="A89" s="1" t="s">
        <v>2294</v>
      </c>
      <c r="B89">
        <v>2</v>
      </c>
      <c r="C89" t="s">
        <v>108</v>
      </c>
      <c r="D89" s="1" t="s">
        <v>244</v>
      </c>
      <c r="E89">
        <v>3</v>
      </c>
      <c r="F89">
        <v>50</v>
      </c>
      <c r="G89">
        <v>51.035132638</v>
      </c>
      <c r="H89">
        <v>24.683805590951728</v>
      </c>
      <c r="I89">
        <v>897.54847365800003</v>
      </c>
      <c r="J89">
        <v>1699035.4358600001</v>
      </c>
      <c r="L89" s="1" t="s">
        <v>245</v>
      </c>
      <c r="M89" t="s">
        <v>246</v>
      </c>
    </row>
    <row r="90" spans="1:13" x14ac:dyDescent="0.25">
      <c r="A90" s="1" t="s">
        <v>2295</v>
      </c>
      <c r="B90">
        <v>1</v>
      </c>
      <c r="C90" t="s">
        <v>108</v>
      </c>
      <c r="D90" s="1" t="s">
        <v>244</v>
      </c>
      <c r="E90">
        <v>2</v>
      </c>
      <c r="F90">
        <v>50</v>
      </c>
      <c r="G90">
        <v>51.035132638</v>
      </c>
      <c r="H90">
        <v>27.035000871976159</v>
      </c>
      <c r="I90">
        <v>817.46477493400005</v>
      </c>
      <c r="J90">
        <v>1595489.6029699999</v>
      </c>
      <c r="L90" s="1" t="s">
        <v>245</v>
      </c>
      <c r="M90" t="s">
        <v>246</v>
      </c>
    </row>
    <row r="91" spans="1:13" x14ac:dyDescent="0.25">
      <c r="A91" s="1" t="s">
        <v>2295</v>
      </c>
      <c r="B91">
        <v>2</v>
      </c>
      <c r="C91" t="s">
        <v>108</v>
      </c>
      <c r="D91" s="1" t="s">
        <v>244</v>
      </c>
      <c r="E91">
        <v>3</v>
      </c>
      <c r="F91">
        <v>50</v>
      </c>
      <c r="G91">
        <v>51.035132638</v>
      </c>
      <c r="H91">
        <v>24.683805591397366</v>
      </c>
      <c r="I91">
        <v>897.54847365800003</v>
      </c>
      <c r="J91">
        <v>1699035.4358699999</v>
      </c>
      <c r="L91" s="1" t="s">
        <v>245</v>
      </c>
      <c r="M91" t="s">
        <v>246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1"/>
  <sheetViews>
    <sheetView workbookViewId="0"/>
  </sheetViews>
  <sheetFormatPr defaultRowHeight="15" x14ac:dyDescent="0.25"/>
  <cols>
    <col min="1" max="1" width="11" bestFit="1" customWidth="1"/>
    <col min="2" max="2" width="15.85546875" bestFit="1" customWidth="1"/>
    <col min="3" max="3" width="10.140625" bestFit="1" customWidth="1"/>
    <col min="4" max="4" width="9" bestFit="1" customWidth="1"/>
    <col min="5" max="5" width="8.85546875" bestFit="1" customWidth="1"/>
    <col min="7" max="7" width="8" bestFit="1" customWidth="1"/>
    <col min="8" max="8" width="12" bestFit="1" customWidth="1"/>
    <col min="9" max="9" width="8.42578125" bestFit="1" customWidth="1"/>
    <col min="10" max="10" width="7" bestFit="1" customWidth="1"/>
  </cols>
  <sheetData>
    <row r="1" spans="1:10" x14ac:dyDescent="0.25">
      <c r="A1" t="s">
        <v>14</v>
      </c>
      <c r="B1" t="s">
        <v>5</v>
      </c>
      <c r="C1" t="s">
        <v>269</v>
      </c>
      <c r="D1" t="s">
        <v>69</v>
      </c>
      <c r="E1" t="s">
        <v>270</v>
      </c>
      <c r="F1" t="s">
        <v>271</v>
      </c>
      <c r="G1" t="s">
        <v>1</v>
      </c>
      <c r="H1" t="s">
        <v>202</v>
      </c>
      <c r="I1" t="s">
        <v>272</v>
      </c>
      <c r="J1" t="s">
        <v>273</v>
      </c>
    </row>
    <row r="2" spans="1:10" x14ac:dyDescent="0.25">
      <c r="A2" s="1" t="s">
        <v>2058</v>
      </c>
      <c r="B2" s="1" t="s">
        <v>2295</v>
      </c>
      <c r="C2">
        <v>898</v>
      </c>
      <c r="D2">
        <v>2017</v>
      </c>
      <c r="E2">
        <v>79</v>
      </c>
      <c r="F2">
        <v>918</v>
      </c>
      <c r="G2">
        <v>2057</v>
      </c>
      <c r="H2">
        <v>1.8874862029372668</v>
      </c>
    </row>
    <row r="3" spans="1:10" x14ac:dyDescent="0.25">
      <c r="A3" s="1" t="s">
        <v>2058</v>
      </c>
      <c r="B3" s="1" t="s">
        <v>2294</v>
      </c>
      <c r="C3">
        <v>898</v>
      </c>
      <c r="D3">
        <v>2017</v>
      </c>
      <c r="E3">
        <v>79</v>
      </c>
      <c r="F3">
        <v>918</v>
      </c>
      <c r="G3">
        <v>2057</v>
      </c>
      <c r="H3">
        <v>1.8874861873824706</v>
      </c>
    </row>
    <row r="4" spans="1:10" x14ac:dyDescent="0.25">
      <c r="A4" s="1" t="s">
        <v>2058</v>
      </c>
      <c r="B4" s="1" t="s">
        <v>2293</v>
      </c>
      <c r="C4">
        <v>898</v>
      </c>
      <c r="D4">
        <v>2017</v>
      </c>
      <c r="E4">
        <v>79</v>
      </c>
      <c r="F4">
        <v>918</v>
      </c>
      <c r="G4">
        <v>2057</v>
      </c>
      <c r="H4">
        <v>1.8874861873824706</v>
      </c>
    </row>
    <row r="5" spans="1:10" x14ac:dyDescent="0.25">
      <c r="A5" s="1" t="s">
        <v>2058</v>
      </c>
      <c r="B5" s="1" t="s">
        <v>2292</v>
      </c>
      <c r="C5">
        <v>898</v>
      </c>
      <c r="D5">
        <v>2017</v>
      </c>
      <c r="E5">
        <v>79</v>
      </c>
      <c r="F5">
        <v>918</v>
      </c>
      <c r="G5">
        <v>2057</v>
      </c>
      <c r="H5">
        <v>1.8874861873824706</v>
      </c>
    </row>
    <row r="6" spans="1:10" x14ac:dyDescent="0.25">
      <c r="A6" s="1" t="s">
        <v>2058</v>
      </c>
      <c r="B6" s="1" t="s">
        <v>2291</v>
      </c>
      <c r="C6">
        <v>898</v>
      </c>
      <c r="D6">
        <v>2017</v>
      </c>
      <c r="E6">
        <v>79</v>
      </c>
      <c r="F6">
        <v>918</v>
      </c>
      <c r="G6">
        <v>2057</v>
      </c>
      <c r="H6">
        <v>1.8874861873824706</v>
      </c>
    </row>
    <row r="7" spans="1:10" x14ac:dyDescent="0.25">
      <c r="A7" s="1" t="s">
        <v>2058</v>
      </c>
      <c r="B7" s="1" t="s">
        <v>2290</v>
      </c>
      <c r="C7">
        <v>898</v>
      </c>
      <c r="D7">
        <v>2017</v>
      </c>
      <c r="E7">
        <v>79</v>
      </c>
      <c r="F7">
        <v>918</v>
      </c>
      <c r="G7">
        <v>2057</v>
      </c>
      <c r="H7">
        <v>1.8874861873824706</v>
      </c>
    </row>
    <row r="8" spans="1:10" x14ac:dyDescent="0.25">
      <c r="A8" s="1" t="s">
        <v>2058</v>
      </c>
      <c r="B8" s="1" t="s">
        <v>2289</v>
      </c>
      <c r="C8">
        <v>898</v>
      </c>
      <c r="D8">
        <v>2017</v>
      </c>
      <c r="E8">
        <v>79</v>
      </c>
      <c r="F8">
        <v>918</v>
      </c>
      <c r="G8">
        <v>2057</v>
      </c>
      <c r="H8">
        <v>1.8874861873824706</v>
      </c>
    </row>
    <row r="9" spans="1:10" x14ac:dyDescent="0.25">
      <c r="A9" s="1" t="s">
        <v>2058</v>
      </c>
      <c r="B9" s="1" t="s">
        <v>2288</v>
      </c>
      <c r="C9">
        <v>898</v>
      </c>
      <c r="D9">
        <v>2017</v>
      </c>
      <c r="E9">
        <v>79</v>
      </c>
      <c r="F9">
        <v>918</v>
      </c>
      <c r="G9">
        <v>2057</v>
      </c>
      <c r="H9">
        <v>1.8874861873824706</v>
      </c>
    </row>
    <row r="10" spans="1:10" x14ac:dyDescent="0.25">
      <c r="A10" s="1" t="s">
        <v>2058</v>
      </c>
      <c r="B10" s="1" t="s">
        <v>2287</v>
      </c>
      <c r="C10">
        <v>898</v>
      </c>
      <c r="D10">
        <v>2017</v>
      </c>
      <c r="E10">
        <v>79</v>
      </c>
      <c r="F10">
        <v>918</v>
      </c>
      <c r="G10">
        <v>2057</v>
      </c>
      <c r="H10">
        <v>1.887486185352425</v>
      </c>
    </row>
    <row r="11" spans="1:10" x14ac:dyDescent="0.25">
      <c r="A11" s="1" t="s">
        <v>2058</v>
      </c>
      <c r="B11" s="1" t="s">
        <v>2286</v>
      </c>
      <c r="C11">
        <v>898</v>
      </c>
      <c r="D11">
        <v>2017</v>
      </c>
      <c r="E11">
        <v>79</v>
      </c>
      <c r="F11">
        <v>918</v>
      </c>
      <c r="G11">
        <v>2057</v>
      </c>
      <c r="H11">
        <v>1.887486185352425</v>
      </c>
    </row>
    <row r="12" spans="1:10" x14ac:dyDescent="0.25">
      <c r="A12" s="1" t="s">
        <v>2058</v>
      </c>
      <c r="B12" s="1" t="s">
        <v>2285</v>
      </c>
      <c r="C12">
        <v>898</v>
      </c>
      <c r="D12">
        <v>2017</v>
      </c>
      <c r="E12">
        <v>79</v>
      </c>
      <c r="F12">
        <v>918</v>
      </c>
      <c r="G12">
        <v>2057</v>
      </c>
      <c r="H12">
        <v>1.8874862029372668</v>
      </c>
    </row>
    <row r="13" spans="1:10" x14ac:dyDescent="0.25">
      <c r="A13" s="1" t="s">
        <v>2058</v>
      </c>
      <c r="B13" s="1" t="s">
        <v>2284</v>
      </c>
      <c r="C13">
        <v>898</v>
      </c>
      <c r="D13">
        <v>2017</v>
      </c>
      <c r="E13">
        <v>79</v>
      </c>
      <c r="F13">
        <v>918</v>
      </c>
      <c r="G13">
        <v>2057</v>
      </c>
      <c r="H13">
        <v>1.8874861873824706</v>
      </c>
    </row>
    <row r="14" spans="1:10" x14ac:dyDescent="0.25">
      <c r="A14" s="1" t="s">
        <v>2058</v>
      </c>
      <c r="B14" s="1" t="s">
        <v>2283</v>
      </c>
      <c r="C14">
        <v>898</v>
      </c>
      <c r="D14">
        <v>2017</v>
      </c>
      <c r="E14">
        <v>79</v>
      </c>
      <c r="F14">
        <v>918</v>
      </c>
      <c r="G14">
        <v>2057</v>
      </c>
      <c r="H14">
        <v>1.8874861873824706</v>
      </c>
    </row>
    <row r="15" spans="1:10" x14ac:dyDescent="0.25">
      <c r="A15" s="1" t="s">
        <v>2058</v>
      </c>
      <c r="B15" s="1" t="s">
        <v>2282</v>
      </c>
      <c r="C15">
        <v>898</v>
      </c>
      <c r="D15">
        <v>2017</v>
      </c>
      <c r="E15">
        <v>79</v>
      </c>
      <c r="F15">
        <v>918</v>
      </c>
      <c r="G15">
        <v>2057</v>
      </c>
      <c r="H15">
        <v>1.8874861873824706</v>
      </c>
    </row>
    <row r="16" spans="1:10" x14ac:dyDescent="0.25">
      <c r="A16" s="1" t="s">
        <v>2058</v>
      </c>
      <c r="B16" s="1" t="s">
        <v>2281</v>
      </c>
      <c r="C16">
        <v>898</v>
      </c>
      <c r="D16">
        <v>2017</v>
      </c>
      <c r="E16">
        <v>79</v>
      </c>
      <c r="F16">
        <v>918</v>
      </c>
      <c r="G16">
        <v>2057</v>
      </c>
      <c r="H16">
        <v>1.8874861873824706</v>
      </c>
    </row>
    <row r="17" spans="1:8" x14ac:dyDescent="0.25">
      <c r="A17" s="1" t="s">
        <v>2058</v>
      </c>
      <c r="B17" s="1" t="s">
        <v>2280</v>
      </c>
      <c r="C17">
        <v>898</v>
      </c>
      <c r="D17">
        <v>2017</v>
      </c>
      <c r="E17">
        <v>79</v>
      </c>
      <c r="F17">
        <v>918</v>
      </c>
      <c r="G17">
        <v>2057</v>
      </c>
      <c r="H17">
        <v>1.8874861873824706</v>
      </c>
    </row>
    <row r="18" spans="1:8" x14ac:dyDescent="0.25">
      <c r="A18" s="1" t="s">
        <v>2058</v>
      </c>
      <c r="B18" s="1" t="s">
        <v>2279</v>
      </c>
      <c r="C18">
        <v>898</v>
      </c>
      <c r="D18">
        <v>2017</v>
      </c>
      <c r="E18">
        <v>79</v>
      </c>
      <c r="F18">
        <v>918</v>
      </c>
      <c r="G18">
        <v>2057</v>
      </c>
      <c r="H18">
        <v>1.8874861873824706</v>
      </c>
    </row>
    <row r="19" spans="1:8" x14ac:dyDescent="0.25">
      <c r="A19" s="1" t="s">
        <v>2058</v>
      </c>
      <c r="B19" s="1" t="s">
        <v>2278</v>
      </c>
      <c r="C19">
        <v>898</v>
      </c>
      <c r="D19">
        <v>2017</v>
      </c>
      <c r="E19">
        <v>79</v>
      </c>
      <c r="F19">
        <v>918</v>
      </c>
      <c r="G19">
        <v>2057</v>
      </c>
      <c r="H19">
        <v>1.8874861873824706</v>
      </c>
    </row>
    <row r="20" spans="1:8" x14ac:dyDescent="0.25">
      <c r="A20" s="1" t="s">
        <v>2058</v>
      </c>
      <c r="B20" s="1" t="s">
        <v>2277</v>
      </c>
      <c r="C20">
        <v>898</v>
      </c>
      <c r="D20">
        <v>2017</v>
      </c>
      <c r="E20">
        <v>79</v>
      </c>
      <c r="F20">
        <v>918</v>
      </c>
      <c r="G20">
        <v>2057</v>
      </c>
      <c r="H20">
        <v>1.887486185352425</v>
      </c>
    </row>
    <row r="21" spans="1:8" x14ac:dyDescent="0.25">
      <c r="A21" s="1" t="s">
        <v>2058</v>
      </c>
      <c r="B21" s="1" t="s">
        <v>2276</v>
      </c>
      <c r="C21">
        <v>898</v>
      </c>
      <c r="D21">
        <v>2017</v>
      </c>
      <c r="E21">
        <v>79</v>
      </c>
      <c r="F21">
        <v>918</v>
      </c>
      <c r="G21">
        <v>2057</v>
      </c>
      <c r="H21">
        <v>1.887486185352425</v>
      </c>
    </row>
    <row r="22" spans="1:8" x14ac:dyDescent="0.25">
      <c r="A22" s="1" t="s">
        <v>2058</v>
      </c>
      <c r="B22" s="1" t="s">
        <v>2275</v>
      </c>
      <c r="C22">
        <v>898</v>
      </c>
      <c r="D22">
        <v>2017</v>
      </c>
      <c r="E22">
        <v>79</v>
      </c>
      <c r="F22">
        <v>918</v>
      </c>
      <c r="G22">
        <v>2057</v>
      </c>
      <c r="H22">
        <v>1.8874862029372668</v>
      </c>
    </row>
    <row r="23" spans="1:8" x14ac:dyDescent="0.25">
      <c r="A23" s="1" t="s">
        <v>2058</v>
      </c>
      <c r="B23" s="1" t="s">
        <v>2274</v>
      </c>
      <c r="C23">
        <v>898</v>
      </c>
      <c r="D23">
        <v>2017</v>
      </c>
      <c r="E23">
        <v>79</v>
      </c>
      <c r="F23">
        <v>918</v>
      </c>
      <c r="G23">
        <v>2057</v>
      </c>
      <c r="H23">
        <v>1.8874861873824706</v>
      </c>
    </row>
    <row r="24" spans="1:8" x14ac:dyDescent="0.25">
      <c r="A24" s="1" t="s">
        <v>2058</v>
      </c>
      <c r="B24" s="1" t="s">
        <v>2273</v>
      </c>
      <c r="C24">
        <v>898</v>
      </c>
      <c r="D24">
        <v>2017</v>
      </c>
      <c r="E24">
        <v>79</v>
      </c>
      <c r="F24">
        <v>918</v>
      </c>
      <c r="G24">
        <v>2057</v>
      </c>
      <c r="H24">
        <v>1.8874861873824706</v>
      </c>
    </row>
    <row r="25" spans="1:8" x14ac:dyDescent="0.25">
      <c r="A25" s="1" t="s">
        <v>2058</v>
      </c>
      <c r="B25" s="1" t="s">
        <v>2272</v>
      </c>
      <c r="C25">
        <v>898</v>
      </c>
      <c r="D25">
        <v>2017</v>
      </c>
      <c r="E25">
        <v>79</v>
      </c>
      <c r="F25">
        <v>918</v>
      </c>
      <c r="G25">
        <v>2057</v>
      </c>
      <c r="H25">
        <v>1.8874861873824706</v>
      </c>
    </row>
    <row r="26" spans="1:8" x14ac:dyDescent="0.25">
      <c r="A26" s="1" t="s">
        <v>2058</v>
      </c>
      <c r="B26" s="1" t="s">
        <v>2271</v>
      </c>
      <c r="C26">
        <v>898</v>
      </c>
      <c r="D26">
        <v>2017</v>
      </c>
      <c r="E26">
        <v>79</v>
      </c>
      <c r="F26">
        <v>918</v>
      </c>
      <c r="G26">
        <v>2057</v>
      </c>
      <c r="H26">
        <v>1.8874861873824706</v>
      </c>
    </row>
    <row r="27" spans="1:8" x14ac:dyDescent="0.25">
      <c r="A27" s="1" t="s">
        <v>2058</v>
      </c>
      <c r="B27" s="1" t="s">
        <v>2270</v>
      </c>
      <c r="C27">
        <v>898</v>
      </c>
      <c r="D27">
        <v>2017</v>
      </c>
      <c r="E27">
        <v>79</v>
      </c>
      <c r="F27">
        <v>918</v>
      </c>
      <c r="G27">
        <v>2057</v>
      </c>
      <c r="H27">
        <v>1.8874861873824706</v>
      </c>
    </row>
    <row r="28" spans="1:8" x14ac:dyDescent="0.25">
      <c r="A28" s="1" t="s">
        <v>2058</v>
      </c>
      <c r="B28" s="1" t="s">
        <v>2269</v>
      </c>
      <c r="C28">
        <v>898</v>
      </c>
      <c r="D28">
        <v>2017</v>
      </c>
      <c r="E28">
        <v>79</v>
      </c>
      <c r="F28">
        <v>918</v>
      </c>
      <c r="G28">
        <v>2057</v>
      </c>
      <c r="H28">
        <v>1.8874861873824706</v>
      </c>
    </row>
    <row r="29" spans="1:8" x14ac:dyDescent="0.25">
      <c r="A29" s="1" t="s">
        <v>2058</v>
      </c>
      <c r="B29" s="1" t="s">
        <v>2268</v>
      </c>
      <c r="C29">
        <v>898</v>
      </c>
      <c r="D29">
        <v>2017</v>
      </c>
      <c r="E29">
        <v>79</v>
      </c>
      <c r="F29">
        <v>918</v>
      </c>
      <c r="G29">
        <v>2057</v>
      </c>
      <c r="H29">
        <v>1.8874861873824706</v>
      </c>
    </row>
    <row r="30" spans="1:8" x14ac:dyDescent="0.25">
      <c r="A30" s="1" t="s">
        <v>2058</v>
      </c>
      <c r="B30" s="1" t="s">
        <v>2267</v>
      </c>
      <c r="C30">
        <v>898</v>
      </c>
      <c r="D30">
        <v>2017</v>
      </c>
      <c r="E30">
        <v>79</v>
      </c>
      <c r="F30">
        <v>918</v>
      </c>
      <c r="G30">
        <v>2057</v>
      </c>
      <c r="H30">
        <v>1.887486185352425</v>
      </c>
    </row>
    <row r="31" spans="1:8" x14ac:dyDescent="0.25">
      <c r="A31" s="1" t="s">
        <v>2058</v>
      </c>
      <c r="B31" s="1" t="s">
        <v>2266</v>
      </c>
      <c r="C31">
        <v>898</v>
      </c>
      <c r="D31">
        <v>2017</v>
      </c>
      <c r="E31">
        <v>79</v>
      </c>
      <c r="F31">
        <v>918</v>
      </c>
      <c r="G31">
        <v>2057</v>
      </c>
      <c r="H31">
        <v>1.887486185352425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31"/>
  <sheetViews>
    <sheetView workbookViewId="0"/>
  </sheetViews>
  <sheetFormatPr defaultRowHeight="15" x14ac:dyDescent="0.25"/>
  <cols>
    <col min="1" max="1" width="11" bestFit="1" customWidth="1"/>
    <col min="2" max="2" width="15" bestFit="1" customWidth="1"/>
    <col min="3" max="3" width="10.140625" bestFit="1" customWidth="1"/>
    <col min="4" max="4" width="9" bestFit="1" customWidth="1"/>
    <col min="5" max="5" width="8.85546875" bestFit="1" customWidth="1"/>
    <col min="7" max="7" width="8" bestFit="1" customWidth="1"/>
    <col min="8" max="8" width="12" bestFit="1" customWidth="1"/>
    <col min="9" max="9" width="8.42578125" bestFit="1" customWidth="1"/>
    <col min="10" max="10" width="7" bestFit="1" customWidth="1"/>
  </cols>
  <sheetData>
    <row r="1" spans="1:10" x14ac:dyDescent="0.25">
      <c r="A1" t="s">
        <v>14</v>
      </c>
      <c r="B1" t="s">
        <v>5</v>
      </c>
      <c r="C1" t="s">
        <v>269</v>
      </c>
      <c r="D1" t="s">
        <v>69</v>
      </c>
      <c r="E1" t="s">
        <v>270</v>
      </c>
      <c r="F1" t="s">
        <v>271</v>
      </c>
      <c r="G1" t="s">
        <v>1</v>
      </c>
      <c r="H1" t="s">
        <v>202</v>
      </c>
      <c r="I1" t="s">
        <v>272</v>
      </c>
      <c r="J1" t="s">
        <v>273</v>
      </c>
    </row>
    <row r="2" spans="1:10" x14ac:dyDescent="0.25">
      <c r="A2" s="1" t="s">
        <v>2058</v>
      </c>
      <c r="B2" s="1" t="s">
        <v>2296</v>
      </c>
      <c r="C2">
        <v>879</v>
      </c>
      <c r="D2">
        <v>2017</v>
      </c>
      <c r="E2">
        <v>280</v>
      </c>
      <c r="F2">
        <v>879</v>
      </c>
      <c r="G2">
        <v>2017</v>
      </c>
      <c r="H2">
        <v>1.7730318552090785</v>
      </c>
    </row>
    <row r="3" spans="1:10" x14ac:dyDescent="0.25">
      <c r="A3" s="1" t="s">
        <v>2058</v>
      </c>
      <c r="B3" s="1" t="s">
        <v>2297</v>
      </c>
      <c r="C3">
        <v>879</v>
      </c>
      <c r="D3">
        <v>2017</v>
      </c>
      <c r="E3">
        <v>280</v>
      </c>
      <c r="F3">
        <v>879</v>
      </c>
      <c r="G3">
        <v>2017</v>
      </c>
      <c r="H3">
        <v>1.7730012451264665</v>
      </c>
    </row>
    <row r="4" spans="1:10" x14ac:dyDescent="0.25">
      <c r="A4" s="1" t="s">
        <v>2058</v>
      </c>
      <c r="B4" s="1" t="s">
        <v>2298</v>
      </c>
      <c r="C4">
        <v>879</v>
      </c>
      <c r="D4">
        <v>2017</v>
      </c>
      <c r="E4">
        <v>280</v>
      </c>
      <c r="F4">
        <v>879</v>
      </c>
      <c r="G4">
        <v>2017</v>
      </c>
      <c r="H4">
        <v>1.7730012427539001</v>
      </c>
    </row>
    <row r="5" spans="1:10" x14ac:dyDescent="0.25">
      <c r="A5" s="1" t="s">
        <v>2058</v>
      </c>
      <c r="B5" s="1" t="s">
        <v>2299</v>
      </c>
      <c r="C5">
        <v>879</v>
      </c>
      <c r="D5">
        <v>2017</v>
      </c>
      <c r="E5">
        <v>280</v>
      </c>
      <c r="F5">
        <v>879</v>
      </c>
      <c r="G5">
        <v>2017</v>
      </c>
      <c r="H5">
        <v>1.7730318729098327</v>
      </c>
    </row>
    <row r="6" spans="1:10" x14ac:dyDescent="0.25">
      <c r="A6" s="1" t="s">
        <v>2058</v>
      </c>
      <c r="B6" s="1" t="s">
        <v>2300</v>
      </c>
      <c r="C6">
        <v>879</v>
      </c>
      <c r="D6">
        <v>2017</v>
      </c>
      <c r="E6">
        <v>280</v>
      </c>
      <c r="F6">
        <v>879</v>
      </c>
      <c r="G6">
        <v>2017</v>
      </c>
      <c r="H6">
        <v>1.7730318732605377</v>
      </c>
    </row>
    <row r="7" spans="1:10" x14ac:dyDescent="0.25">
      <c r="A7" s="1" t="s">
        <v>2058</v>
      </c>
      <c r="B7" s="1" t="s">
        <v>2301</v>
      </c>
      <c r="C7">
        <v>879</v>
      </c>
      <c r="D7">
        <v>2017</v>
      </c>
      <c r="E7">
        <v>280</v>
      </c>
      <c r="F7">
        <v>879</v>
      </c>
      <c r="G7">
        <v>2017</v>
      </c>
      <c r="H7">
        <v>1.7730318732605377</v>
      </c>
    </row>
    <row r="8" spans="1:10" x14ac:dyDescent="0.25">
      <c r="A8" s="1" t="s">
        <v>2058</v>
      </c>
      <c r="B8" s="1" t="s">
        <v>2302</v>
      </c>
      <c r="C8">
        <v>879</v>
      </c>
      <c r="D8">
        <v>2017</v>
      </c>
      <c r="E8">
        <v>280</v>
      </c>
      <c r="F8">
        <v>879</v>
      </c>
      <c r="G8">
        <v>2017</v>
      </c>
      <c r="H8">
        <v>1.7730318729098327</v>
      </c>
    </row>
    <row r="9" spans="1:10" x14ac:dyDescent="0.25">
      <c r="A9" s="1" t="s">
        <v>2058</v>
      </c>
      <c r="B9" s="1" t="s">
        <v>2303</v>
      </c>
      <c r="C9">
        <v>879</v>
      </c>
      <c r="D9">
        <v>2017</v>
      </c>
      <c r="E9">
        <v>280</v>
      </c>
      <c r="F9">
        <v>879</v>
      </c>
      <c r="G9">
        <v>2017</v>
      </c>
      <c r="H9">
        <v>1.7730318732605377</v>
      </c>
    </row>
    <row r="10" spans="1:10" x14ac:dyDescent="0.25">
      <c r="A10" s="1" t="s">
        <v>2058</v>
      </c>
      <c r="B10" s="1" t="s">
        <v>2304</v>
      </c>
      <c r="C10">
        <v>879</v>
      </c>
      <c r="D10">
        <v>2017</v>
      </c>
      <c r="E10">
        <v>280</v>
      </c>
      <c r="F10">
        <v>879</v>
      </c>
      <c r="G10">
        <v>2017</v>
      </c>
      <c r="H10">
        <v>1.773078622497952</v>
      </c>
    </row>
    <row r="11" spans="1:10" x14ac:dyDescent="0.25">
      <c r="A11" s="1" t="s">
        <v>2058</v>
      </c>
      <c r="B11" s="1" t="s">
        <v>2305</v>
      </c>
      <c r="C11">
        <v>879</v>
      </c>
      <c r="D11">
        <v>2017</v>
      </c>
      <c r="E11">
        <v>280</v>
      </c>
      <c r="F11">
        <v>879</v>
      </c>
      <c r="G11">
        <v>2017</v>
      </c>
      <c r="H11">
        <v>1.7730644311881858</v>
      </c>
    </row>
    <row r="12" spans="1:10" x14ac:dyDescent="0.25">
      <c r="A12" s="1" t="s">
        <v>2058</v>
      </c>
      <c r="B12" s="1" t="s">
        <v>2306</v>
      </c>
      <c r="C12">
        <v>879</v>
      </c>
      <c r="D12">
        <v>2017</v>
      </c>
      <c r="E12">
        <v>280</v>
      </c>
      <c r="F12">
        <v>879</v>
      </c>
      <c r="G12">
        <v>2017</v>
      </c>
      <c r="H12">
        <v>1.7730006389882214</v>
      </c>
    </row>
    <row r="13" spans="1:10" x14ac:dyDescent="0.25">
      <c r="A13" s="1" t="s">
        <v>2058</v>
      </c>
      <c r="B13" s="1" t="s">
        <v>2307</v>
      </c>
      <c r="C13">
        <v>879</v>
      </c>
      <c r="D13">
        <v>2017</v>
      </c>
      <c r="E13">
        <v>280</v>
      </c>
      <c r="F13">
        <v>879</v>
      </c>
      <c r="G13">
        <v>2017</v>
      </c>
      <c r="H13">
        <v>1.7730012451264665</v>
      </c>
    </row>
    <row r="14" spans="1:10" x14ac:dyDescent="0.25">
      <c r="A14" s="1" t="s">
        <v>2058</v>
      </c>
      <c r="B14" s="1" t="s">
        <v>2308</v>
      </c>
      <c r="C14">
        <v>879</v>
      </c>
      <c r="D14">
        <v>2017</v>
      </c>
      <c r="E14">
        <v>280</v>
      </c>
      <c r="F14">
        <v>879</v>
      </c>
      <c r="G14">
        <v>2017</v>
      </c>
      <c r="H14">
        <v>1.7730012427539001</v>
      </c>
    </row>
    <row r="15" spans="1:10" x14ac:dyDescent="0.25">
      <c r="A15" s="1" t="s">
        <v>2058</v>
      </c>
      <c r="B15" s="1" t="s">
        <v>2309</v>
      </c>
      <c r="C15">
        <v>879</v>
      </c>
      <c r="D15">
        <v>2017</v>
      </c>
      <c r="E15">
        <v>280</v>
      </c>
      <c r="F15">
        <v>879</v>
      </c>
      <c r="G15">
        <v>2017</v>
      </c>
      <c r="H15">
        <v>1.7730006587059295</v>
      </c>
    </row>
    <row r="16" spans="1:10" x14ac:dyDescent="0.25">
      <c r="A16" s="1" t="s">
        <v>2058</v>
      </c>
      <c r="B16" s="1" t="s">
        <v>2310</v>
      </c>
      <c r="C16">
        <v>879</v>
      </c>
      <c r="D16">
        <v>2017</v>
      </c>
      <c r="E16">
        <v>280</v>
      </c>
      <c r="F16">
        <v>879</v>
      </c>
      <c r="G16">
        <v>2017</v>
      </c>
      <c r="H16">
        <v>1.7730318732605377</v>
      </c>
    </row>
    <row r="17" spans="1:8" x14ac:dyDescent="0.25">
      <c r="A17" s="1" t="s">
        <v>2058</v>
      </c>
      <c r="B17" s="1" t="s">
        <v>2311</v>
      </c>
      <c r="C17">
        <v>879</v>
      </c>
      <c r="D17">
        <v>2017</v>
      </c>
      <c r="E17">
        <v>280</v>
      </c>
      <c r="F17">
        <v>879</v>
      </c>
      <c r="G17">
        <v>2017</v>
      </c>
      <c r="H17">
        <v>1.7730318732605377</v>
      </c>
    </row>
    <row r="18" spans="1:8" x14ac:dyDescent="0.25">
      <c r="A18" s="1" t="s">
        <v>2058</v>
      </c>
      <c r="B18" s="1" t="s">
        <v>2312</v>
      </c>
      <c r="C18">
        <v>879</v>
      </c>
      <c r="D18">
        <v>2017</v>
      </c>
      <c r="E18">
        <v>280</v>
      </c>
      <c r="F18">
        <v>879</v>
      </c>
      <c r="G18">
        <v>2017</v>
      </c>
      <c r="H18">
        <v>1.7730006587059295</v>
      </c>
    </row>
    <row r="19" spans="1:8" x14ac:dyDescent="0.25">
      <c r="A19" s="1" t="s">
        <v>2058</v>
      </c>
      <c r="B19" s="1" t="s">
        <v>2313</v>
      </c>
      <c r="C19">
        <v>879</v>
      </c>
      <c r="D19">
        <v>2017</v>
      </c>
      <c r="E19">
        <v>280</v>
      </c>
      <c r="F19">
        <v>879</v>
      </c>
      <c r="G19">
        <v>2017</v>
      </c>
      <c r="H19">
        <v>1.7730318732605377</v>
      </c>
    </row>
    <row r="20" spans="1:8" x14ac:dyDescent="0.25">
      <c r="A20" s="1" t="s">
        <v>2058</v>
      </c>
      <c r="B20" s="1" t="s">
        <v>2314</v>
      </c>
      <c r="C20">
        <v>879</v>
      </c>
      <c r="D20">
        <v>2017</v>
      </c>
      <c r="E20">
        <v>280</v>
      </c>
      <c r="F20">
        <v>879</v>
      </c>
      <c r="G20">
        <v>2017</v>
      </c>
      <c r="H20">
        <v>1.7730786107460146</v>
      </c>
    </row>
    <row r="21" spans="1:8" x14ac:dyDescent="0.25">
      <c r="A21" s="1" t="s">
        <v>2058</v>
      </c>
      <c r="B21" s="1" t="s">
        <v>2315</v>
      </c>
      <c r="C21">
        <v>879</v>
      </c>
      <c r="D21">
        <v>2017</v>
      </c>
      <c r="E21">
        <v>280</v>
      </c>
      <c r="F21">
        <v>879</v>
      </c>
      <c r="G21">
        <v>2017</v>
      </c>
      <c r="H21">
        <v>1.773000638873194</v>
      </c>
    </row>
    <row r="22" spans="1:8" x14ac:dyDescent="0.25">
      <c r="A22" s="1" t="s">
        <v>2058</v>
      </c>
      <c r="B22" s="1" t="s">
        <v>2316</v>
      </c>
      <c r="C22">
        <v>879</v>
      </c>
      <c r="D22">
        <v>2017</v>
      </c>
      <c r="E22">
        <v>280</v>
      </c>
      <c r="F22">
        <v>879</v>
      </c>
      <c r="G22">
        <v>2017</v>
      </c>
      <c r="H22">
        <v>1.7730006389882214</v>
      </c>
    </row>
    <row r="23" spans="1:8" x14ac:dyDescent="0.25">
      <c r="A23" s="1" t="s">
        <v>2058</v>
      </c>
      <c r="B23" s="1" t="s">
        <v>2317</v>
      </c>
      <c r="C23">
        <v>879</v>
      </c>
      <c r="D23">
        <v>2017</v>
      </c>
      <c r="E23">
        <v>280</v>
      </c>
      <c r="F23">
        <v>879</v>
      </c>
      <c r="G23">
        <v>2017</v>
      </c>
      <c r="H23">
        <v>1.7730012451264665</v>
      </c>
    </row>
    <row r="24" spans="1:8" x14ac:dyDescent="0.25">
      <c r="A24" s="1" t="s">
        <v>2058</v>
      </c>
      <c r="B24" s="1" t="s">
        <v>2318</v>
      </c>
      <c r="C24">
        <v>879</v>
      </c>
      <c r="D24">
        <v>2017</v>
      </c>
      <c r="E24">
        <v>280</v>
      </c>
      <c r="F24">
        <v>879</v>
      </c>
      <c r="G24">
        <v>2017</v>
      </c>
      <c r="H24">
        <v>1.7730012427539001</v>
      </c>
    </row>
    <row r="25" spans="1:8" x14ac:dyDescent="0.25">
      <c r="A25" s="1" t="s">
        <v>2058</v>
      </c>
      <c r="B25" s="1" t="s">
        <v>2319</v>
      </c>
      <c r="C25">
        <v>879</v>
      </c>
      <c r="D25">
        <v>2017</v>
      </c>
      <c r="E25">
        <v>280</v>
      </c>
      <c r="F25">
        <v>879</v>
      </c>
      <c r="G25">
        <v>2017</v>
      </c>
      <c r="H25">
        <v>1.7730006587059295</v>
      </c>
    </row>
    <row r="26" spans="1:8" x14ac:dyDescent="0.25">
      <c r="A26" s="1" t="s">
        <v>2058</v>
      </c>
      <c r="B26" s="1" t="s">
        <v>2320</v>
      </c>
      <c r="C26">
        <v>879</v>
      </c>
      <c r="D26">
        <v>2017</v>
      </c>
      <c r="E26">
        <v>280</v>
      </c>
      <c r="F26">
        <v>879</v>
      </c>
      <c r="G26">
        <v>2017</v>
      </c>
      <c r="H26">
        <v>1.7730318732605377</v>
      </c>
    </row>
    <row r="27" spans="1:8" x14ac:dyDescent="0.25">
      <c r="A27" s="1" t="s">
        <v>2058</v>
      </c>
      <c r="B27" s="1" t="s">
        <v>2321</v>
      </c>
      <c r="C27">
        <v>879</v>
      </c>
      <c r="D27">
        <v>2017</v>
      </c>
      <c r="E27">
        <v>280</v>
      </c>
      <c r="F27">
        <v>879</v>
      </c>
      <c r="G27">
        <v>2017</v>
      </c>
      <c r="H27">
        <v>1.7730318732605377</v>
      </c>
    </row>
    <row r="28" spans="1:8" x14ac:dyDescent="0.25">
      <c r="A28" s="1" t="s">
        <v>2058</v>
      </c>
      <c r="B28" s="1" t="s">
        <v>2322</v>
      </c>
      <c r="C28">
        <v>879</v>
      </c>
      <c r="D28">
        <v>2017</v>
      </c>
      <c r="E28">
        <v>280</v>
      </c>
      <c r="F28">
        <v>879</v>
      </c>
      <c r="G28">
        <v>2017</v>
      </c>
      <c r="H28">
        <v>1.7730006587059295</v>
      </c>
    </row>
    <row r="29" spans="1:8" x14ac:dyDescent="0.25">
      <c r="A29" s="1" t="s">
        <v>2058</v>
      </c>
      <c r="B29" s="1" t="s">
        <v>2323</v>
      </c>
      <c r="C29">
        <v>879</v>
      </c>
      <c r="D29">
        <v>2017</v>
      </c>
      <c r="E29">
        <v>280</v>
      </c>
      <c r="F29">
        <v>879</v>
      </c>
      <c r="G29">
        <v>2017</v>
      </c>
      <c r="H29">
        <v>1.7730318732605377</v>
      </c>
    </row>
    <row r="30" spans="1:8" x14ac:dyDescent="0.25">
      <c r="A30" s="1" t="s">
        <v>2058</v>
      </c>
      <c r="B30" s="1" t="s">
        <v>2324</v>
      </c>
      <c r="C30">
        <v>879</v>
      </c>
      <c r="D30">
        <v>2017</v>
      </c>
      <c r="E30">
        <v>280</v>
      </c>
      <c r="F30">
        <v>879</v>
      </c>
      <c r="G30">
        <v>2017</v>
      </c>
      <c r="H30">
        <v>1.7730786107460146</v>
      </c>
    </row>
    <row r="31" spans="1:8" x14ac:dyDescent="0.25">
      <c r="A31" s="1" t="s">
        <v>2058</v>
      </c>
      <c r="B31" s="1" t="s">
        <v>2325</v>
      </c>
      <c r="C31">
        <v>879</v>
      </c>
      <c r="D31">
        <v>2017</v>
      </c>
      <c r="E31">
        <v>280</v>
      </c>
      <c r="F31">
        <v>879</v>
      </c>
      <c r="G31">
        <v>2017</v>
      </c>
      <c r="H31">
        <v>1.773000638873194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M91"/>
  <sheetViews>
    <sheetView workbookViewId="0"/>
  </sheetViews>
  <sheetFormatPr defaultRowHeight="15" x14ac:dyDescent="0.25"/>
  <cols>
    <col min="1" max="1" width="15" bestFit="1" customWidth="1"/>
    <col min="2" max="2" width="9.42578125" bestFit="1" customWidth="1"/>
    <col min="4" max="4" width="10.85546875" bestFit="1" customWidth="1"/>
    <col min="5" max="5" width="6.28515625" bestFit="1" customWidth="1"/>
    <col min="6" max="6" width="7.42578125" bestFit="1" customWidth="1"/>
    <col min="7" max="10" width="12" bestFit="1" customWidth="1"/>
    <col min="11" max="11" width="7.7109375" bestFit="1" customWidth="1"/>
    <col min="12" max="12" width="14.5703125" bestFit="1" customWidth="1"/>
    <col min="13" max="13" width="20.140625" bestFit="1" customWidth="1"/>
  </cols>
  <sheetData>
    <row r="1" spans="1:13" x14ac:dyDescent="0.25">
      <c r="A1" t="s">
        <v>5</v>
      </c>
      <c r="B1" t="s">
        <v>46</v>
      </c>
      <c r="C1" t="s">
        <v>89</v>
      </c>
      <c r="D1" t="s">
        <v>196</v>
      </c>
      <c r="E1" t="s">
        <v>195</v>
      </c>
      <c r="F1" t="s">
        <v>197</v>
      </c>
      <c r="G1" t="s">
        <v>198</v>
      </c>
      <c r="H1" t="s">
        <v>199</v>
      </c>
      <c r="I1" t="s">
        <v>200</v>
      </c>
      <c r="J1" t="s">
        <v>201</v>
      </c>
      <c r="K1" t="s">
        <v>202</v>
      </c>
      <c r="L1" t="s">
        <v>203</v>
      </c>
      <c r="M1" t="s">
        <v>204</v>
      </c>
    </row>
    <row r="2" spans="1:13" x14ac:dyDescent="0.25">
      <c r="A2" s="1" t="s">
        <v>2318</v>
      </c>
      <c r="B2">
        <v>9</v>
      </c>
      <c r="C2" t="s">
        <v>108</v>
      </c>
      <c r="D2" s="1" t="s">
        <v>244</v>
      </c>
      <c r="E2">
        <v>4</v>
      </c>
      <c r="F2">
        <v>50</v>
      </c>
      <c r="G2">
        <v>37.637778681599997</v>
      </c>
      <c r="H2">
        <v>5.0000014890920284</v>
      </c>
      <c r="I2">
        <v>828.98470463000001</v>
      </c>
      <c r="J2">
        <v>883651.690022</v>
      </c>
      <c r="L2" s="1" t="s">
        <v>277</v>
      </c>
      <c r="M2" t="s">
        <v>246</v>
      </c>
    </row>
    <row r="3" spans="1:13" x14ac:dyDescent="0.25">
      <c r="A3" s="1" t="s">
        <v>2318</v>
      </c>
      <c r="B3">
        <v>13</v>
      </c>
      <c r="C3" t="s">
        <v>108</v>
      </c>
      <c r="D3" s="1" t="s">
        <v>244</v>
      </c>
      <c r="E3">
        <v>1</v>
      </c>
      <c r="F3">
        <v>50</v>
      </c>
      <c r="G3">
        <v>37.637778681599997</v>
      </c>
      <c r="H3">
        <v>5.0000536099166055</v>
      </c>
      <c r="I3">
        <v>828.98338078300003</v>
      </c>
      <c r="J3">
        <v>883651.35905700002</v>
      </c>
      <c r="L3" s="1" t="s">
        <v>277</v>
      </c>
      <c r="M3" t="s">
        <v>246</v>
      </c>
    </row>
    <row r="4" spans="1:13" x14ac:dyDescent="0.25">
      <c r="A4" s="1" t="s">
        <v>2317</v>
      </c>
      <c r="B4">
        <v>9</v>
      </c>
      <c r="C4" t="s">
        <v>108</v>
      </c>
      <c r="D4" s="1" t="s">
        <v>244</v>
      </c>
      <c r="E4">
        <v>4</v>
      </c>
      <c r="F4">
        <v>50</v>
      </c>
      <c r="G4">
        <v>37.637778681599997</v>
      </c>
      <c r="H4">
        <v>5.0000014891402813</v>
      </c>
      <c r="I4">
        <v>828.98470463000001</v>
      </c>
      <c r="J4">
        <v>883651.690023</v>
      </c>
      <c r="L4" s="1" t="s">
        <v>277</v>
      </c>
      <c r="M4" t="s">
        <v>246</v>
      </c>
    </row>
    <row r="5" spans="1:13" x14ac:dyDescent="0.25">
      <c r="A5" s="1" t="s">
        <v>2317</v>
      </c>
      <c r="B5">
        <v>13</v>
      </c>
      <c r="C5" t="s">
        <v>108</v>
      </c>
      <c r="D5" s="1" t="s">
        <v>244</v>
      </c>
      <c r="E5">
        <v>1</v>
      </c>
      <c r="F5">
        <v>50</v>
      </c>
      <c r="G5">
        <v>37.637778681599997</v>
      </c>
      <c r="H5">
        <v>5.0000536099166055</v>
      </c>
      <c r="I5">
        <v>828.98338078300003</v>
      </c>
      <c r="J5">
        <v>883651.35905700002</v>
      </c>
      <c r="L5" s="1" t="s">
        <v>277</v>
      </c>
      <c r="M5" t="s">
        <v>246</v>
      </c>
    </row>
    <row r="6" spans="1:13" x14ac:dyDescent="0.25">
      <c r="A6" s="1" t="s">
        <v>2298</v>
      </c>
      <c r="B6">
        <v>9</v>
      </c>
      <c r="C6" t="s">
        <v>108</v>
      </c>
      <c r="D6" s="1" t="s">
        <v>244</v>
      </c>
      <c r="E6">
        <v>4</v>
      </c>
      <c r="F6">
        <v>50</v>
      </c>
      <c r="G6">
        <v>37.637778713300001</v>
      </c>
      <c r="H6">
        <v>5.0000014892277349</v>
      </c>
      <c r="I6">
        <v>828.984705437</v>
      </c>
      <c r="J6">
        <v>883651.69154200004</v>
      </c>
      <c r="L6" s="1" t="s">
        <v>277</v>
      </c>
      <c r="M6" t="s">
        <v>246</v>
      </c>
    </row>
    <row r="7" spans="1:13" x14ac:dyDescent="0.25">
      <c r="A7" s="1" t="s">
        <v>2298</v>
      </c>
      <c r="B7">
        <v>13</v>
      </c>
      <c r="C7" t="s">
        <v>108</v>
      </c>
      <c r="D7" s="1" t="s">
        <v>244</v>
      </c>
      <c r="E7">
        <v>1</v>
      </c>
      <c r="F7">
        <v>50</v>
      </c>
      <c r="G7">
        <v>37.637778713300001</v>
      </c>
      <c r="H7">
        <v>5.0000536101037341</v>
      </c>
      <c r="I7">
        <v>828.98338158900003</v>
      </c>
      <c r="J7">
        <v>883651.36057699996</v>
      </c>
      <c r="L7" s="1" t="s">
        <v>277</v>
      </c>
      <c r="M7" t="s">
        <v>246</v>
      </c>
    </row>
    <row r="8" spans="1:13" x14ac:dyDescent="0.25">
      <c r="A8" s="1" t="s">
        <v>2297</v>
      </c>
      <c r="B8">
        <v>9</v>
      </c>
      <c r="C8" t="s">
        <v>108</v>
      </c>
      <c r="D8" s="1" t="s">
        <v>244</v>
      </c>
      <c r="E8">
        <v>4</v>
      </c>
      <c r="F8">
        <v>50</v>
      </c>
      <c r="G8">
        <v>37.637778713300001</v>
      </c>
      <c r="H8">
        <v>5.0000014892277349</v>
      </c>
      <c r="I8">
        <v>828.984705437</v>
      </c>
      <c r="J8">
        <v>883651.69154200004</v>
      </c>
      <c r="L8" s="1" t="s">
        <v>277</v>
      </c>
      <c r="M8" t="s">
        <v>246</v>
      </c>
    </row>
    <row r="9" spans="1:13" x14ac:dyDescent="0.25">
      <c r="A9" s="1" t="s">
        <v>2297</v>
      </c>
      <c r="B9">
        <v>13</v>
      </c>
      <c r="C9" t="s">
        <v>108</v>
      </c>
      <c r="D9" s="1" t="s">
        <v>244</v>
      </c>
      <c r="E9">
        <v>1</v>
      </c>
      <c r="F9">
        <v>50</v>
      </c>
      <c r="G9">
        <v>37.637778713300001</v>
      </c>
      <c r="H9">
        <v>5.0000536101037341</v>
      </c>
      <c r="I9">
        <v>828.98338158900003</v>
      </c>
      <c r="J9">
        <v>883651.36057699996</v>
      </c>
      <c r="L9" s="1" t="s">
        <v>277</v>
      </c>
      <c r="M9" t="s">
        <v>246</v>
      </c>
    </row>
    <row r="10" spans="1:13" x14ac:dyDescent="0.25">
      <c r="A10" s="1" t="s">
        <v>2308</v>
      </c>
      <c r="B10">
        <v>9</v>
      </c>
      <c r="C10" t="s">
        <v>108</v>
      </c>
      <c r="D10" s="1" t="s">
        <v>244</v>
      </c>
      <c r="E10">
        <v>4</v>
      </c>
      <c r="F10">
        <v>50</v>
      </c>
      <c r="G10">
        <v>37.637778713400003</v>
      </c>
      <c r="H10">
        <v>5.0000014891245499</v>
      </c>
      <c r="I10">
        <v>828.98470543799999</v>
      </c>
      <c r="J10">
        <v>883651.69154300005</v>
      </c>
      <c r="L10" s="1" t="s">
        <v>277</v>
      </c>
      <c r="M10" t="s">
        <v>246</v>
      </c>
    </row>
    <row r="11" spans="1:13" x14ac:dyDescent="0.25">
      <c r="A11" s="1" t="s">
        <v>2308</v>
      </c>
      <c r="B11">
        <v>13</v>
      </c>
      <c r="C11" t="s">
        <v>108</v>
      </c>
      <c r="D11" s="1" t="s">
        <v>244</v>
      </c>
      <c r="E11">
        <v>1</v>
      </c>
      <c r="F11">
        <v>50</v>
      </c>
      <c r="G11">
        <v>37.637778713400003</v>
      </c>
      <c r="H11">
        <v>5.0000536100456188</v>
      </c>
      <c r="I11">
        <v>828.98338159100001</v>
      </c>
      <c r="J11">
        <v>883651.36057999998</v>
      </c>
      <c r="L11" s="1" t="s">
        <v>277</v>
      </c>
      <c r="M11" t="s">
        <v>246</v>
      </c>
    </row>
    <row r="12" spans="1:13" x14ac:dyDescent="0.25">
      <c r="A12" s="1" t="s">
        <v>2307</v>
      </c>
      <c r="B12">
        <v>9</v>
      </c>
      <c r="C12" t="s">
        <v>108</v>
      </c>
      <c r="D12" s="1" t="s">
        <v>244</v>
      </c>
      <c r="E12">
        <v>4</v>
      </c>
      <c r="F12">
        <v>50</v>
      </c>
      <c r="G12">
        <v>37.637778713400003</v>
      </c>
      <c r="H12">
        <v>5.0000014890762969</v>
      </c>
      <c r="I12">
        <v>828.98470543799999</v>
      </c>
      <c r="J12">
        <v>883651.69154200004</v>
      </c>
      <c r="L12" s="1" t="s">
        <v>277</v>
      </c>
      <c r="M12" t="s">
        <v>246</v>
      </c>
    </row>
    <row r="13" spans="1:13" x14ac:dyDescent="0.25">
      <c r="A13" s="1" t="s">
        <v>2307</v>
      </c>
      <c r="B13">
        <v>13</v>
      </c>
      <c r="C13" t="s">
        <v>108</v>
      </c>
      <c r="D13" s="1" t="s">
        <v>244</v>
      </c>
      <c r="E13">
        <v>1</v>
      </c>
      <c r="F13">
        <v>50</v>
      </c>
      <c r="G13">
        <v>37.637778713400003</v>
      </c>
      <c r="H13">
        <v>5.0000536100456188</v>
      </c>
      <c r="I13">
        <v>828.98338159100001</v>
      </c>
      <c r="J13">
        <v>883651.36057999998</v>
      </c>
      <c r="L13" s="1" t="s">
        <v>277</v>
      </c>
      <c r="M13" t="s">
        <v>246</v>
      </c>
    </row>
    <row r="14" spans="1:13" x14ac:dyDescent="0.25">
      <c r="A14" s="1" t="s">
        <v>2323</v>
      </c>
      <c r="B14">
        <v>9</v>
      </c>
      <c r="C14" t="s">
        <v>108</v>
      </c>
      <c r="D14" s="1" t="s">
        <v>244</v>
      </c>
      <c r="E14">
        <v>4</v>
      </c>
      <c r="F14">
        <v>50</v>
      </c>
      <c r="G14">
        <v>37.637778713599999</v>
      </c>
      <c r="H14">
        <v>5.0000014891917886</v>
      </c>
      <c r="I14">
        <v>828.98470544500003</v>
      </c>
      <c r="J14">
        <v>883651.69155600003</v>
      </c>
      <c r="L14" s="1" t="s">
        <v>277</v>
      </c>
      <c r="M14" t="s">
        <v>246</v>
      </c>
    </row>
    <row r="15" spans="1:13" x14ac:dyDescent="0.25">
      <c r="A15" s="1" t="s">
        <v>2323</v>
      </c>
      <c r="B15">
        <v>13</v>
      </c>
      <c r="C15" t="s">
        <v>108</v>
      </c>
      <c r="D15" s="1" t="s">
        <v>244</v>
      </c>
      <c r="E15">
        <v>1</v>
      </c>
      <c r="F15">
        <v>50</v>
      </c>
      <c r="G15">
        <v>37.637778713599999</v>
      </c>
      <c r="H15">
        <v>5.0000536100677948</v>
      </c>
      <c r="I15">
        <v>828.98338159699995</v>
      </c>
      <c r="J15">
        <v>883651.36059099995</v>
      </c>
      <c r="L15" s="1" t="s">
        <v>277</v>
      </c>
      <c r="M15" t="s">
        <v>246</v>
      </c>
    </row>
    <row r="16" spans="1:13" x14ac:dyDescent="0.25">
      <c r="A16" s="1" t="s">
        <v>2321</v>
      </c>
      <c r="B16">
        <v>9</v>
      </c>
      <c r="C16" t="s">
        <v>108</v>
      </c>
      <c r="D16" s="1" t="s">
        <v>244</v>
      </c>
      <c r="E16">
        <v>4</v>
      </c>
      <c r="F16">
        <v>50</v>
      </c>
      <c r="G16">
        <v>37.637778713599999</v>
      </c>
      <c r="H16">
        <v>5.0000014891435356</v>
      </c>
      <c r="I16">
        <v>828.98470544500003</v>
      </c>
      <c r="J16">
        <v>883651.69155500003</v>
      </c>
      <c r="L16" s="1" t="s">
        <v>277</v>
      </c>
      <c r="M16" t="s">
        <v>246</v>
      </c>
    </row>
    <row r="17" spans="1:13" x14ac:dyDescent="0.25">
      <c r="A17" s="1" t="s">
        <v>2321</v>
      </c>
      <c r="B17">
        <v>13</v>
      </c>
      <c r="C17" t="s">
        <v>108</v>
      </c>
      <c r="D17" s="1" t="s">
        <v>244</v>
      </c>
      <c r="E17">
        <v>1</v>
      </c>
      <c r="F17">
        <v>50</v>
      </c>
      <c r="G17">
        <v>37.637778713599999</v>
      </c>
      <c r="H17">
        <v>5.0000536101160478</v>
      </c>
      <c r="I17">
        <v>828.98338159699995</v>
      </c>
      <c r="J17">
        <v>883651.36059199995</v>
      </c>
      <c r="L17" s="1" t="s">
        <v>277</v>
      </c>
      <c r="M17" t="s">
        <v>246</v>
      </c>
    </row>
    <row r="18" spans="1:13" x14ac:dyDescent="0.25">
      <c r="A18" s="1" t="s">
        <v>2320</v>
      </c>
      <c r="B18">
        <v>9</v>
      </c>
      <c r="C18" t="s">
        <v>108</v>
      </c>
      <c r="D18" s="1" t="s">
        <v>244</v>
      </c>
      <c r="E18">
        <v>4</v>
      </c>
      <c r="F18">
        <v>50</v>
      </c>
      <c r="G18">
        <v>37.637778713599999</v>
      </c>
      <c r="H18">
        <v>5.0000014891435356</v>
      </c>
      <c r="I18">
        <v>828.98470544500003</v>
      </c>
      <c r="J18">
        <v>883651.69155500003</v>
      </c>
      <c r="L18" s="1" t="s">
        <v>277</v>
      </c>
      <c r="M18" t="s">
        <v>246</v>
      </c>
    </row>
    <row r="19" spans="1:13" x14ac:dyDescent="0.25">
      <c r="A19" s="1" t="s">
        <v>2320</v>
      </c>
      <c r="B19">
        <v>13</v>
      </c>
      <c r="C19" t="s">
        <v>108</v>
      </c>
      <c r="D19" s="1" t="s">
        <v>244</v>
      </c>
      <c r="E19">
        <v>1</v>
      </c>
      <c r="F19">
        <v>50</v>
      </c>
      <c r="G19">
        <v>37.637778713599999</v>
      </c>
      <c r="H19">
        <v>5.0000536100677948</v>
      </c>
      <c r="I19">
        <v>828.98338159699995</v>
      </c>
      <c r="J19">
        <v>883651.36059099995</v>
      </c>
      <c r="L19" s="1" t="s">
        <v>277</v>
      </c>
      <c r="M19" t="s">
        <v>246</v>
      </c>
    </row>
    <row r="20" spans="1:13" x14ac:dyDescent="0.25">
      <c r="A20" s="1" t="s">
        <v>2319</v>
      </c>
      <c r="B20">
        <v>9</v>
      </c>
      <c r="C20" t="s">
        <v>108</v>
      </c>
      <c r="D20" s="1" t="s">
        <v>244</v>
      </c>
      <c r="E20">
        <v>4</v>
      </c>
      <c r="F20">
        <v>50</v>
      </c>
      <c r="G20">
        <v>37.637778713599999</v>
      </c>
      <c r="H20">
        <v>5.0000014890952826</v>
      </c>
      <c r="I20">
        <v>828.98470544500003</v>
      </c>
      <c r="J20">
        <v>883651.69155400002</v>
      </c>
      <c r="L20" s="1" t="s">
        <v>277</v>
      </c>
      <c r="M20" t="s">
        <v>246</v>
      </c>
    </row>
    <row r="21" spans="1:13" x14ac:dyDescent="0.25">
      <c r="A21" s="1" t="s">
        <v>2319</v>
      </c>
      <c r="B21">
        <v>13</v>
      </c>
      <c r="C21" t="s">
        <v>108</v>
      </c>
      <c r="D21" s="1" t="s">
        <v>244</v>
      </c>
      <c r="E21">
        <v>1</v>
      </c>
      <c r="F21">
        <v>50</v>
      </c>
      <c r="G21">
        <v>37.637778713599999</v>
      </c>
      <c r="H21">
        <v>5.0000536100677948</v>
      </c>
      <c r="I21">
        <v>828.98338159699995</v>
      </c>
      <c r="J21">
        <v>883651.36059099995</v>
      </c>
      <c r="L21" s="1" t="s">
        <v>277</v>
      </c>
      <c r="M21" t="s">
        <v>246</v>
      </c>
    </row>
    <row r="22" spans="1:13" x14ac:dyDescent="0.25">
      <c r="A22" s="1" t="s">
        <v>2325</v>
      </c>
      <c r="B22">
        <v>7</v>
      </c>
      <c r="C22" t="s">
        <v>108</v>
      </c>
      <c r="D22" s="1" t="s">
        <v>244</v>
      </c>
      <c r="E22">
        <v>1</v>
      </c>
      <c r="F22">
        <v>50</v>
      </c>
      <c r="G22">
        <v>37.637778713700001</v>
      </c>
      <c r="H22">
        <v>37.637778713606451</v>
      </c>
      <c r="I22">
        <v>2017.0956064699999</v>
      </c>
      <c r="J22">
        <v>3795949.9040299999</v>
      </c>
      <c r="L22" s="1" t="s">
        <v>277</v>
      </c>
      <c r="M22" t="s">
        <v>246</v>
      </c>
    </row>
    <row r="23" spans="1:13" x14ac:dyDescent="0.25">
      <c r="A23" s="1" t="s">
        <v>2324</v>
      </c>
      <c r="B23">
        <v>7</v>
      </c>
      <c r="C23" t="s">
        <v>108</v>
      </c>
      <c r="D23" s="1" t="s">
        <v>244</v>
      </c>
      <c r="E23">
        <v>1</v>
      </c>
      <c r="F23">
        <v>50</v>
      </c>
      <c r="G23">
        <v>37.637778713700001</v>
      </c>
      <c r="H23">
        <v>37.637778713804749</v>
      </c>
      <c r="I23">
        <v>2017.0956064699999</v>
      </c>
      <c r="J23">
        <v>3795949.9040399999</v>
      </c>
      <c r="L23" s="1" t="s">
        <v>277</v>
      </c>
      <c r="M23" t="s">
        <v>246</v>
      </c>
    </row>
    <row r="24" spans="1:13" x14ac:dyDescent="0.25">
      <c r="A24" s="1" t="s">
        <v>2323</v>
      </c>
      <c r="B24">
        <v>7</v>
      </c>
      <c r="C24" t="s">
        <v>108</v>
      </c>
      <c r="D24" s="1" t="s">
        <v>244</v>
      </c>
      <c r="E24">
        <v>1</v>
      </c>
      <c r="F24">
        <v>50</v>
      </c>
      <c r="G24">
        <v>37.637778713700001</v>
      </c>
      <c r="H24">
        <v>37.637778713804749</v>
      </c>
      <c r="I24">
        <v>2017.0956064699999</v>
      </c>
      <c r="J24">
        <v>3795949.9040399999</v>
      </c>
      <c r="L24" s="1" t="s">
        <v>277</v>
      </c>
      <c r="M24" t="s">
        <v>246</v>
      </c>
    </row>
    <row r="25" spans="1:13" x14ac:dyDescent="0.25">
      <c r="A25" s="1" t="s">
        <v>2322</v>
      </c>
      <c r="B25">
        <v>7</v>
      </c>
      <c r="C25" t="s">
        <v>108</v>
      </c>
      <c r="D25" s="1" t="s">
        <v>244</v>
      </c>
      <c r="E25">
        <v>1</v>
      </c>
      <c r="F25">
        <v>50</v>
      </c>
      <c r="G25">
        <v>37.637778713700001</v>
      </c>
      <c r="H25">
        <v>37.637778713804749</v>
      </c>
      <c r="I25">
        <v>2017.0956064699999</v>
      </c>
      <c r="J25">
        <v>3795949.9040399999</v>
      </c>
      <c r="L25" s="1" t="s">
        <v>277</v>
      </c>
      <c r="M25" t="s">
        <v>246</v>
      </c>
    </row>
    <row r="26" spans="1:13" x14ac:dyDescent="0.25">
      <c r="A26" s="1" t="s">
        <v>2321</v>
      </c>
      <c r="B26">
        <v>7</v>
      </c>
      <c r="C26" t="s">
        <v>108</v>
      </c>
      <c r="D26" s="1" t="s">
        <v>244</v>
      </c>
      <c r="E26">
        <v>1</v>
      </c>
      <c r="F26">
        <v>50</v>
      </c>
      <c r="G26">
        <v>37.637778713700001</v>
      </c>
      <c r="H26">
        <v>37.637778713804749</v>
      </c>
      <c r="I26">
        <v>2017.0956064699999</v>
      </c>
      <c r="J26">
        <v>3795949.9040399999</v>
      </c>
      <c r="L26" s="1" t="s">
        <v>277</v>
      </c>
      <c r="M26" t="s">
        <v>246</v>
      </c>
    </row>
    <row r="27" spans="1:13" x14ac:dyDescent="0.25">
      <c r="A27" s="1" t="s">
        <v>2320</v>
      </c>
      <c r="B27">
        <v>7</v>
      </c>
      <c r="C27" t="s">
        <v>108</v>
      </c>
      <c r="D27" s="1" t="s">
        <v>244</v>
      </c>
      <c r="E27">
        <v>1</v>
      </c>
      <c r="F27">
        <v>50</v>
      </c>
      <c r="G27">
        <v>37.637778713700001</v>
      </c>
      <c r="H27">
        <v>37.637778713804749</v>
      </c>
      <c r="I27">
        <v>2017.0956064699999</v>
      </c>
      <c r="J27">
        <v>3795949.9040399999</v>
      </c>
      <c r="L27" s="1" t="s">
        <v>277</v>
      </c>
      <c r="M27" t="s">
        <v>246</v>
      </c>
    </row>
    <row r="28" spans="1:13" x14ac:dyDescent="0.25">
      <c r="A28" s="1" t="s">
        <v>2319</v>
      </c>
      <c r="B28">
        <v>7</v>
      </c>
      <c r="C28" t="s">
        <v>108</v>
      </c>
      <c r="D28" s="1" t="s">
        <v>244</v>
      </c>
      <c r="E28">
        <v>1</v>
      </c>
      <c r="F28">
        <v>50</v>
      </c>
      <c r="G28">
        <v>37.637778713700001</v>
      </c>
      <c r="H28">
        <v>37.637778713804749</v>
      </c>
      <c r="I28">
        <v>2017.0956064699999</v>
      </c>
      <c r="J28">
        <v>3795949.9040399999</v>
      </c>
      <c r="L28" s="1" t="s">
        <v>277</v>
      </c>
      <c r="M28" t="s">
        <v>246</v>
      </c>
    </row>
    <row r="29" spans="1:13" x14ac:dyDescent="0.25">
      <c r="A29" s="1" t="s">
        <v>2318</v>
      </c>
      <c r="B29">
        <v>7</v>
      </c>
      <c r="C29" t="s">
        <v>108</v>
      </c>
      <c r="D29" s="1" t="s">
        <v>244</v>
      </c>
      <c r="E29">
        <v>1</v>
      </c>
      <c r="F29">
        <v>50</v>
      </c>
      <c r="G29">
        <v>37.637778713700001</v>
      </c>
      <c r="H29">
        <v>37.637778713804749</v>
      </c>
      <c r="I29">
        <v>2017.0956064699999</v>
      </c>
      <c r="J29">
        <v>3795949.9040399999</v>
      </c>
      <c r="L29" s="1" t="s">
        <v>277</v>
      </c>
      <c r="M29" t="s">
        <v>246</v>
      </c>
    </row>
    <row r="30" spans="1:13" x14ac:dyDescent="0.25">
      <c r="A30" s="1" t="s">
        <v>2317</v>
      </c>
      <c r="B30">
        <v>7</v>
      </c>
      <c r="C30" t="s">
        <v>108</v>
      </c>
      <c r="D30" s="1" t="s">
        <v>244</v>
      </c>
      <c r="E30">
        <v>1</v>
      </c>
      <c r="F30">
        <v>50</v>
      </c>
      <c r="G30">
        <v>37.637778713700001</v>
      </c>
      <c r="H30">
        <v>37.637778713804749</v>
      </c>
      <c r="I30">
        <v>2017.0956064699999</v>
      </c>
      <c r="J30">
        <v>3795949.9040399999</v>
      </c>
      <c r="L30" s="1" t="s">
        <v>277</v>
      </c>
      <c r="M30" t="s">
        <v>246</v>
      </c>
    </row>
    <row r="31" spans="1:13" x14ac:dyDescent="0.25">
      <c r="A31" s="1" t="s">
        <v>2316</v>
      </c>
      <c r="B31">
        <v>7</v>
      </c>
      <c r="C31" t="s">
        <v>108</v>
      </c>
      <c r="D31" s="1" t="s">
        <v>244</v>
      </c>
      <c r="E31">
        <v>1</v>
      </c>
      <c r="F31">
        <v>50</v>
      </c>
      <c r="G31">
        <v>37.637778713700001</v>
      </c>
      <c r="H31">
        <v>37.637778713804749</v>
      </c>
      <c r="I31">
        <v>2017.0956064699999</v>
      </c>
      <c r="J31">
        <v>3795949.9040399999</v>
      </c>
      <c r="L31" s="1" t="s">
        <v>277</v>
      </c>
      <c r="M31" t="s">
        <v>246</v>
      </c>
    </row>
    <row r="32" spans="1:13" x14ac:dyDescent="0.25">
      <c r="A32" s="1" t="s">
        <v>2315</v>
      </c>
      <c r="B32">
        <v>7</v>
      </c>
      <c r="C32" t="s">
        <v>108</v>
      </c>
      <c r="D32" s="1" t="s">
        <v>244</v>
      </c>
      <c r="E32">
        <v>1</v>
      </c>
      <c r="F32">
        <v>50</v>
      </c>
      <c r="G32">
        <v>37.637778713700001</v>
      </c>
      <c r="H32">
        <v>37.637778713804749</v>
      </c>
      <c r="I32">
        <v>2017.0956064699999</v>
      </c>
      <c r="J32">
        <v>3795949.9040399999</v>
      </c>
      <c r="L32" s="1" t="s">
        <v>277</v>
      </c>
      <c r="M32" t="s">
        <v>246</v>
      </c>
    </row>
    <row r="33" spans="1:13" x14ac:dyDescent="0.25">
      <c r="A33" s="1" t="s">
        <v>2314</v>
      </c>
      <c r="B33">
        <v>7</v>
      </c>
      <c r="C33" t="s">
        <v>108</v>
      </c>
      <c r="D33" s="1" t="s">
        <v>244</v>
      </c>
      <c r="E33">
        <v>1</v>
      </c>
      <c r="F33">
        <v>50</v>
      </c>
      <c r="G33">
        <v>37.637778713700001</v>
      </c>
      <c r="H33">
        <v>37.637778713804749</v>
      </c>
      <c r="I33">
        <v>2017.0956064699999</v>
      </c>
      <c r="J33">
        <v>3795949.9040399999</v>
      </c>
      <c r="L33" s="1" t="s">
        <v>277</v>
      </c>
      <c r="M33" t="s">
        <v>246</v>
      </c>
    </row>
    <row r="34" spans="1:13" x14ac:dyDescent="0.25">
      <c r="A34" s="1" t="s">
        <v>2313</v>
      </c>
      <c r="B34">
        <v>7</v>
      </c>
      <c r="C34" t="s">
        <v>108</v>
      </c>
      <c r="D34" s="1" t="s">
        <v>244</v>
      </c>
      <c r="E34">
        <v>1</v>
      </c>
      <c r="F34">
        <v>50</v>
      </c>
      <c r="G34">
        <v>37.637778713700001</v>
      </c>
      <c r="H34">
        <v>37.637778713804749</v>
      </c>
      <c r="I34">
        <v>2017.0956064699999</v>
      </c>
      <c r="J34">
        <v>3795949.9040399999</v>
      </c>
      <c r="L34" s="1" t="s">
        <v>277</v>
      </c>
      <c r="M34" t="s">
        <v>246</v>
      </c>
    </row>
    <row r="35" spans="1:13" x14ac:dyDescent="0.25">
      <c r="A35" s="1" t="s">
        <v>2312</v>
      </c>
      <c r="B35">
        <v>7</v>
      </c>
      <c r="C35" t="s">
        <v>108</v>
      </c>
      <c r="D35" s="1" t="s">
        <v>244</v>
      </c>
      <c r="E35">
        <v>1</v>
      </c>
      <c r="F35">
        <v>50</v>
      </c>
      <c r="G35">
        <v>37.637778713700001</v>
      </c>
      <c r="H35">
        <v>37.637778713804749</v>
      </c>
      <c r="I35">
        <v>2017.0956064699999</v>
      </c>
      <c r="J35">
        <v>3795949.9040399999</v>
      </c>
      <c r="L35" s="1" t="s">
        <v>277</v>
      </c>
      <c r="M35" t="s">
        <v>246</v>
      </c>
    </row>
    <row r="36" spans="1:13" x14ac:dyDescent="0.25">
      <c r="A36" s="1" t="s">
        <v>2311</v>
      </c>
      <c r="B36">
        <v>7</v>
      </c>
      <c r="C36" t="s">
        <v>108</v>
      </c>
      <c r="D36" s="1" t="s">
        <v>244</v>
      </c>
      <c r="E36">
        <v>1</v>
      </c>
      <c r="F36">
        <v>50</v>
      </c>
      <c r="G36">
        <v>37.637778713700001</v>
      </c>
      <c r="H36">
        <v>37.637778713804749</v>
      </c>
      <c r="I36">
        <v>2017.0956064699999</v>
      </c>
      <c r="J36">
        <v>3795949.9040399999</v>
      </c>
      <c r="L36" s="1" t="s">
        <v>277</v>
      </c>
      <c r="M36" t="s">
        <v>246</v>
      </c>
    </row>
    <row r="37" spans="1:13" x14ac:dyDescent="0.25">
      <c r="A37" s="1" t="s">
        <v>2310</v>
      </c>
      <c r="B37">
        <v>7</v>
      </c>
      <c r="C37" t="s">
        <v>108</v>
      </c>
      <c r="D37" s="1" t="s">
        <v>244</v>
      </c>
      <c r="E37">
        <v>1</v>
      </c>
      <c r="F37">
        <v>50</v>
      </c>
      <c r="G37">
        <v>37.637778713700001</v>
      </c>
      <c r="H37">
        <v>37.637778713804749</v>
      </c>
      <c r="I37">
        <v>2017.0956064699999</v>
      </c>
      <c r="J37">
        <v>3795949.9040399999</v>
      </c>
      <c r="L37" s="1" t="s">
        <v>277</v>
      </c>
      <c r="M37" t="s">
        <v>246</v>
      </c>
    </row>
    <row r="38" spans="1:13" x14ac:dyDescent="0.25">
      <c r="A38" s="1" t="s">
        <v>2309</v>
      </c>
      <c r="B38">
        <v>7</v>
      </c>
      <c r="C38" t="s">
        <v>108</v>
      </c>
      <c r="D38" s="1" t="s">
        <v>244</v>
      </c>
      <c r="E38">
        <v>1</v>
      </c>
      <c r="F38">
        <v>50</v>
      </c>
      <c r="G38">
        <v>37.637778713700001</v>
      </c>
      <c r="H38">
        <v>37.637778713804749</v>
      </c>
      <c r="I38">
        <v>2017.0956064699999</v>
      </c>
      <c r="J38">
        <v>3795949.9040399999</v>
      </c>
      <c r="L38" s="1" t="s">
        <v>277</v>
      </c>
      <c r="M38" t="s">
        <v>246</v>
      </c>
    </row>
    <row r="39" spans="1:13" x14ac:dyDescent="0.25">
      <c r="A39" s="1" t="s">
        <v>2308</v>
      </c>
      <c r="B39">
        <v>7</v>
      </c>
      <c r="C39" t="s">
        <v>108</v>
      </c>
      <c r="D39" s="1" t="s">
        <v>244</v>
      </c>
      <c r="E39">
        <v>1</v>
      </c>
      <c r="F39">
        <v>50</v>
      </c>
      <c r="G39">
        <v>37.637778713700001</v>
      </c>
      <c r="H39">
        <v>37.637778713804749</v>
      </c>
      <c r="I39">
        <v>2017.0956064699999</v>
      </c>
      <c r="J39">
        <v>3795949.9040399999</v>
      </c>
      <c r="L39" s="1" t="s">
        <v>277</v>
      </c>
      <c r="M39" t="s">
        <v>246</v>
      </c>
    </row>
    <row r="40" spans="1:13" x14ac:dyDescent="0.25">
      <c r="A40" s="1" t="s">
        <v>2307</v>
      </c>
      <c r="B40">
        <v>7</v>
      </c>
      <c r="C40" t="s">
        <v>108</v>
      </c>
      <c r="D40" s="1" t="s">
        <v>244</v>
      </c>
      <c r="E40">
        <v>1</v>
      </c>
      <c r="F40">
        <v>50</v>
      </c>
      <c r="G40">
        <v>37.637778713700001</v>
      </c>
      <c r="H40">
        <v>37.637778713804749</v>
      </c>
      <c r="I40">
        <v>2017.0956064699999</v>
      </c>
      <c r="J40">
        <v>3795949.9040399999</v>
      </c>
      <c r="L40" s="1" t="s">
        <v>277</v>
      </c>
      <c r="M40" t="s">
        <v>246</v>
      </c>
    </row>
    <row r="41" spans="1:13" x14ac:dyDescent="0.25">
      <c r="A41" s="1" t="s">
        <v>2306</v>
      </c>
      <c r="B41">
        <v>7</v>
      </c>
      <c r="C41" t="s">
        <v>108</v>
      </c>
      <c r="D41" s="1" t="s">
        <v>244</v>
      </c>
      <c r="E41">
        <v>1</v>
      </c>
      <c r="F41">
        <v>50</v>
      </c>
      <c r="G41">
        <v>37.637778713700001</v>
      </c>
      <c r="H41">
        <v>37.637778713804749</v>
      </c>
      <c r="I41">
        <v>2017.0956064699999</v>
      </c>
      <c r="J41">
        <v>3795949.9040399999</v>
      </c>
      <c r="L41" s="1" t="s">
        <v>277</v>
      </c>
      <c r="M41" t="s">
        <v>246</v>
      </c>
    </row>
    <row r="42" spans="1:13" x14ac:dyDescent="0.25">
      <c r="A42" s="1" t="s">
        <v>2305</v>
      </c>
      <c r="B42">
        <v>7</v>
      </c>
      <c r="C42" t="s">
        <v>108</v>
      </c>
      <c r="D42" s="1" t="s">
        <v>244</v>
      </c>
      <c r="E42">
        <v>1</v>
      </c>
      <c r="F42">
        <v>50</v>
      </c>
      <c r="G42">
        <v>37.637778713700001</v>
      </c>
      <c r="H42">
        <v>37.637778713804749</v>
      </c>
      <c r="I42">
        <v>2017.0956064699999</v>
      </c>
      <c r="J42">
        <v>3795949.9040399999</v>
      </c>
      <c r="L42" s="1" t="s">
        <v>277</v>
      </c>
      <c r="M42" t="s">
        <v>246</v>
      </c>
    </row>
    <row r="43" spans="1:13" x14ac:dyDescent="0.25">
      <c r="A43" s="1" t="s">
        <v>2304</v>
      </c>
      <c r="B43">
        <v>7</v>
      </c>
      <c r="C43" t="s">
        <v>108</v>
      </c>
      <c r="D43" s="1" t="s">
        <v>244</v>
      </c>
      <c r="E43">
        <v>1</v>
      </c>
      <c r="F43">
        <v>50</v>
      </c>
      <c r="G43">
        <v>37.637778713700001</v>
      </c>
      <c r="H43">
        <v>37.637778713804749</v>
      </c>
      <c r="I43">
        <v>2017.0956064699999</v>
      </c>
      <c r="J43">
        <v>3795949.9040399999</v>
      </c>
      <c r="L43" s="1" t="s">
        <v>277</v>
      </c>
      <c r="M43" t="s">
        <v>246</v>
      </c>
    </row>
    <row r="44" spans="1:13" x14ac:dyDescent="0.25">
      <c r="A44" s="1" t="s">
        <v>2303</v>
      </c>
      <c r="B44">
        <v>7</v>
      </c>
      <c r="C44" t="s">
        <v>108</v>
      </c>
      <c r="D44" s="1" t="s">
        <v>244</v>
      </c>
      <c r="E44">
        <v>1</v>
      </c>
      <c r="F44">
        <v>50</v>
      </c>
      <c r="G44">
        <v>37.637778713700001</v>
      </c>
      <c r="H44">
        <v>37.637778713804749</v>
      </c>
      <c r="I44">
        <v>2017.0956064699999</v>
      </c>
      <c r="J44">
        <v>3795949.9040399999</v>
      </c>
      <c r="L44" s="1" t="s">
        <v>277</v>
      </c>
      <c r="M44" t="s">
        <v>246</v>
      </c>
    </row>
    <row r="45" spans="1:13" x14ac:dyDescent="0.25">
      <c r="A45" s="1" t="s">
        <v>2302</v>
      </c>
      <c r="B45">
        <v>7</v>
      </c>
      <c r="C45" t="s">
        <v>108</v>
      </c>
      <c r="D45" s="1" t="s">
        <v>244</v>
      </c>
      <c r="E45">
        <v>1</v>
      </c>
      <c r="F45">
        <v>50</v>
      </c>
      <c r="G45">
        <v>37.637778713700001</v>
      </c>
      <c r="H45">
        <v>37.637778713804749</v>
      </c>
      <c r="I45">
        <v>2017.0956064699999</v>
      </c>
      <c r="J45">
        <v>3795949.9040399999</v>
      </c>
      <c r="L45" s="1" t="s">
        <v>277</v>
      </c>
      <c r="M45" t="s">
        <v>246</v>
      </c>
    </row>
    <row r="46" spans="1:13" x14ac:dyDescent="0.25">
      <c r="A46" s="1" t="s">
        <v>2301</v>
      </c>
      <c r="B46">
        <v>7</v>
      </c>
      <c r="C46" t="s">
        <v>108</v>
      </c>
      <c r="D46" s="1" t="s">
        <v>244</v>
      </c>
      <c r="E46">
        <v>1</v>
      </c>
      <c r="F46">
        <v>50</v>
      </c>
      <c r="G46">
        <v>37.637778713700001</v>
      </c>
      <c r="H46">
        <v>37.637778713804749</v>
      </c>
      <c r="I46">
        <v>2017.0956064699999</v>
      </c>
      <c r="J46">
        <v>3795949.9040399999</v>
      </c>
      <c r="L46" s="1" t="s">
        <v>277</v>
      </c>
      <c r="M46" t="s">
        <v>246</v>
      </c>
    </row>
    <row r="47" spans="1:13" x14ac:dyDescent="0.25">
      <c r="A47" s="1" t="s">
        <v>2300</v>
      </c>
      <c r="B47">
        <v>7</v>
      </c>
      <c r="C47" t="s">
        <v>108</v>
      </c>
      <c r="D47" s="1" t="s">
        <v>244</v>
      </c>
      <c r="E47">
        <v>1</v>
      </c>
      <c r="F47">
        <v>50</v>
      </c>
      <c r="G47">
        <v>37.637778713700001</v>
      </c>
      <c r="H47">
        <v>37.637778713804749</v>
      </c>
      <c r="I47">
        <v>2017.0956064699999</v>
      </c>
      <c r="J47">
        <v>3795949.9040399999</v>
      </c>
      <c r="L47" s="1" t="s">
        <v>277</v>
      </c>
      <c r="M47" t="s">
        <v>246</v>
      </c>
    </row>
    <row r="48" spans="1:13" x14ac:dyDescent="0.25">
      <c r="A48" s="1" t="s">
        <v>2299</v>
      </c>
      <c r="B48">
        <v>7</v>
      </c>
      <c r="C48" t="s">
        <v>108</v>
      </c>
      <c r="D48" s="1" t="s">
        <v>244</v>
      </c>
      <c r="E48">
        <v>1</v>
      </c>
      <c r="F48">
        <v>50</v>
      </c>
      <c r="G48">
        <v>37.637778713700001</v>
      </c>
      <c r="H48">
        <v>37.637778713804749</v>
      </c>
      <c r="I48">
        <v>2017.0956064699999</v>
      </c>
      <c r="J48">
        <v>3795949.9040399999</v>
      </c>
      <c r="L48" s="1" t="s">
        <v>277</v>
      </c>
      <c r="M48" t="s">
        <v>246</v>
      </c>
    </row>
    <row r="49" spans="1:13" x14ac:dyDescent="0.25">
      <c r="A49" s="1" t="s">
        <v>2298</v>
      </c>
      <c r="B49">
        <v>7</v>
      </c>
      <c r="C49" t="s">
        <v>108</v>
      </c>
      <c r="D49" s="1" t="s">
        <v>244</v>
      </c>
      <c r="E49">
        <v>1</v>
      </c>
      <c r="F49">
        <v>50</v>
      </c>
      <c r="G49">
        <v>37.637778713700001</v>
      </c>
      <c r="H49">
        <v>37.637778713804749</v>
      </c>
      <c r="I49">
        <v>2017.0956064699999</v>
      </c>
      <c r="J49">
        <v>3795949.9040399999</v>
      </c>
      <c r="L49" s="1" t="s">
        <v>277</v>
      </c>
      <c r="M49" t="s">
        <v>246</v>
      </c>
    </row>
    <row r="50" spans="1:13" x14ac:dyDescent="0.25">
      <c r="A50" s="1" t="s">
        <v>2297</v>
      </c>
      <c r="B50">
        <v>7</v>
      </c>
      <c r="C50" t="s">
        <v>108</v>
      </c>
      <c r="D50" s="1" t="s">
        <v>244</v>
      </c>
      <c r="E50">
        <v>1</v>
      </c>
      <c r="F50">
        <v>50</v>
      </c>
      <c r="G50">
        <v>37.637778713700001</v>
      </c>
      <c r="H50">
        <v>37.637778713804749</v>
      </c>
      <c r="I50">
        <v>2017.0956064699999</v>
      </c>
      <c r="J50">
        <v>3795949.9040399999</v>
      </c>
      <c r="L50" s="1" t="s">
        <v>277</v>
      </c>
      <c r="M50" t="s">
        <v>246</v>
      </c>
    </row>
    <row r="51" spans="1:13" x14ac:dyDescent="0.25">
      <c r="A51" s="1" t="s">
        <v>2296</v>
      </c>
      <c r="B51">
        <v>7</v>
      </c>
      <c r="C51" t="s">
        <v>108</v>
      </c>
      <c r="D51" s="1" t="s">
        <v>244</v>
      </c>
      <c r="E51">
        <v>1</v>
      </c>
      <c r="F51">
        <v>50</v>
      </c>
      <c r="G51">
        <v>37.637778713700001</v>
      </c>
      <c r="H51">
        <v>37.637778713804749</v>
      </c>
      <c r="I51">
        <v>2017.0956064699999</v>
      </c>
      <c r="J51">
        <v>3795949.9040399999</v>
      </c>
      <c r="L51" s="1" t="s">
        <v>277</v>
      </c>
      <c r="M51" t="s">
        <v>246</v>
      </c>
    </row>
    <row r="52" spans="1:13" x14ac:dyDescent="0.25">
      <c r="A52" s="1" t="s">
        <v>2325</v>
      </c>
      <c r="B52">
        <v>9</v>
      </c>
      <c r="C52" t="s">
        <v>108</v>
      </c>
      <c r="D52" s="1" t="s">
        <v>244</v>
      </c>
      <c r="E52">
        <v>4</v>
      </c>
      <c r="F52">
        <v>50</v>
      </c>
      <c r="G52">
        <v>37.637778713700001</v>
      </c>
      <c r="H52">
        <v>5.0000014890886035</v>
      </c>
      <c r="I52">
        <v>828.98470544600002</v>
      </c>
      <c r="J52">
        <v>883651.69155700004</v>
      </c>
      <c r="L52" s="1" t="s">
        <v>277</v>
      </c>
      <c r="M52" t="s">
        <v>246</v>
      </c>
    </row>
    <row r="53" spans="1:13" x14ac:dyDescent="0.25">
      <c r="A53" s="1" t="s">
        <v>2325</v>
      </c>
      <c r="B53">
        <v>13</v>
      </c>
      <c r="C53" t="s">
        <v>108</v>
      </c>
      <c r="D53" s="1" t="s">
        <v>244</v>
      </c>
      <c r="E53">
        <v>1</v>
      </c>
      <c r="F53">
        <v>50</v>
      </c>
      <c r="G53">
        <v>37.637778713700001</v>
      </c>
      <c r="H53">
        <v>5.0000536100128556</v>
      </c>
      <c r="I53">
        <v>828.98338159800005</v>
      </c>
      <c r="J53">
        <v>883651.36059299996</v>
      </c>
      <c r="L53" s="1" t="s">
        <v>277</v>
      </c>
      <c r="M53" t="s">
        <v>246</v>
      </c>
    </row>
    <row r="54" spans="1:13" x14ac:dyDescent="0.25">
      <c r="A54" s="1" t="s">
        <v>2324</v>
      </c>
      <c r="B54">
        <v>9</v>
      </c>
      <c r="C54" t="s">
        <v>108</v>
      </c>
      <c r="D54" s="1" t="s">
        <v>244</v>
      </c>
      <c r="E54">
        <v>4</v>
      </c>
      <c r="F54">
        <v>50</v>
      </c>
      <c r="G54">
        <v>37.637778713700001</v>
      </c>
      <c r="H54">
        <v>5.0000014890886035</v>
      </c>
      <c r="I54">
        <v>828.98470544600002</v>
      </c>
      <c r="J54">
        <v>883651.69155700004</v>
      </c>
      <c r="L54" s="1" t="s">
        <v>277</v>
      </c>
      <c r="M54" t="s">
        <v>246</v>
      </c>
    </row>
    <row r="55" spans="1:13" x14ac:dyDescent="0.25">
      <c r="A55" s="1" t="s">
        <v>2324</v>
      </c>
      <c r="B55">
        <v>13</v>
      </c>
      <c r="C55" t="s">
        <v>108</v>
      </c>
      <c r="D55" s="1" t="s">
        <v>244</v>
      </c>
      <c r="E55">
        <v>1</v>
      </c>
      <c r="F55">
        <v>50</v>
      </c>
      <c r="G55">
        <v>37.637778713700001</v>
      </c>
      <c r="H55">
        <v>5.0000536100128556</v>
      </c>
      <c r="I55">
        <v>828.98338159800005</v>
      </c>
      <c r="J55">
        <v>883651.36059299996</v>
      </c>
      <c r="L55" s="1" t="s">
        <v>277</v>
      </c>
      <c r="M55" t="s">
        <v>246</v>
      </c>
    </row>
    <row r="56" spans="1:13" x14ac:dyDescent="0.25">
      <c r="A56" s="1" t="s">
        <v>2322</v>
      </c>
      <c r="B56">
        <v>9</v>
      </c>
      <c r="C56" t="s">
        <v>108</v>
      </c>
      <c r="D56" s="1" t="s">
        <v>244</v>
      </c>
      <c r="E56">
        <v>4</v>
      </c>
      <c r="F56">
        <v>50</v>
      </c>
      <c r="G56">
        <v>37.637778713700001</v>
      </c>
      <c r="H56">
        <v>5.0000014891368565</v>
      </c>
      <c r="I56">
        <v>828.98470544600002</v>
      </c>
      <c r="J56">
        <v>883651.69155800005</v>
      </c>
      <c r="L56" s="1" t="s">
        <v>277</v>
      </c>
      <c r="M56" t="s">
        <v>246</v>
      </c>
    </row>
    <row r="57" spans="1:13" x14ac:dyDescent="0.25">
      <c r="A57" s="1" t="s">
        <v>2322</v>
      </c>
      <c r="B57">
        <v>13</v>
      </c>
      <c r="C57" t="s">
        <v>108</v>
      </c>
      <c r="D57" s="1" t="s">
        <v>244</v>
      </c>
      <c r="E57">
        <v>1</v>
      </c>
      <c r="F57">
        <v>50</v>
      </c>
      <c r="G57">
        <v>37.637778713700001</v>
      </c>
      <c r="H57">
        <v>5.0000536100128556</v>
      </c>
      <c r="I57">
        <v>828.98338159800005</v>
      </c>
      <c r="J57">
        <v>883651.36059299996</v>
      </c>
      <c r="L57" s="1" t="s">
        <v>277</v>
      </c>
      <c r="M57" t="s">
        <v>246</v>
      </c>
    </row>
    <row r="58" spans="1:13" x14ac:dyDescent="0.25">
      <c r="A58" s="1" t="s">
        <v>2316</v>
      </c>
      <c r="B58">
        <v>9</v>
      </c>
      <c r="C58" t="s">
        <v>108</v>
      </c>
      <c r="D58" s="1" t="s">
        <v>244</v>
      </c>
      <c r="E58">
        <v>4</v>
      </c>
      <c r="F58">
        <v>50</v>
      </c>
      <c r="G58">
        <v>37.637778713700001</v>
      </c>
      <c r="H58">
        <v>5.0000014891336733</v>
      </c>
      <c r="I58">
        <v>828.98470544700001</v>
      </c>
      <c r="J58">
        <v>883651.69155900006</v>
      </c>
      <c r="L58" s="1" t="s">
        <v>277</v>
      </c>
      <c r="M58" t="s">
        <v>246</v>
      </c>
    </row>
    <row r="59" spans="1:13" x14ac:dyDescent="0.25">
      <c r="A59" s="1" t="s">
        <v>2316</v>
      </c>
      <c r="B59">
        <v>13</v>
      </c>
      <c r="C59" t="s">
        <v>108</v>
      </c>
      <c r="D59" s="1" t="s">
        <v>244</v>
      </c>
      <c r="E59">
        <v>1</v>
      </c>
      <c r="F59">
        <v>50</v>
      </c>
      <c r="G59">
        <v>37.637778713700001</v>
      </c>
      <c r="H59">
        <v>5.0000536101061854</v>
      </c>
      <c r="I59">
        <v>828.98338159900004</v>
      </c>
      <c r="J59">
        <v>883651.36059599998</v>
      </c>
      <c r="L59" s="1" t="s">
        <v>277</v>
      </c>
      <c r="M59" t="s">
        <v>246</v>
      </c>
    </row>
    <row r="60" spans="1:13" x14ac:dyDescent="0.25">
      <c r="A60" s="1" t="s">
        <v>2315</v>
      </c>
      <c r="B60">
        <v>9</v>
      </c>
      <c r="C60" t="s">
        <v>108</v>
      </c>
      <c r="D60" s="1" t="s">
        <v>244</v>
      </c>
      <c r="E60">
        <v>4</v>
      </c>
      <c r="F60">
        <v>50</v>
      </c>
      <c r="G60">
        <v>37.637778713700001</v>
      </c>
      <c r="H60">
        <v>5.0000014891368565</v>
      </c>
      <c r="I60">
        <v>828.98470544600002</v>
      </c>
      <c r="J60">
        <v>883651.69155800005</v>
      </c>
      <c r="L60" s="1" t="s">
        <v>277</v>
      </c>
      <c r="M60" t="s">
        <v>246</v>
      </c>
    </row>
    <row r="61" spans="1:13" x14ac:dyDescent="0.25">
      <c r="A61" s="1" t="s">
        <v>2315</v>
      </c>
      <c r="B61">
        <v>13</v>
      </c>
      <c r="C61" t="s">
        <v>108</v>
      </c>
      <c r="D61" s="1" t="s">
        <v>244</v>
      </c>
      <c r="E61">
        <v>1</v>
      </c>
      <c r="F61">
        <v>50</v>
      </c>
      <c r="G61">
        <v>37.637778713700001</v>
      </c>
      <c r="H61">
        <v>5.0000536100096795</v>
      </c>
      <c r="I61">
        <v>828.98338159900004</v>
      </c>
      <c r="J61">
        <v>883651.36059399997</v>
      </c>
      <c r="L61" s="1" t="s">
        <v>277</v>
      </c>
      <c r="M61" t="s">
        <v>246</v>
      </c>
    </row>
    <row r="62" spans="1:13" x14ac:dyDescent="0.25">
      <c r="A62" s="1" t="s">
        <v>2314</v>
      </c>
      <c r="B62">
        <v>9</v>
      </c>
      <c r="C62" t="s">
        <v>108</v>
      </c>
      <c r="D62" s="1" t="s">
        <v>244</v>
      </c>
      <c r="E62">
        <v>4</v>
      </c>
      <c r="F62">
        <v>50</v>
      </c>
      <c r="G62">
        <v>37.637778713700001</v>
      </c>
      <c r="H62">
        <v>5.0000014891368565</v>
      </c>
      <c r="I62">
        <v>828.98470544600002</v>
      </c>
      <c r="J62">
        <v>883651.69155800005</v>
      </c>
      <c r="L62" s="1" t="s">
        <v>277</v>
      </c>
      <c r="M62" t="s">
        <v>246</v>
      </c>
    </row>
    <row r="63" spans="1:13" x14ac:dyDescent="0.25">
      <c r="A63" s="1" t="s">
        <v>2314</v>
      </c>
      <c r="B63">
        <v>13</v>
      </c>
      <c r="C63" t="s">
        <v>108</v>
      </c>
      <c r="D63" s="1" t="s">
        <v>244</v>
      </c>
      <c r="E63">
        <v>1</v>
      </c>
      <c r="F63">
        <v>50</v>
      </c>
      <c r="G63">
        <v>37.637778713700001</v>
      </c>
      <c r="H63">
        <v>5.0000536100096795</v>
      </c>
      <c r="I63">
        <v>828.98338159900004</v>
      </c>
      <c r="J63">
        <v>883651.36059399997</v>
      </c>
      <c r="L63" s="1" t="s">
        <v>277</v>
      </c>
      <c r="M63" t="s">
        <v>246</v>
      </c>
    </row>
    <row r="64" spans="1:13" x14ac:dyDescent="0.25">
      <c r="A64" s="1" t="s">
        <v>2306</v>
      </c>
      <c r="B64">
        <v>9</v>
      </c>
      <c r="C64" t="s">
        <v>108</v>
      </c>
      <c r="D64" s="1" t="s">
        <v>244</v>
      </c>
      <c r="E64">
        <v>4</v>
      </c>
      <c r="F64">
        <v>50</v>
      </c>
      <c r="G64">
        <v>37.637778713700001</v>
      </c>
      <c r="H64">
        <v>5.0000014890886035</v>
      </c>
      <c r="I64">
        <v>828.98470544600002</v>
      </c>
      <c r="J64">
        <v>883651.69155700004</v>
      </c>
      <c r="L64" s="1" t="s">
        <v>277</v>
      </c>
      <c r="M64" t="s">
        <v>246</v>
      </c>
    </row>
    <row r="65" spans="1:13" x14ac:dyDescent="0.25">
      <c r="A65" s="1" t="s">
        <v>2306</v>
      </c>
      <c r="B65">
        <v>13</v>
      </c>
      <c r="C65" t="s">
        <v>108</v>
      </c>
      <c r="D65" s="1" t="s">
        <v>244</v>
      </c>
      <c r="E65">
        <v>1</v>
      </c>
      <c r="F65">
        <v>50</v>
      </c>
      <c r="G65">
        <v>37.637778713700001</v>
      </c>
      <c r="H65">
        <v>5.0000536100611086</v>
      </c>
      <c r="I65">
        <v>828.98338159800005</v>
      </c>
      <c r="J65">
        <v>883651.36059399997</v>
      </c>
      <c r="L65" s="1" t="s">
        <v>277</v>
      </c>
      <c r="M65" t="s">
        <v>246</v>
      </c>
    </row>
    <row r="66" spans="1:13" x14ac:dyDescent="0.25">
      <c r="A66" s="1" t="s">
        <v>2296</v>
      </c>
      <c r="B66">
        <v>9</v>
      </c>
      <c r="C66" t="s">
        <v>108</v>
      </c>
      <c r="D66" s="1" t="s">
        <v>244</v>
      </c>
      <c r="E66">
        <v>4</v>
      </c>
      <c r="F66">
        <v>50</v>
      </c>
      <c r="G66">
        <v>37.637778713700001</v>
      </c>
      <c r="H66">
        <v>5.0000014891336733</v>
      </c>
      <c r="I66">
        <v>828.98470544700001</v>
      </c>
      <c r="J66">
        <v>883651.69155900006</v>
      </c>
      <c r="L66" s="1" t="s">
        <v>277</v>
      </c>
      <c r="M66" t="s">
        <v>246</v>
      </c>
    </row>
    <row r="67" spans="1:13" x14ac:dyDescent="0.25">
      <c r="A67" s="1" t="s">
        <v>2296</v>
      </c>
      <c r="B67">
        <v>13</v>
      </c>
      <c r="C67" t="s">
        <v>108</v>
      </c>
      <c r="D67" s="1" t="s">
        <v>244</v>
      </c>
      <c r="E67">
        <v>1</v>
      </c>
      <c r="F67">
        <v>50</v>
      </c>
      <c r="G67">
        <v>37.637778713700001</v>
      </c>
      <c r="H67">
        <v>5.0000536100579325</v>
      </c>
      <c r="I67">
        <v>828.98338159900004</v>
      </c>
      <c r="J67">
        <v>883651.36059499998</v>
      </c>
      <c r="L67" s="1" t="s">
        <v>277</v>
      </c>
      <c r="M67" t="s">
        <v>246</v>
      </c>
    </row>
    <row r="68" spans="1:13" x14ac:dyDescent="0.25">
      <c r="A68" s="1" t="s">
        <v>2313</v>
      </c>
      <c r="B68">
        <v>16</v>
      </c>
      <c r="C68" t="s">
        <v>108</v>
      </c>
      <c r="D68" s="1" t="s">
        <v>244</v>
      </c>
      <c r="E68">
        <v>4</v>
      </c>
      <c r="F68">
        <v>50</v>
      </c>
      <c r="G68">
        <v>37.6384143696</v>
      </c>
      <c r="H68">
        <v>5.0000014891136004</v>
      </c>
      <c r="I68">
        <v>829.00085081600002</v>
      </c>
      <c r="J68">
        <v>883682.07560800004</v>
      </c>
      <c r="L68" s="1" t="s">
        <v>277</v>
      </c>
      <c r="M68" t="s">
        <v>246</v>
      </c>
    </row>
    <row r="69" spans="1:13" x14ac:dyDescent="0.25">
      <c r="A69" s="1" t="s">
        <v>2313</v>
      </c>
      <c r="B69">
        <v>17</v>
      </c>
      <c r="C69" t="s">
        <v>108</v>
      </c>
      <c r="D69" s="1" t="s">
        <v>244</v>
      </c>
      <c r="E69">
        <v>1</v>
      </c>
      <c r="F69">
        <v>50</v>
      </c>
      <c r="G69">
        <v>37.6384143696</v>
      </c>
      <c r="H69">
        <v>5.0000536099864235</v>
      </c>
      <c r="I69">
        <v>828.99952696900004</v>
      </c>
      <c r="J69">
        <v>883681.74464399996</v>
      </c>
      <c r="L69" s="1" t="s">
        <v>277</v>
      </c>
      <c r="M69" t="s">
        <v>246</v>
      </c>
    </row>
    <row r="70" spans="1:13" x14ac:dyDescent="0.25">
      <c r="A70" s="1" t="s">
        <v>2312</v>
      </c>
      <c r="B70">
        <v>16</v>
      </c>
      <c r="C70" t="s">
        <v>108</v>
      </c>
      <c r="D70" s="1" t="s">
        <v>244</v>
      </c>
      <c r="E70">
        <v>4</v>
      </c>
      <c r="F70">
        <v>50</v>
      </c>
      <c r="G70">
        <v>37.6384143696</v>
      </c>
      <c r="H70">
        <v>5.0000014890621642</v>
      </c>
      <c r="I70">
        <v>829.00085081700001</v>
      </c>
      <c r="J70">
        <v>883682.07560800004</v>
      </c>
      <c r="L70" s="1" t="s">
        <v>277</v>
      </c>
      <c r="M70" t="s">
        <v>246</v>
      </c>
    </row>
    <row r="71" spans="1:13" x14ac:dyDescent="0.25">
      <c r="A71" s="1" t="s">
        <v>2312</v>
      </c>
      <c r="B71">
        <v>17</v>
      </c>
      <c r="C71" t="s">
        <v>108</v>
      </c>
      <c r="D71" s="1" t="s">
        <v>244</v>
      </c>
      <c r="E71">
        <v>1</v>
      </c>
      <c r="F71">
        <v>50</v>
      </c>
      <c r="G71">
        <v>37.6384143696</v>
      </c>
      <c r="H71">
        <v>5.0000536100314932</v>
      </c>
      <c r="I71">
        <v>828.99952697000003</v>
      </c>
      <c r="J71">
        <v>883681.74464599998</v>
      </c>
      <c r="L71" s="1" t="s">
        <v>277</v>
      </c>
      <c r="M71" t="s">
        <v>246</v>
      </c>
    </row>
    <row r="72" spans="1:13" x14ac:dyDescent="0.25">
      <c r="A72" s="1" t="s">
        <v>2311</v>
      </c>
      <c r="B72">
        <v>16</v>
      </c>
      <c r="C72" t="s">
        <v>108</v>
      </c>
      <c r="D72" s="1" t="s">
        <v>244</v>
      </c>
      <c r="E72">
        <v>4</v>
      </c>
      <c r="F72">
        <v>50</v>
      </c>
      <c r="G72">
        <v>37.6384143696</v>
      </c>
      <c r="H72">
        <v>5.0000014891136004</v>
      </c>
      <c r="I72">
        <v>829.00085081600002</v>
      </c>
      <c r="J72">
        <v>883682.07560800004</v>
      </c>
      <c r="L72" s="1" t="s">
        <v>277</v>
      </c>
      <c r="M72" t="s">
        <v>246</v>
      </c>
    </row>
    <row r="73" spans="1:13" x14ac:dyDescent="0.25">
      <c r="A73" s="1" t="s">
        <v>2311</v>
      </c>
      <c r="B73">
        <v>17</v>
      </c>
      <c r="C73" t="s">
        <v>108</v>
      </c>
      <c r="D73" s="1" t="s">
        <v>244</v>
      </c>
      <c r="E73">
        <v>1</v>
      </c>
      <c r="F73">
        <v>50</v>
      </c>
      <c r="G73">
        <v>37.6384143696</v>
      </c>
      <c r="H73">
        <v>5.0000536099864235</v>
      </c>
      <c r="I73">
        <v>828.99952696900004</v>
      </c>
      <c r="J73">
        <v>883681.74464399996</v>
      </c>
      <c r="L73" s="1" t="s">
        <v>277</v>
      </c>
      <c r="M73" t="s">
        <v>246</v>
      </c>
    </row>
    <row r="74" spans="1:13" x14ac:dyDescent="0.25">
      <c r="A74" s="1" t="s">
        <v>2310</v>
      </c>
      <c r="B74">
        <v>16</v>
      </c>
      <c r="C74" t="s">
        <v>108</v>
      </c>
      <c r="D74" s="1" t="s">
        <v>244</v>
      </c>
      <c r="E74">
        <v>4</v>
      </c>
      <c r="F74">
        <v>50</v>
      </c>
      <c r="G74">
        <v>37.6384143696</v>
      </c>
      <c r="H74">
        <v>5.0000014891136004</v>
      </c>
      <c r="I74">
        <v>829.00085081600002</v>
      </c>
      <c r="J74">
        <v>883682.07560800004</v>
      </c>
      <c r="L74" s="1" t="s">
        <v>277</v>
      </c>
      <c r="M74" t="s">
        <v>246</v>
      </c>
    </row>
    <row r="75" spans="1:13" x14ac:dyDescent="0.25">
      <c r="A75" s="1" t="s">
        <v>2310</v>
      </c>
      <c r="B75">
        <v>17</v>
      </c>
      <c r="C75" t="s">
        <v>108</v>
      </c>
      <c r="D75" s="1" t="s">
        <v>244</v>
      </c>
      <c r="E75">
        <v>1</v>
      </c>
      <c r="F75">
        <v>50</v>
      </c>
      <c r="G75">
        <v>37.6384143696</v>
      </c>
      <c r="H75">
        <v>5.0000536099864235</v>
      </c>
      <c r="I75">
        <v>828.99952696900004</v>
      </c>
      <c r="J75">
        <v>883681.74464399996</v>
      </c>
      <c r="L75" s="1" t="s">
        <v>277</v>
      </c>
      <c r="M75" t="s">
        <v>246</v>
      </c>
    </row>
    <row r="76" spans="1:13" x14ac:dyDescent="0.25">
      <c r="A76" s="1" t="s">
        <v>2309</v>
      </c>
      <c r="B76">
        <v>16</v>
      </c>
      <c r="C76" t="s">
        <v>108</v>
      </c>
      <c r="D76" s="1" t="s">
        <v>244</v>
      </c>
      <c r="E76">
        <v>4</v>
      </c>
      <c r="F76">
        <v>50</v>
      </c>
      <c r="G76">
        <v>37.6384143696</v>
      </c>
      <c r="H76">
        <v>5.0000014891136004</v>
      </c>
      <c r="I76">
        <v>829.00085081600002</v>
      </c>
      <c r="J76">
        <v>883682.07560800004</v>
      </c>
      <c r="L76" s="1" t="s">
        <v>277</v>
      </c>
      <c r="M76" t="s">
        <v>246</v>
      </c>
    </row>
    <row r="77" spans="1:13" x14ac:dyDescent="0.25">
      <c r="A77" s="1" t="s">
        <v>2309</v>
      </c>
      <c r="B77">
        <v>17</v>
      </c>
      <c r="C77" t="s">
        <v>108</v>
      </c>
      <c r="D77" s="1" t="s">
        <v>244</v>
      </c>
      <c r="E77">
        <v>1</v>
      </c>
      <c r="F77">
        <v>50</v>
      </c>
      <c r="G77">
        <v>37.6384143696</v>
      </c>
      <c r="H77">
        <v>5.0000536098899246</v>
      </c>
      <c r="I77">
        <v>828.99952696900004</v>
      </c>
      <c r="J77">
        <v>883681.74464199995</v>
      </c>
      <c r="L77" s="1" t="s">
        <v>277</v>
      </c>
      <c r="M77" t="s">
        <v>246</v>
      </c>
    </row>
    <row r="78" spans="1:13" x14ac:dyDescent="0.25">
      <c r="A78" s="1" t="s">
        <v>2303</v>
      </c>
      <c r="B78">
        <v>16</v>
      </c>
      <c r="C78" t="s">
        <v>108</v>
      </c>
      <c r="D78" s="1" t="s">
        <v>244</v>
      </c>
      <c r="E78">
        <v>4</v>
      </c>
      <c r="F78">
        <v>50</v>
      </c>
      <c r="G78">
        <v>37.6384143696</v>
      </c>
      <c r="H78">
        <v>5.0000014891136004</v>
      </c>
      <c r="I78">
        <v>829.00085081600002</v>
      </c>
      <c r="J78">
        <v>883682.07560800004</v>
      </c>
      <c r="L78" s="1" t="s">
        <v>277</v>
      </c>
      <c r="M78" t="s">
        <v>246</v>
      </c>
    </row>
    <row r="79" spans="1:13" x14ac:dyDescent="0.25">
      <c r="A79" s="1" t="s">
        <v>2303</v>
      </c>
      <c r="B79">
        <v>17</v>
      </c>
      <c r="C79" t="s">
        <v>108</v>
      </c>
      <c r="D79" s="1" t="s">
        <v>244</v>
      </c>
      <c r="E79">
        <v>1</v>
      </c>
      <c r="F79">
        <v>50</v>
      </c>
      <c r="G79">
        <v>37.6384143696</v>
      </c>
      <c r="H79">
        <v>5.0000536099864235</v>
      </c>
      <c r="I79">
        <v>828.99952696900004</v>
      </c>
      <c r="J79">
        <v>883681.74464399996</v>
      </c>
      <c r="L79" s="1" t="s">
        <v>277</v>
      </c>
      <c r="M79" t="s">
        <v>246</v>
      </c>
    </row>
    <row r="80" spans="1:13" x14ac:dyDescent="0.25">
      <c r="A80" s="1" t="s">
        <v>2302</v>
      </c>
      <c r="B80">
        <v>16</v>
      </c>
      <c r="C80" t="s">
        <v>108</v>
      </c>
      <c r="D80" s="1" t="s">
        <v>244</v>
      </c>
      <c r="E80">
        <v>4</v>
      </c>
      <c r="F80">
        <v>50</v>
      </c>
      <c r="G80">
        <v>37.6384143696</v>
      </c>
      <c r="H80">
        <v>5.0000014891586702</v>
      </c>
      <c r="I80">
        <v>829.00085081700001</v>
      </c>
      <c r="J80">
        <v>883682.07561000006</v>
      </c>
      <c r="L80" s="1" t="s">
        <v>277</v>
      </c>
      <c r="M80" t="s">
        <v>246</v>
      </c>
    </row>
    <row r="81" spans="1:13" x14ac:dyDescent="0.25">
      <c r="A81" s="1" t="s">
        <v>2302</v>
      </c>
      <c r="B81">
        <v>17</v>
      </c>
      <c r="C81" t="s">
        <v>108</v>
      </c>
      <c r="D81" s="1" t="s">
        <v>244</v>
      </c>
      <c r="E81">
        <v>1</v>
      </c>
      <c r="F81">
        <v>50</v>
      </c>
      <c r="G81">
        <v>37.6384143696</v>
      </c>
      <c r="H81">
        <v>5.0000536099832402</v>
      </c>
      <c r="I81">
        <v>828.99952697000003</v>
      </c>
      <c r="J81">
        <v>883681.74464499997</v>
      </c>
      <c r="L81" s="1" t="s">
        <v>277</v>
      </c>
      <c r="M81" t="s">
        <v>246</v>
      </c>
    </row>
    <row r="82" spans="1:13" x14ac:dyDescent="0.25">
      <c r="A82" s="1" t="s">
        <v>2301</v>
      </c>
      <c r="B82">
        <v>16</v>
      </c>
      <c r="C82" t="s">
        <v>108</v>
      </c>
      <c r="D82" s="1" t="s">
        <v>244</v>
      </c>
      <c r="E82">
        <v>4</v>
      </c>
      <c r="F82">
        <v>50</v>
      </c>
      <c r="G82">
        <v>37.6384143696</v>
      </c>
      <c r="H82">
        <v>5.0000014891136004</v>
      </c>
      <c r="I82">
        <v>829.00085081600002</v>
      </c>
      <c r="J82">
        <v>883682.07560800004</v>
      </c>
      <c r="L82" s="1" t="s">
        <v>277</v>
      </c>
      <c r="M82" t="s">
        <v>246</v>
      </c>
    </row>
    <row r="83" spans="1:13" x14ac:dyDescent="0.25">
      <c r="A83" s="1" t="s">
        <v>2301</v>
      </c>
      <c r="B83">
        <v>17</v>
      </c>
      <c r="C83" t="s">
        <v>108</v>
      </c>
      <c r="D83" s="1" t="s">
        <v>244</v>
      </c>
      <c r="E83">
        <v>1</v>
      </c>
      <c r="F83">
        <v>50</v>
      </c>
      <c r="G83">
        <v>37.6384143696</v>
      </c>
      <c r="H83">
        <v>5.0000536100346764</v>
      </c>
      <c r="I83">
        <v>828.99952696900004</v>
      </c>
      <c r="J83">
        <v>883681.74464499997</v>
      </c>
      <c r="L83" s="1" t="s">
        <v>277</v>
      </c>
      <c r="M83" t="s">
        <v>246</v>
      </c>
    </row>
    <row r="84" spans="1:13" x14ac:dyDescent="0.25">
      <c r="A84" s="1" t="s">
        <v>2300</v>
      </c>
      <c r="B84">
        <v>16</v>
      </c>
      <c r="C84" t="s">
        <v>108</v>
      </c>
      <c r="D84" s="1" t="s">
        <v>244</v>
      </c>
      <c r="E84">
        <v>4</v>
      </c>
      <c r="F84">
        <v>50</v>
      </c>
      <c r="G84">
        <v>37.6384143696</v>
      </c>
      <c r="H84">
        <v>5.0000014891136004</v>
      </c>
      <c r="I84">
        <v>829.00085081600002</v>
      </c>
      <c r="J84">
        <v>883682.07560800004</v>
      </c>
      <c r="L84" s="1" t="s">
        <v>277</v>
      </c>
      <c r="M84" t="s">
        <v>246</v>
      </c>
    </row>
    <row r="85" spans="1:13" x14ac:dyDescent="0.25">
      <c r="A85" s="1" t="s">
        <v>2300</v>
      </c>
      <c r="B85">
        <v>17</v>
      </c>
      <c r="C85" t="s">
        <v>108</v>
      </c>
      <c r="D85" s="1" t="s">
        <v>244</v>
      </c>
      <c r="E85">
        <v>1</v>
      </c>
      <c r="F85">
        <v>50</v>
      </c>
      <c r="G85">
        <v>37.6384143696</v>
      </c>
      <c r="H85">
        <v>5.0000536099381705</v>
      </c>
      <c r="I85">
        <v>828.99952696900004</v>
      </c>
      <c r="J85">
        <v>883681.74464299995</v>
      </c>
      <c r="L85" s="1" t="s">
        <v>277</v>
      </c>
      <c r="M85" t="s">
        <v>246</v>
      </c>
    </row>
    <row r="86" spans="1:13" x14ac:dyDescent="0.25">
      <c r="A86" s="1" t="s">
        <v>2299</v>
      </c>
      <c r="B86">
        <v>16</v>
      </c>
      <c r="C86" t="s">
        <v>108</v>
      </c>
      <c r="D86" s="1" t="s">
        <v>244</v>
      </c>
      <c r="E86">
        <v>4</v>
      </c>
      <c r="F86">
        <v>50</v>
      </c>
      <c r="G86">
        <v>37.6384143696</v>
      </c>
      <c r="H86">
        <v>5.0000014891136004</v>
      </c>
      <c r="I86">
        <v>829.00085081600002</v>
      </c>
      <c r="J86">
        <v>883682.07560800004</v>
      </c>
      <c r="L86" s="1" t="s">
        <v>277</v>
      </c>
      <c r="M86" t="s">
        <v>246</v>
      </c>
    </row>
    <row r="87" spans="1:13" x14ac:dyDescent="0.25">
      <c r="A87" s="1" t="s">
        <v>2299</v>
      </c>
      <c r="B87">
        <v>17</v>
      </c>
      <c r="C87" t="s">
        <v>108</v>
      </c>
      <c r="D87" s="1" t="s">
        <v>244</v>
      </c>
      <c r="E87">
        <v>1</v>
      </c>
      <c r="F87">
        <v>50</v>
      </c>
      <c r="G87">
        <v>37.6384143696</v>
      </c>
      <c r="H87">
        <v>5.0000536099864235</v>
      </c>
      <c r="I87">
        <v>828.99952696900004</v>
      </c>
      <c r="J87">
        <v>883681.74464399996</v>
      </c>
      <c r="L87" s="1" t="s">
        <v>277</v>
      </c>
      <c r="M87" t="s">
        <v>246</v>
      </c>
    </row>
    <row r="88" spans="1:13" x14ac:dyDescent="0.25">
      <c r="A88" s="1" t="s">
        <v>2305</v>
      </c>
      <c r="B88">
        <v>18</v>
      </c>
      <c r="C88" t="s">
        <v>108</v>
      </c>
      <c r="D88" s="1" t="s">
        <v>244</v>
      </c>
      <c r="E88">
        <v>4</v>
      </c>
      <c r="F88">
        <v>50</v>
      </c>
      <c r="G88">
        <v>37.639050028100002</v>
      </c>
      <c r="H88">
        <v>5.0000014891136217</v>
      </c>
      <c r="I88">
        <v>829.01699625399999</v>
      </c>
      <c r="J88">
        <v>883712.46029800002</v>
      </c>
      <c r="L88" s="1" t="s">
        <v>277</v>
      </c>
      <c r="M88" t="s">
        <v>246</v>
      </c>
    </row>
    <row r="89" spans="1:13" x14ac:dyDescent="0.25">
      <c r="A89" s="1" t="s">
        <v>2305</v>
      </c>
      <c r="B89">
        <v>19</v>
      </c>
      <c r="C89" t="s">
        <v>108</v>
      </c>
      <c r="D89" s="1" t="s">
        <v>244</v>
      </c>
      <c r="E89">
        <v>1</v>
      </c>
      <c r="F89">
        <v>50</v>
      </c>
      <c r="G89">
        <v>37.639050028100002</v>
      </c>
      <c r="H89">
        <v>5.000053610037881</v>
      </c>
      <c r="I89">
        <v>829.01567240600002</v>
      </c>
      <c r="J89">
        <v>883712.12933400006</v>
      </c>
      <c r="L89" s="1" t="s">
        <v>277</v>
      </c>
      <c r="M89" t="s">
        <v>246</v>
      </c>
    </row>
    <row r="90" spans="1:13" x14ac:dyDescent="0.25">
      <c r="A90" s="1" t="s">
        <v>2304</v>
      </c>
      <c r="B90">
        <v>18</v>
      </c>
      <c r="C90" t="s">
        <v>108</v>
      </c>
      <c r="D90" s="1" t="s">
        <v>244</v>
      </c>
      <c r="E90">
        <v>4</v>
      </c>
      <c r="F90">
        <v>50</v>
      </c>
      <c r="G90">
        <v>37.639050028100002</v>
      </c>
      <c r="H90">
        <v>5.0000014891136217</v>
      </c>
      <c r="I90">
        <v>829.01699625399999</v>
      </c>
      <c r="J90">
        <v>883712.46029800002</v>
      </c>
      <c r="L90" s="1" t="s">
        <v>277</v>
      </c>
      <c r="M90" t="s">
        <v>246</v>
      </c>
    </row>
    <row r="91" spans="1:13" x14ac:dyDescent="0.25">
      <c r="A91" s="1" t="s">
        <v>2304</v>
      </c>
      <c r="B91">
        <v>19</v>
      </c>
      <c r="C91" t="s">
        <v>108</v>
      </c>
      <c r="D91" s="1" t="s">
        <v>244</v>
      </c>
      <c r="E91">
        <v>1</v>
      </c>
      <c r="F91">
        <v>50</v>
      </c>
      <c r="G91">
        <v>37.639050028100002</v>
      </c>
      <c r="H91">
        <v>5.0000536100861268</v>
      </c>
      <c r="I91">
        <v>829.01567240600002</v>
      </c>
      <c r="J91">
        <v>883712.12933499995</v>
      </c>
      <c r="L91" s="1" t="s">
        <v>277</v>
      </c>
      <c r="M91" t="s">
        <v>246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L5"/>
  <sheetViews>
    <sheetView workbookViewId="0"/>
  </sheetViews>
  <sheetFormatPr defaultRowHeight="15" x14ac:dyDescent="0.25"/>
  <cols>
    <col min="1" max="1" width="11" bestFit="1" customWidth="1"/>
    <col min="2" max="2" width="15.7109375" bestFit="1" customWidth="1"/>
    <col min="3" max="3" width="9.28515625" bestFit="1" customWidth="1"/>
    <col min="4" max="4" width="9" bestFit="1" customWidth="1"/>
    <col min="5" max="5" width="9.42578125" bestFit="1" customWidth="1"/>
    <col min="6" max="6" width="8.85546875" bestFit="1" customWidth="1"/>
    <col min="7" max="7" width="8" bestFit="1" customWidth="1"/>
    <col min="8" max="8" width="8.42578125" bestFit="1" customWidth="1"/>
    <col min="9" max="9" width="13" bestFit="1" customWidth="1"/>
    <col min="10" max="10" width="13.7109375" bestFit="1" customWidth="1"/>
    <col min="11" max="11" width="8.42578125" bestFit="1" customWidth="1"/>
    <col min="12" max="12" width="7" bestFit="1" customWidth="1"/>
  </cols>
  <sheetData>
    <row r="1" spans="1:12" x14ac:dyDescent="0.25">
      <c r="A1" t="s">
        <v>14</v>
      </c>
      <c r="B1" t="s">
        <v>5</v>
      </c>
      <c r="C1" t="s">
        <v>68</v>
      </c>
      <c r="D1" t="s">
        <v>69</v>
      </c>
      <c r="E1" t="s">
        <v>70</v>
      </c>
      <c r="F1" t="s">
        <v>270</v>
      </c>
      <c r="G1" t="s">
        <v>1</v>
      </c>
      <c r="H1" t="s">
        <v>2</v>
      </c>
      <c r="I1" t="s">
        <v>71</v>
      </c>
      <c r="J1" t="s">
        <v>1101</v>
      </c>
      <c r="K1" t="s">
        <v>272</v>
      </c>
      <c r="L1" t="s">
        <v>273</v>
      </c>
    </row>
    <row r="2" spans="1:12" x14ac:dyDescent="0.25">
      <c r="A2" s="1" t="s">
        <v>2058</v>
      </c>
      <c r="B2" s="1" t="s">
        <v>2335</v>
      </c>
      <c r="C2">
        <v>80</v>
      </c>
      <c r="D2">
        <v>348</v>
      </c>
      <c r="E2">
        <v>475</v>
      </c>
      <c r="F2">
        <v>157</v>
      </c>
      <c r="G2">
        <v>548</v>
      </c>
      <c r="H2">
        <v>475</v>
      </c>
      <c r="J2">
        <v>0.16518059048251832</v>
      </c>
    </row>
    <row r="3" spans="1:12" x14ac:dyDescent="0.25">
      <c r="A3" s="1" t="s">
        <v>2058</v>
      </c>
      <c r="B3" s="1" t="s">
        <v>2336</v>
      </c>
      <c r="C3">
        <v>80</v>
      </c>
      <c r="D3">
        <v>383</v>
      </c>
      <c r="E3">
        <v>517</v>
      </c>
      <c r="F3">
        <v>157</v>
      </c>
      <c r="G3">
        <v>427</v>
      </c>
      <c r="H3">
        <v>517</v>
      </c>
      <c r="J3">
        <v>0.19791614615995909</v>
      </c>
    </row>
    <row r="4" spans="1:12" x14ac:dyDescent="0.25">
      <c r="A4" s="1" t="s">
        <v>2058</v>
      </c>
      <c r="B4" s="1" t="s">
        <v>2337</v>
      </c>
      <c r="C4">
        <v>100</v>
      </c>
      <c r="D4">
        <v>348</v>
      </c>
      <c r="E4">
        <v>517</v>
      </c>
      <c r="F4">
        <v>177</v>
      </c>
      <c r="G4">
        <v>548</v>
      </c>
      <c r="H4">
        <v>517</v>
      </c>
      <c r="J4">
        <v>0.17977826878806519</v>
      </c>
    </row>
    <row r="5" spans="1:12" x14ac:dyDescent="0.25">
      <c r="A5" s="1" t="s">
        <v>2058</v>
      </c>
      <c r="B5" s="1" t="s">
        <v>2338</v>
      </c>
      <c r="C5">
        <v>80</v>
      </c>
      <c r="D5">
        <v>383</v>
      </c>
      <c r="E5">
        <v>517</v>
      </c>
      <c r="F5">
        <v>157</v>
      </c>
      <c r="G5">
        <v>427</v>
      </c>
      <c r="H5">
        <v>517</v>
      </c>
      <c r="J5">
        <v>0.19791614652375639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L4"/>
  <sheetViews>
    <sheetView workbookViewId="0"/>
  </sheetViews>
  <sheetFormatPr defaultRowHeight="15" x14ac:dyDescent="0.25"/>
  <cols>
    <col min="1" max="1" width="11" bestFit="1" customWidth="1"/>
    <col min="2" max="2" width="15.7109375" bestFit="1" customWidth="1"/>
    <col min="3" max="3" width="9.28515625" bestFit="1" customWidth="1"/>
    <col min="4" max="4" width="9" bestFit="1" customWidth="1"/>
    <col min="5" max="5" width="9.42578125" bestFit="1" customWidth="1"/>
    <col min="6" max="6" width="8.85546875" bestFit="1" customWidth="1"/>
    <col min="7" max="7" width="8" bestFit="1" customWidth="1"/>
    <col min="8" max="8" width="8.42578125" bestFit="1" customWidth="1"/>
    <col min="9" max="9" width="13" bestFit="1" customWidth="1"/>
    <col min="10" max="10" width="13.7109375" bestFit="1" customWidth="1"/>
    <col min="11" max="11" width="8.42578125" bestFit="1" customWidth="1"/>
    <col min="12" max="12" width="7" bestFit="1" customWidth="1"/>
  </cols>
  <sheetData>
    <row r="1" spans="1:12" x14ac:dyDescent="0.25">
      <c r="A1" t="s">
        <v>14</v>
      </c>
      <c r="B1" t="s">
        <v>5</v>
      </c>
      <c r="C1" t="s">
        <v>68</v>
      </c>
      <c r="D1" t="s">
        <v>69</v>
      </c>
      <c r="E1" t="s">
        <v>70</v>
      </c>
      <c r="F1" t="s">
        <v>270</v>
      </c>
      <c r="G1" t="s">
        <v>1</v>
      </c>
      <c r="H1" t="s">
        <v>2</v>
      </c>
      <c r="I1" t="s">
        <v>71</v>
      </c>
      <c r="J1" t="s">
        <v>1101</v>
      </c>
      <c r="K1" t="s">
        <v>272</v>
      </c>
      <c r="L1" t="s">
        <v>273</v>
      </c>
    </row>
    <row r="2" spans="1:12" x14ac:dyDescent="0.25">
      <c r="A2" s="1" t="s">
        <v>2058</v>
      </c>
      <c r="B2" s="1" t="s">
        <v>2339</v>
      </c>
      <c r="C2">
        <v>80</v>
      </c>
      <c r="D2">
        <v>580</v>
      </c>
      <c r="E2">
        <v>496</v>
      </c>
      <c r="F2">
        <v>127</v>
      </c>
      <c r="G2">
        <v>624</v>
      </c>
      <c r="H2">
        <v>496</v>
      </c>
      <c r="J2">
        <v>0.28755129057012158</v>
      </c>
    </row>
    <row r="3" spans="1:12" x14ac:dyDescent="0.25">
      <c r="A3" s="1" t="s">
        <v>2058</v>
      </c>
      <c r="B3" s="1" t="s">
        <v>2340</v>
      </c>
      <c r="C3">
        <v>80</v>
      </c>
      <c r="D3">
        <v>403</v>
      </c>
      <c r="E3">
        <v>496</v>
      </c>
      <c r="F3">
        <v>127</v>
      </c>
      <c r="G3">
        <v>504</v>
      </c>
      <c r="H3">
        <v>496</v>
      </c>
      <c r="J3">
        <v>0.19972961112502891</v>
      </c>
    </row>
    <row r="4" spans="1:12" x14ac:dyDescent="0.25">
      <c r="A4" s="1" t="s">
        <v>2058</v>
      </c>
      <c r="B4" s="1" t="s">
        <v>2341</v>
      </c>
      <c r="C4">
        <v>80</v>
      </c>
      <c r="D4">
        <v>403</v>
      </c>
      <c r="E4">
        <v>496</v>
      </c>
      <c r="F4">
        <v>127</v>
      </c>
      <c r="G4">
        <v>504</v>
      </c>
      <c r="H4">
        <v>496</v>
      </c>
      <c r="J4">
        <v>0.19972961118649765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L3"/>
  <sheetViews>
    <sheetView workbookViewId="0"/>
  </sheetViews>
  <sheetFormatPr defaultRowHeight="15" x14ac:dyDescent="0.25"/>
  <cols>
    <col min="1" max="1" width="11" bestFit="1" customWidth="1"/>
    <col min="2" max="2" width="10.7109375" bestFit="1" customWidth="1"/>
    <col min="3" max="3" width="9.28515625" bestFit="1" customWidth="1"/>
    <col min="4" max="4" width="9" bestFit="1" customWidth="1"/>
    <col min="5" max="5" width="9.42578125" bestFit="1" customWidth="1"/>
    <col min="6" max="6" width="8.85546875" bestFit="1" customWidth="1"/>
    <col min="7" max="7" width="8" bestFit="1" customWidth="1"/>
    <col min="8" max="8" width="8.42578125" bestFit="1" customWidth="1"/>
    <col min="9" max="9" width="13" bestFit="1" customWidth="1"/>
    <col min="10" max="10" width="13.7109375" bestFit="1" customWidth="1"/>
    <col min="11" max="11" width="8.42578125" bestFit="1" customWidth="1"/>
    <col min="12" max="12" width="7" bestFit="1" customWidth="1"/>
  </cols>
  <sheetData>
    <row r="1" spans="1:12" x14ac:dyDescent="0.25">
      <c r="A1" t="s">
        <v>14</v>
      </c>
      <c r="B1" t="s">
        <v>5</v>
      </c>
      <c r="C1" t="s">
        <v>68</v>
      </c>
      <c r="D1" t="s">
        <v>69</v>
      </c>
      <c r="E1" t="s">
        <v>70</v>
      </c>
      <c r="F1" t="s">
        <v>270</v>
      </c>
      <c r="G1" t="s">
        <v>1</v>
      </c>
      <c r="H1" t="s">
        <v>2</v>
      </c>
      <c r="I1" t="s">
        <v>71</v>
      </c>
      <c r="J1" t="s">
        <v>1101</v>
      </c>
      <c r="K1" t="s">
        <v>272</v>
      </c>
      <c r="L1" t="s">
        <v>273</v>
      </c>
    </row>
    <row r="2" spans="1:12" x14ac:dyDescent="0.25">
      <c r="A2" s="1" t="s">
        <v>2342</v>
      </c>
      <c r="B2" s="1" t="s">
        <v>2343</v>
      </c>
      <c r="C2">
        <v>80</v>
      </c>
      <c r="D2">
        <v>5169</v>
      </c>
      <c r="E2">
        <v>3010</v>
      </c>
      <c r="F2">
        <v>80</v>
      </c>
      <c r="G2">
        <v>5169</v>
      </c>
      <c r="H2">
        <v>3010</v>
      </c>
      <c r="J2">
        <v>15.559251155493358</v>
      </c>
    </row>
    <row r="3" spans="1:12" x14ac:dyDescent="0.25">
      <c r="A3" s="1" t="s">
        <v>2342</v>
      </c>
      <c r="B3" s="1" t="s">
        <v>2344</v>
      </c>
      <c r="C3">
        <v>80</v>
      </c>
      <c r="D3">
        <v>5169</v>
      </c>
      <c r="E3">
        <v>1158</v>
      </c>
      <c r="F3">
        <v>80</v>
      </c>
      <c r="G3">
        <v>5169</v>
      </c>
      <c r="H3">
        <v>1158</v>
      </c>
      <c r="J3">
        <v>5.9835279764053455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usz1"/>
  <dimension ref="A1:V45"/>
  <sheetViews>
    <sheetView showGridLines="0" zoomScale="85" zoomScaleNormal="85" workbookViewId="0">
      <selection activeCell="B1" sqref="B1:B2"/>
    </sheetView>
  </sheetViews>
  <sheetFormatPr defaultColWidth="9" defaultRowHeight="15" x14ac:dyDescent="0.25"/>
  <cols>
    <col min="1" max="1" width="54.42578125" style="74" bestFit="1" customWidth="1"/>
    <col min="2" max="2" width="17.7109375" style="74" bestFit="1" customWidth="1"/>
    <col min="3" max="3" width="23" style="74" bestFit="1" customWidth="1"/>
    <col min="4" max="4" width="15.7109375" style="74" bestFit="1" customWidth="1"/>
    <col min="5" max="5" width="81.140625" style="74" bestFit="1" customWidth="1"/>
    <col min="6" max="7" width="10.5703125" style="74" bestFit="1" customWidth="1"/>
    <col min="8" max="8" width="15.28515625" style="74" bestFit="1" customWidth="1"/>
    <col min="9" max="9" width="49.42578125" style="74" hidden="1" customWidth="1"/>
    <col min="10" max="10" width="53.42578125" style="74" hidden="1" customWidth="1"/>
    <col min="11" max="11" width="13.42578125" style="74" bestFit="1" customWidth="1"/>
    <col min="12" max="12" width="15" style="74" bestFit="1" customWidth="1"/>
    <col min="13" max="13" width="5.42578125" style="74" customWidth="1"/>
    <col min="14" max="14" width="10.7109375" style="74" bestFit="1" customWidth="1"/>
    <col min="15" max="15" width="12.85546875" style="74" customWidth="1"/>
    <col min="16" max="16" width="20.28515625" style="74" bestFit="1" customWidth="1"/>
    <col min="17" max="17" width="10.85546875" style="74" bestFit="1" customWidth="1"/>
    <col min="18" max="18" width="50.140625" style="74" bestFit="1" customWidth="1"/>
    <col min="19" max="19" width="21.28515625" style="74" bestFit="1" customWidth="1"/>
    <col min="20" max="20" width="35.7109375" style="74" bestFit="1" customWidth="1"/>
    <col min="21" max="21" width="30.42578125" style="74" bestFit="1" customWidth="1"/>
    <col min="22" max="22" width="11.140625" style="74" bestFit="1" customWidth="1"/>
    <col min="23" max="16384" width="9" style="74"/>
  </cols>
  <sheetData>
    <row r="1" spans="1:22" ht="21" x14ac:dyDescent="0.25">
      <c r="B1" s="75" t="s">
        <v>85</v>
      </c>
      <c r="C1" s="76">
        <v>44589</v>
      </c>
    </row>
    <row r="2" spans="1:22" ht="26.25" x14ac:dyDescent="0.25">
      <c r="B2" s="75" t="s">
        <v>86</v>
      </c>
      <c r="C2" s="77">
        <v>9</v>
      </c>
      <c r="D2" s="78" t="s">
        <v>87</v>
      </c>
    </row>
    <row r="3" spans="1:22" ht="26.25" x14ac:dyDescent="0.25">
      <c r="B3" s="75" t="s">
        <v>88</v>
      </c>
      <c r="C3" s="79">
        <v>9</v>
      </c>
      <c r="D3" s="78">
        <f>C2-C3</f>
        <v>0</v>
      </c>
    </row>
    <row r="10" spans="1:22" x14ac:dyDescent="0.25">
      <c r="A10" s="74" t="s">
        <v>89</v>
      </c>
      <c r="B10" s="74" t="s">
        <v>90</v>
      </c>
      <c r="C10" s="74" t="s">
        <v>91</v>
      </c>
      <c r="D10" s="74" t="s">
        <v>92</v>
      </c>
      <c r="E10" s="74" t="s">
        <v>93</v>
      </c>
      <c r="F10" s="80" t="s">
        <v>94</v>
      </c>
      <c r="G10" s="74" t="s">
        <v>95</v>
      </c>
      <c r="H10" s="74" t="s">
        <v>96</v>
      </c>
      <c r="I10" s="74" t="s">
        <v>97</v>
      </c>
      <c r="J10" s="74" t="s">
        <v>98</v>
      </c>
      <c r="K10" s="74" t="s">
        <v>99</v>
      </c>
      <c r="L10" s="74" t="s">
        <v>100</v>
      </c>
      <c r="Q10" t="s">
        <v>101</v>
      </c>
      <c r="R10" t="s">
        <v>89</v>
      </c>
      <c r="S10" t="s">
        <v>5</v>
      </c>
      <c r="T10" t="s">
        <v>102</v>
      </c>
      <c r="U10" t="s">
        <v>103</v>
      </c>
      <c r="V10" t="s">
        <v>104</v>
      </c>
    </row>
    <row r="11" spans="1:22" hidden="1" x14ac:dyDescent="0.25">
      <c r="A11" s="142" t="s">
        <v>2065</v>
      </c>
      <c r="B11" s="81">
        <v>44516.54650462963</v>
      </c>
      <c r="C11" s="80" t="s">
        <v>2079</v>
      </c>
      <c r="D11" s="80" t="s">
        <v>1217</v>
      </c>
      <c r="E11" s="80" t="s">
        <v>2080</v>
      </c>
      <c r="F11" s="80"/>
      <c r="G11" s="74" t="str">
        <f>IF(OR(RIGHT(Tabela_query[[#This Row],[Nazwa]],4)&lt;&gt;"xlsx",ISNUMBER(FIND("Nieaktualne",E11,1))),"Nie","Tak")</f>
        <v>Nie</v>
      </c>
      <c r="H11" s="74" t="str">
        <f t="array" ref="H11">IF(Tabela_query[[#This Row],[czy brać]]="TAK",INDEX(Skróty_elementów[Arkusz z którego pobiera dane],MATCH(1,COUNTIF(A11,"*"&amp;Skróty_elementów[Ciąg znaków wyszukiwany w nazwie]&amp;"*"),0),1),"Nie")</f>
        <v>Nie</v>
      </c>
      <c r="I11" s="74" t="e">
        <f t="shared" ref="I11:I24" si="0">LEFT(A11,FIND(CHAR(46),A11)-1)</f>
        <v>#VALUE!</v>
      </c>
      <c r="J11" s="167" t="str">
        <f>IF(OR(RIGHT(Tabela_query[[#This Row],[Nazwa]],4)&lt;&gt;"xlsx",ISNUMBER(FIND("Nieaktualne",H11,1))),"Nie","Tak")</f>
        <v>Nie</v>
      </c>
      <c r="K11" s="80"/>
      <c r="M11" s="80"/>
      <c r="Q11" t="s">
        <v>1839</v>
      </c>
      <c r="R11" t="s">
        <v>1840</v>
      </c>
      <c r="S11" t="s">
        <v>1841</v>
      </c>
      <c r="T11" t="s">
        <v>1842</v>
      </c>
      <c r="U11" t="s">
        <v>165</v>
      </c>
      <c r="V11"/>
    </row>
    <row r="12" spans="1:22" hidden="1" x14ac:dyDescent="0.25">
      <c r="A12" s="142" t="s">
        <v>2083</v>
      </c>
      <c r="B12" s="166">
        <v>44581.39949074074</v>
      </c>
      <c r="C12" s="167" t="s">
        <v>2081</v>
      </c>
      <c r="D12" s="167" t="s">
        <v>5</v>
      </c>
      <c r="E12" s="167" t="s">
        <v>2082</v>
      </c>
      <c r="F12" s="167"/>
      <c r="G12" s="168" t="str">
        <f>IF(OR(RIGHT(Tabela_query[[#This Row],[Nazwa]],4)&lt;&gt;"xlsx",ISNUMBER(FIND("Nieaktualne",E12,1))),"Nie","Tak")</f>
        <v>Nie</v>
      </c>
      <c r="H12" s="168" t="str">
        <f t="array" ref="H12">IF(Tabela_query[[#This Row],[czy brać]]="TAK",INDEX(Skróty_elementów[Arkusz z którego pobiera dane],MATCH(1,COUNTIF(A12,"*"&amp;Skróty_elementów[Ciąg znaków wyszukiwany w nazwie]&amp;"*"),0),1),"Nie")</f>
        <v>Nie</v>
      </c>
      <c r="I12" s="165" t="str">
        <f t="shared" si="0"/>
        <v>Attyki- Lista elementów -budowa</v>
      </c>
      <c r="J12" s="165" t="str">
        <f>IF(OR(RIGHT(Tabela_query[[#This Row],[Nazwa]],4)&lt;&gt;"xlsx",ISNUMBER(FIND("Nieaktualne",H12,1))),"Nie","Tak")</f>
        <v>Tak</v>
      </c>
      <c r="K12" s="167"/>
      <c r="L12" s="165"/>
      <c r="M12" s="80"/>
      <c r="Q12" t="s">
        <v>1839</v>
      </c>
      <c r="R12" t="s">
        <v>1840</v>
      </c>
      <c r="S12" t="s">
        <v>1841</v>
      </c>
      <c r="T12" t="s">
        <v>1841</v>
      </c>
      <c r="U12" t="s">
        <v>165</v>
      </c>
      <c r="V12"/>
    </row>
    <row r="13" spans="1:22" x14ac:dyDescent="0.25">
      <c r="A13" s="142" t="s">
        <v>2084</v>
      </c>
      <c r="B13" s="166">
        <v>44581.399537037039</v>
      </c>
      <c r="C13" s="167" t="s">
        <v>2081</v>
      </c>
      <c r="D13" s="167" t="s">
        <v>5</v>
      </c>
      <c r="E13" s="167" t="s">
        <v>2080</v>
      </c>
      <c r="F13" s="167"/>
      <c r="G13" s="168" t="str">
        <f>IF(OR(RIGHT(Tabela_query[[#This Row],[Nazwa]],4)&lt;&gt;"xlsx",ISNUMBER(FIND("Nieaktualne",E13,1))),"Nie","Tak")</f>
        <v>Tak</v>
      </c>
      <c r="H13" s="168" t="str">
        <f t="array" ref="H13">IF(Tabela_query[[#This Row],[czy brać]]="TAK",INDEX(Skróty_elementów[Arkusz z którego pobiera dane],MATCH(1,COUNTIF(A13,"*"&amp;Skróty_elementów[Ciąg znaków wyszukiwany w nazwie]&amp;"*"),0),1),"Nie")</f>
        <v>sciany</v>
      </c>
      <c r="I13" s="165" t="str">
        <f t="shared" si="0"/>
        <v>Attyki- Lista elementów -produkcja</v>
      </c>
      <c r="J13" s="165" t="str">
        <f>IF(OR(RIGHT(Tabela_query[[#This Row],[Nazwa]],4)&lt;&gt;"xlsx",ISNUMBER(FIND("Nieaktualne",H13,1))),"Nie","Tak")</f>
        <v>Tak</v>
      </c>
      <c r="K13" s="167"/>
      <c r="L13" s="165"/>
      <c r="M13" s="80"/>
      <c r="Q13"/>
      <c r="R13" t="s">
        <v>1843</v>
      </c>
      <c r="S13" t="s">
        <v>1843</v>
      </c>
      <c r="T13" t="s">
        <v>1844</v>
      </c>
      <c r="U13" t="s">
        <v>165</v>
      </c>
      <c r="V13"/>
    </row>
    <row r="14" spans="1:22" x14ac:dyDescent="0.25">
      <c r="A14" s="142" t="s">
        <v>2083</v>
      </c>
      <c r="B14" s="166">
        <v>44581.472511574073</v>
      </c>
      <c r="C14" s="167" t="s">
        <v>2081</v>
      </c>
      <c r="D14" s="167" t="s">
        <v>5</v>
      </c>
      <c r="E14" s="167" t="s">
        <v>2080</v>
      </c>
      <c r="F14" s="167"/>
      <c r="G14" s="168" t="str">
        <f>IF(OR(RIGHT(Tabela_query[[#This Row],[Nazwa]],4)&lt;&gt;"xlsx",ISNUMBER(FIND("Nieaktualne",E14,1))),"Nie","Tak")</f>
        <v>Tak</v>
      </c>
      <c r="H14" s="168" t="str">
        <f t="array" ref="H14">IF(Tabela_query[[#This Row],[czy brać]]="TAK",INDEX(Skróty_elementów[Arkusz z którego pobiera dane],MATCH(1,COUNTIF(A14,"*"&amp;Skróty_elementów[Ciąg znaków wyszukiwany w nazwie]&amp;"*"),0),1),"Nie")</f>
        <v>sciany</v>
      </c>
      <c r="I14" s="165" t="str">
        <f t="shared" si="0"/>
        <v>Attyki- Lista elementów -budowa</v>
      </c>
      <c r="J14" s="165" t="str">
        <f>IF(OR(RIGHT(Tabela_query[[#This Row],[Nazwa]],4)&lt;&gt;"xlsx",ISNUMBER(FIND("Nieaktualne",H14,1))),"Nie","Tak")</f>
        <v>Tak</v>
      </c>
      <c r="K14" s="167"/>
      <c r="L14" s="165"/>
      <c r="M14" s="80"/>
      <c r="Q14" t="s">
        <v>105</v>
      </c>
      <c r="R14" t="s">
        <v>106</v>
      </c>
      <c r="S14" t="s">
        <v>107</v>
      </c>
      <c r="T14" t="s">
        <v>108</v>
      </c>
      <c r="U14" t="s">
        <v>109</v>
      </c>
      <c r="V14"/>
    </row>
    <row r="15" spans="1:22" hidden="1" x14ac:dyDescent="0.25">
      <c r="A15" s="142" t="s">
        <v>2122</v>
      </c>
      <c r="B15" s="166">
        <v>44587.667060185187</v>
      </c>
      <c r="C15" s="167" t="s">
        <v>2081</v>
      </c>
      <c r="D15" s="167" t="s">
        <v>5</v>
      </c>
      <c r="E15" s="167" t="s">
        <v>2082</v>
      </c>
      <c r="F15" s="167"/>
      <c r="G15" s="168" t="str">
        <f>IF(OR(RIGHT(Tabela_query[[#This Row],[Nazwa]],4)&lt;&gt;"xlsx",ISNUMBER(FIND("Nieaktualne",E15,1))),"Nie","Tak")</f>
        <v>Nie</v>
      </c>
      <c r="H15" s="168" t="str">
        <f t="array" ref="H15">IF(Tabela_query[[#This Row],[czy brać]]="TAK",INDEX(Skróty_elementów[Arkusz z którego pobiera dane],MATCH(1,COUNTIF(A15,"*"&amp;Skróty_elementów[Ciąg znaków wyszukiwany w nazwie]&amp;"*"),0),1),"Nie")</f>
        <v>Nie</v>
      </c>
      <c r="I15" s="165" t="str">
        <f t="shared" si="0"/>
        <v>Obudowy szachtów- Lista elementów -produkcja</v>
      </c>
      <c r="J15" s="168" t="str">
        <f>IF(OR(RIGHT(Tabela_query[[#This Row],[Nazwa]],4)&lt;&gt;"xlsx",ISNUMBER(FIND("Nieaktualne",H15,1))),"Nie","Tak")</f>
        <v>Tak</v>
      </c>
      <c r="K15" s="167"/>
      <c r="L15" s="165"/>
      <c r="M15" s="80"/>
      <c r="Q15" t="s">
        <v>110</v>
      </c>
      <c r="R15" t="s">
        <v>111</v>
      </c>
      <c r="S15" t="s">
        <v>112</v>
      </c>
      <c r="T15" t="s">
        <v>113</v>
      </c>
      <c r="U15" t="s">
        <v>114</v>
      </c>
      <c r="V15"/>
    </row>
    <row r="16" spans="1:22" x14ac:dyDescent="0.25">
      <c r="A16" s="142" t="s">
        <v>2122</v>
      </c>
      <c r="B16" s="166">
        <v>44588.334155092591</v>
      </c>
      <c r="C16" s="167" t="s">
        <v>2081</v>
      </c>
      <c r="D16" s="167" t="s">
        <v>5</v>
      </c>
      <c r="E16" s="167" t="s">
        <v>2080</v>
      </c>
      <c r="F16" s="167"/>
      <c r="G16" s="168" t="str">
        <f>IF(OR(RIGHT(Tabela_query[[#This Row],[Nazwa]],4)&lt;&gt;"xlsx",ISNUMBER(FIND("Nieaktualne",E16,1))),"Nie","Tak")</f>
        <v>Tak</v>
      </c>
      <c r="H16" s="168" t="str">
        <f t="array" ref="H16">IF(Tabela_query[[#This Row],[czy brać]]="TAK",INDEX(Skróty_elementów[Arkusz z którego pobiera dane],MATCH(1,COUNTIF(A16,"*"&amp;Skróty_elementów[Ciąg znaków wyszukiwany w nazwie]&amp;"*"),0),1),"Nie")</f>
        <v>sciany</v>
      </c>
      <c r="I16" s="165" t="str">
        <f t="shared" si="0"/>
        <v>Obudowy szachtów- Lista elementów -produkcja</v>
      </c>
      <c r="J16" s="168" t="str">
        <f>IF(OR(RIGHT(Tabela_query[[#This Row],[Nazwa]],4)&lt;&gt;"xlsx",ISNUMBER(FIND("Nieaktualne",H16,1))),"Nie","Tak")</f>
        <v>Tak</v>
      </c>
      <c r="K16" s="167"/>
      <c r="L16" s="165"/>
      <c r="M16" s="80"/>
      <c r="Q16" t="s">
        <v>161</v>
      </c>
      <c r="R16" t="s">
        <v>225</v>
      </c>
      <c r="S16" t="s">
        <v>226</v>
      </c>
      <c r="T16" t="s">
        <v>226</v>
      </c>
      <c r="U16" t="s">
        <v>165</v>
      </c>
      <c r="V16"/>
    </row>
    <row r="17" spans="1:22" x14ac:dyDescent="0.25">
      <c r="A17" s="142" t="s">
        <v>2207</v>
      </c>
      <c r="B17" s="166">
        <v>44588.625405092593</v>
      </c>
      <c r="C17" s="167" t="s">
        <v>2081</v>
      </c>
      <c r="D17" s="167" t="s">
        <v>5</v>
      </c>
      <c r="E17" s="167" t="s">
        <v>2080</v>
      </c>
      <c r="F17" s="167"/>
      <c r="G17" s="168" t="str">
        <f>IF(OR(RIGHT(Tabela_query[[#This Row],[Nazwa]],4)&lt;&gt;"xlsx",ISNUMBER(FIND("Nieaktualne",E17,1))),"Nie","Tak")</f>
        <v>Tak</v>
      </c>
      <c r="H17" s="168" t="str">
        <f t="array" ref="H17">IF(Tabela_query[[#This Row],[czy brać]]="TAK",INDEX(Skróty_elementów[Arkusz z którego pobiera dane],MATCH(1,COUNTIF(A17,"*"&amp;Skróty_elementów[Ciąg znaków wyszukiwany w nazwie]&amp;"*"),0),1),"Nie")</f>
        <v>sciany</v>
      </c>
      <c r="I17" s="165" t="str">
        <f t="shared" si="0"/>
        <v>Obudowy szachtów- Lista elementów -budowa</v>
      </c>
      <c r="J17" s="168" t="str">
        <f>IF(OR(RIGHT(Tabela_query[[#This Row],[Nazwa]],4)&lt;&gt;"xlsx",ISNUMBER(FIND("Nieaktualne",H17,1))),"Nie","Tak")</f>
        <v>Tak</v>
      </c>
      <c r="K17" s="167"/>
      <c r="L17" s="165"/>
      <c r="M17" s="80"/>
      <c r="Q17" t="s">
        <v>115</v>
      </c>
      <c r="R17" t="s">
        <v>116</v>
      </c>
      <c r="S17" t="s">
        <v>117</v>
      </c>
      <c r="T17" t="s">
        <v>118</v>
      </c>
      <c r="U17" t="s">
        <v>114</v>
      </c>
      <c r="V17"/>
    </row>
    <row r="18" spans="1:22" x14ac:dyDescent="0.25">
      <c r="A18" s="142" t="s">
        <v>2209</v>
      </c>
      <c r="B18" s="166">
        <v>44589.379930555559</v>
      </c>
      <c r="C18" s="167" t="s">
        <v>2204</v>
      </c>
      <c r="D18" s="167" t="s">
        <v>5</v>
      </c>
      <c r="E18" s="167" t="s">
        <v>2080</v>
      </c>
      <c r="F18" s="167"/>
      <c r="G18" s="168" t="str">
        <f>IF(OR(RIGHT(Tabela_query[[#This Row],[Nazwa]],4)&lt;&gt;"xlsx",ISNUMBER(FIND("Nieaktualne",E18,1))),"Nie","Tak")</f>
        <v>Tak</v>
      </c>
      <c r="H18" s="168" t="str">
        <f t="array" ref="H18">IF(Tabela_query[[#This Row],[czy brać]]="TAK",INDEX(Skróty_elementów[Arkusz z którego pobiera dane],MATCH(1,COUNTIF(A18,"*"&amp;Skróty_elementów[Ciąg znaków wyszukiwany w nazwie]&amp;"*"),0),1),"Nie")</f>
        <v>materialy</v>
      </c>
      <c r="I18" s="165" t="str">
        <f t="shared" si="0"/>
        <v>Trapy balkonów - lista klinów</v>
      </c>
      <c r="J18" s="168" t="str">
        <f>IF(OR(RIGHT(Tabela_query[[#This Row],[Nazwa]],4)&lt;&gt;"xlsx",ISNUMBER(FIND("Nieaktualne",H18,1))),"Nie","Tak")</f>
        <v>Tak</v>
      </c>
      <c r="K18" s="167"/>
      <c r="L18" s="165"/>
      <c r="M18" s="80"/>
      <c r="Q18" t="s">
        <v>119</v>
      </c>
      <c r="R18" t="s">
        <v>120</v>
      </c>
      <c r="S18" t="s">
        <v>121</v>
      </c>
      <c r="T18" t="s">
        <v>122</v>
      </c>
      <c r="U18" t="s">
        <v>114</v>
      </c>
      <c r="V18"/>
    </row>
    <row r="19" spans="1:22" x14ac:dyDescent="0.25">
      <c r="A19" s="142" t="s">
        <v>2208</v>
      </c>
      <c r="B19" s="166">
        <v>44589.383969907409</v>
      </c>
      <c r="C19" s="167" t="s">
        <v>2204</v>
      </c>
      <c r="D19" s="167" t="s">
        <v>5</v>
      </c>
      <c r="E19" s="167" t="s">
        <v>2080</v>
      </c>
      <c r="F19" s="167"/>
      <c r="G19" s="168" t="str">
        <f>IF(OR(RIGHT(Tabela_query[[#This Row],[Nazwa]],4)&lt;&gt;"xlsx",ISNUMBER(FIND("Nieaktualne",E19,1))),"Nie","Tak")</f>
        <v>Tak</v>
      </c>
      <c r="H19" s="168" t="str">
        <f t="array" ref="H19">IF(Tabela_query[[#This Row],[czy brać]]="TAK",INDEX(Skróty_elementów[Arkusz z którego pobiera dane],MATCH(1,COUNTIF(A19,"*"&amp;Skróty_elementów[Ciąg znaków wyszukiwany w nazwie]&amp;"*"),0),1),"Nie")</f>
        <v>panele</v>
      </c>
      <c r="I19" s="165" t="str">
        <f t="shared" si="0"/>
        <v>Trapy balkonów - lista elementów</v>
      </c>
      <c r="J19" s="168" t="str">
        <f>IF(OR(RIGHT(Tabela_query[[#This Row],[Nazwa]],4)&lt;&gt;"xlsx",ISNUMBER(FIND("Nieaktualne",H19,1))),"Nie","Tak")</f>
        <v>Tak</v>
      </c>
      <c r="K19" s="167"/>
      <c r="L19" s="165"/>
      <c r="M19" s="80"/>
      <c r="Q19" t="s">
        <v>123</v>
      </c>
      <c r="R19" t="s">
        <v>124</v>
      </c>
      <c r="S19" t="s">
        <v>125</v>
      </c>
      <c r="T19" t="s">
        <v>126</v>
      </c>
      <c r="U19" t="s">
        <v>114</v>
      </c>
      <c r="V19"/>
    </row>
    <row r="20" spans="1:22" x14ac:dyDescent="0.25">
      <c r="A20" s="142" t="s">
        <v>2205</v>
      </c>
      <c r="B20" s="166">
        <v>44589.385277777779</v>
      </c>
      <c r="C20" s="167" t="s">
        <v>2204</v>
      </c>
      <c r="D20" s="167" t="s">
        <v>5</v>
      </c>
      <c r="E20" s="167" t="s">
        <v>2080</v>
      </c>
      <c r="F20" s="167"/>
      <c r="G20" s="168" t="str">
        <f>IF(OR(RIGHT(Tabela_query[[#This Row],[Nazwa]],4)&lt;&gt;"xlsx",ISNUMBER(FIND("Nieaktualne",E20,1))),"Nie","Tak")</f>
        <v>Tak</v>
      </c>
      <c r="H20" s="168" t="str">
        <f t="array" ref="H20">IF(Tabela_query[[#This Row],[czy brać]]="TAK",INDEX(Skróty_elementów[Arkusz z którego pobiera dane],MATCH(1,COUNTIF(A20,"*"&amp;Skróty_elementów[Ciąg znaków wyszukiwany w nazwie]&amp;"*"),0),1),"Nie")</f>
        <v>panele</v>
      </c>
      <c r="I20" s="165" t="str">
        <f t="shared" si="0"/>
        <v>Balkony - lista elementów</v>
      </c>
      <c r="J20" s="168" t="str">
        <f>IF(OR(RIGHT(Tabela_query[[#This Row],[Nazwa]],4)&lt;&gt;"xlsx",ISNUMBER(FIND("Nieaktualne",H20,1))),"Nie","Tak")</f>
        <v>Tak</v>
      </c>
      <c r="K20" s="167"/>
      <c r="L20" s="165"/>
      <c r="M20" s="80"/>
      <c r="Q20" t="s">
        <v>127</v>
      </c>
      <c r="R20" t="s">
        <v>128</v>
      </c>
      <c r="S20" t="s">
        <v>129</v>
      </c>
      <c r="T20" t="s">
        <v>130</v>
      </c>
      <c r="U20" t="s">
        <v>114</v>
      </c>
      <c r="V20"/>
    </row>
    <row r="21" spans="1:22" x14ac:dyDescent="0.25">
      <c r="A21" s="142" t="s">
        <v>2206</v>
      </c>
      <c r="B21" s="166">
        <v>44589.386701388888</v>
      </c>
      <c r="C21" s="167" t="s">
        <v>2204</v>
      </c>
      <c r="D21" s="167" t="s">
        <v>5</v>
      </c>
      <c r="E21" s="167" t="s">
        <v>2080</v>
      </c>
      <c r="F21" s="167"/>
      <c r="G21" s="168" t="str">
        <f>IF(OR(RIGHT(Tabela_query[[#This Row],[Nazwa]],4)&lt;&gt;"xlsx",ISNUMBER(FIND("Nieaktualne",E21,1))),"Nie","Tak")</f>
        <v>Tak</v>
      </c>
      <c r="H21" s="168" t="str">
        <f t="array" ref="H21">IF(Tabela_query[[#This Row],[czy brać]]="TAK",INDEX(Skróty_elementów[Arkusz z którego pobiera dane],MATCH(1,COUNTIF(A21,"*"&amp;Skróty_elementów[Ciąg znaków wyszukiwany w nazwie]&amp;"*"),0),1),"Nie")</f>
        <v>materialy</v>
      </c>
      <c r="I21" s="165" t="str">
        <f t="shared" si="0"/>
        <v>Balkony - lista klinów</v>
      </c>
      <c r="J21" s="168" t="str">
        <f>IF(OR(RIGHT(Tabela_query[[#This Row],[Nazwa]],4)&lt;&gt;"xlsx",ISNUMBER(FIND("Nieaktualne",H21,1))),"Nie","Tak")</f>
        <v>Tak</v>
      </c>
      <c r="K21" s="167"/>
      <c r="L21" s="165"/>
      <c r="M21" s="80"/>
      <c r="Q21" t="s">
        <v>131</v>
      </c>
      <c r="R21" t="s">
        <v>132</v>
      </c>
      <c r="S21" t="s">
        <v>129</v>
      </c>
      <c r="T21" t="s">
        <v>130</v>
      </c>
      <c r="U21" t="s">
        <v>114</v>
      </c>
      <c r="V21"/>
    </row>
    <row r="22" spans="1:22" x14ac:dyDescent="0.25">
      <c r="A22" s="142" t="s">
        <v>2333</v>
      </c>
      <c r="B22" s="166">
        <v>44607.298217592594</v>
      </c>
      <c r="C22" s="167" t="s">
        <v>2081</v>
      </c>
      <c r="D22" s="167" t="s">
        <v>5</v>
      </c>
      <c r="E22" s="167" t="s">
        <v>2080</v>
      </c>
      <c r="F22" s="167"/>
      <c r="G22" s="168" t="str">
        <f>IF(OR(RIGHT(Tabela_query[[#This Row],[Nazwa]],4)&lt;&gt;"xlsx",ISNUMBER(FIND("Nieaktualne",E22,1))),"Nie","Tak")</f>
        <v>Tak</v>
      </c>
      <c r="H22" s="168" t="str">
        <f t="array" ref="H22">IF(Tabela_query[[#This Row],[czy brać]]="TAK",INDEX(Skróty_elementów[Arkusz z którego pobiera dane],MATCH(1,COUNTIF(A22,"*"&amp;Skróty_elementów[Ciąg znaków wyszukiwany w nazwie]&amp;"*"),0),1),"Nie")</f>
        <v>sciany</v>
      </c>
      <c r="I22" s="165" t="str">
        <f t="shared" si="0"/>
        <v>Obudowy szachtów- Lista elementów -budowa cz</v>
      </c>
      <c r="J22" s="168" t="str">
        <f>IF(OR(RIGHT(Tabela_query[[#This Row],[Nazwa]],4)&lt;&gt;"xlsx",ISNUMBER(FIND("Nieaktualne",H22,1))),"Nie","Tak")</f>
        <v>Tak</v>
      </c>
      <c r="K22" s="167"/>
      <c r="L22" s="165"/>
      <c r="M22" s="80"/>
      <c r="Q22" t="s">
        <v>133</v>
      </c>
      <c r="R22" t="s">
        <v>134</v>
      </c>
      <c r="S22" t="s">
        <v>135</v>
      </c>
      <c r="T22" t="s">
        <v>136</v>
      </c>
      <c r="U22" t="s">
        <v>114</v>
      </c>
      <c r="V22"/>
    </row>
    <row r="23" spans="1:22" x14ac:dyDescent="0.25">
      <c r="A23" s="142" t="s">
        <v>2334</v>
      </c>
      <c r="B23" s="166">
        <v>44607.298263888886</v>
      </c>
      <c r="C23" s="167" t="s">
        <v>2081</v>
      </c>
      <c r="D23" s="167" t="s">
        <v>5</v>
      </c>
      <c r="E23" s="167" t="s">
        <v>2080</v>
      </c>
      <c r="F23" s="167"/>
      <c r="G23" s="168" t="str">
        <f>IF(OR(RIGHT(Tabela_query[[#This Row],[Nazwa]],4)&lt;&gt;"xlsx",ISNUMBER(FIND("Nieaktualne",E23,1))),"Nie","Tak")</f>
        <v>Tak</v>
      </c>
      <c r="H23" s="168" t="str">
        <f t="array" ref="H23">IF(Tabela_query[[#This Row],[czy brać]]="TAK",INDEX(Skróty_elementów[Arkusz z którego pobiera dane],MATCH(1,COUNTIF(A23,"*"&amp;Skróty_elementów[Ciąg znaków wyszukiwany w nazwie]&amp;"*"),0),1),"Nie")</f>
        <v>sciany</v>
      </c>
      <c r="I23" s="165" t="str">
        <f t="shared" si="0"/>
        <v>Obudowy szachtów- Lista elementów -produkcja cz</v>
      </c>
      <c r="J23" s="168" t="str">
        <f>IF(OR(RIGHT(Tabela_query[[#This Row],[Nazwa]],4)&lt;&gt;"xlsx",ISNUMBER(FIND("Nieaktualne",H23,1))),"Nie","Tak")</f>
        <v>Tak</v>
      </c>
      <c r="K23" s="167"/>
      <c r="L23" s="165"/>
      <c r="M23" s="80"/>
      <c r="Q23" t="s">
        <v>137</v>
      </c>
      <c r="R23" t="s">
        <v>138</v>
      </c>
      <c r="S23" t="s">
        <v>139</v>
      </c>
      <c r="T23" t="s">
        <v>139</v>
      </c>
      <c r="U23" t="s">
        <v>114</v>
      </c>
      <c r="V23"/>
    </row>
    <row r="24" spans="1:22" x14ac:dyDescent="0.25">
      <c r="A24" s="142" t="s">
        <v>2332</v>
      </c>
      <c r="B24" s="166">
        <v>44607.570300925923</v>
      </c>
      <c r="C24" s="167" t="s">
        <v>2331</v>
      </c>
      <c r="D24" s="167" t="s">
        <v>5</v>
      </c>
      <c r="E24" s="167" t="s">
        <v>2080</v>
      </c>
      <c r="F24" s="167"/>
      <c r="G24" s="168" t="str">
        <f>IF(OR(RIGHT(Tabela_query[[#This Row],[Nazwa]],4)&lt;&gt;"xlsx",ISNUMBER(FIND("Nieaktualne",E24,1))),"Nie","Tak")</f>
        <v>Tak</v>
      </c>
      <c r="H24" s="168" t="str">
        <f t="array" ref="H24">IF(Tabela_query[[#This Row],[czy brać]]="TAK",INDEX(Skróty_elementów[Arkusz z którego pobiera dane],MATCH(1,COUNTIF(A24,"*"&amp;Skróty_elementów[Ciąg znaków wyszukiwany w nazwie]&amp;"*"),0),1),"Nie")</f>
        <v>sciany</v>
      </c>
      <c r="I24" s="165" t="str">
        <f t="shared" si="0"/>
        <v>Dobitka przy kotłowni - Lista elementów</v>
      </c>
      <c r="J24" s="168" t="str">
        <f>IF(OR(RIGHT(Tabela_query[[#This Row],[Nazwa]],4)&lt;&gt;"xlsx",ISNUMBER(FIND("Nieaktualne",H24,1))),"Nie","Tak")</f>
        <v>Tak</v>
      </c>
      <c r="K24" s="167"/>
      <c r="L24" s="165"/>
      <c r="M24" s="80"/>
      <c r="Q24" t="s">
        <v>140</v>
      </c>
      <c r="R24" t="s">
        <v>141</v>
      </c>
      <c r="S24" t="s">
        <v>135</v>
      </c>
      <c r="T24" t="s">
        <v>136</v>
      </c>
      <c r="U24" t="s">
        <v>114</v>
      </c>
      <c r="V24"/>
    </row>
    <row r="25" spans="1:22" x14ac:dyDescent="0.25">
      <c r="M25" s="80"/>
      <c r="Q25" t="s">
        <v>142</v>
      </c>
      <c r="R25" t="s">
        <v>143</v>
      </c>
      <c r="S25" t="s">
        <v>139</v>
      </c>
      <c r="T25" t="s">
        <v>144</v>
      </c>
      <c r="U25" t="s">
        <v>114</v>
      </c>
      <c r="V25"/>
    </row>
    <row r="26" spans="1:22" x14ac:dyDescent="0.25">
      <c r="M26" s="80"/>
      <c r="Q26" t="s">
        <v>145</v>
      </c>
      <c r="R26" t="s">
        <v>146</v>
      </c>
      <c r="S26" t="s">
        <v>147</v>
      </c>
      <c r="T26" t="s">
        <v>148</v>
      </c>
      <c r="U26" t="s">
        <v>114</v>
      </c>
      <c r="V26"/>
    </row>
    <row r="27" spans="1:22" x14ac:dyDescent="0.25">
      <c r="A27" s="160"/>
      <c r="M27" s="80"/>
      <c r="Q27" t="s">
        <v>149</v>
      </c>
      <c r="R27" t="s">
        <v>150</v>
      </c>
      <c r="S27" t="s">
        <v>147</v>
      </c>
      <c r="T27" t="s">
        <v>148</v>
      </c>
      <c r="U27" t="s">
        <v>114</v>
      </c>
      <c r="V27"/>
    </row>
    <row r="28" spans="1:22" x14ac:dyDescent="0.25">
      <c r="M28" s="80"/>
      <c r="Q28" t="s">
        <v>151</v>
      </c>
      <c r="R28" t="s">
        <v>152</v>
      </c>
      <c r="S28" t="s">
        <v>147</v>
      </c>
      <c r="T28" t="s">
        <v>148</v>
      </c>
      <c r="U28" t="s">
        <v>114</v>
      </c>
      <c r="V28"/>
    </row>
    <row r="29" spans="1:22" x14ac:dyDescent="0.25">
      <c r="M29" s="80"/>
      <c r="Q29" t="s">
        <v>153</v>
      </c>
      <c r="R29" t="s">
        <v>154</v>
      </c>
      <c r="S29" t="s">
        <v>147</v>
      </c>
      <c r="T29" t="s">
        <v>148</v>
      </c>
      <c r="U29" t="s">
        <v>114</v>
      </c>
      <c r="V29"/>
    </row>
    <row r="30" spans="1:22" x14ac:dyDescent="0.25">
      <c r="M30" s="80"/>
      <c r="Q30" t="s">
        <v>155</v>
      </c>
      <c r="R30" t="s">
        <v>156</v>
      </c>
      <c r="S30" t="s">
        <v>147</v>
      </c>
      <c r="T30" t="s">
        <v>148</v>
      </c>
      <c r="U30" t="s">
        <v>114</v>
      </c>
      <c r="V30"/>
    </row>
    <row r="31" spans="1:22" x14ac:dyDescent="0.25">
      <c r="Q31" t="s">
        <v>157</v>
      </c>
      <c r="R31" t="s">
        <v>158</v>
      </c>
      <c r="S31" t="s">
        <v>159</v>
      </c>
      <c r="T31" t="s">
        <v>160</v>
      </c>
      <c r="U31" t="s">
        <v>114</v>
      </c>
      <c r="V31"/>
    </row>
    <row r="32" spans="1:22" x14ac:dyDescent="0.25">
      <c r="Q32" t="s">
        <v>161</v>
      </c>
      <c r="R32" t="s">
        <v>162</v>
      </c>
      <c r="S32" t="s">
        <v>163</v>
      </c>
      <c r="T32" t="s">
        <v>164</v>
      </c>
      <c r="U32" t="s">
        <v>165</v>
      </c>
      <c r="V32"/>
    </row>
    <row r="33" spans="17:22" x14ac:dyDescent="0.25">
      <c r="Q33" t="s">
        <v>166</v>
      </c>
      <c r="R33" t="s">
        <v>167</v>
      </c>
      <c r="S33" t="s">
        <v>163</v>
      </c>
      <c r="T33" t="s">
        <v>164</v>
      </c>
      <c r="U33" t="s">
        <v>165</v>
      </c>
      <c r="V33"/>
    </row>
    <row r="34" spans="17:22" x14ac:dyDescent="0.25">
      <c r="Q34" t="s">
        <v>168</v>
      </c>
      <c r="R34" t="s">
        <v>169</v>
      </c>
      <c r="S34" t="s">
        <v>170</v>
      </c>
      <c r="T34" t="s">
        <v>171</v>
      </c>
      <c r="U34" t="s">
        <v>165</v>
      </c>
      <c r="V34"/>
    </row>
    <row r="35" spans="17:22" x14ac:dyDescent="0.25">
      <c r="Q35" t="s">
        <v>172</v>
      </c>
      <c r="R35" t="s">
        <v>173</v>
      </c>
      <c r="S35" t="s">
        <v>174</v>
      </c>
      <c r="T35" t="s">
        <v>175</v>
      </c>
      <c r="U35" t="s">
        <v>165</v>
      </c>
      <c r="V35"/>
    </row>
    <row r="36" spans="17:22" x14ac:dyDescent="0.25">
      <c r="Q36" t="s">
        <v>176</v>
      </c>
      <c r="R36" t="s">
        <v>177</v>
      </c>
      <c r="S36" t="s">
        <v>174</v>
      </c>
      <c r="T36" t="s">
        <v>175</v>
      </c>
      <c r="U36" t="s">
        <v>165</v>
      </c>
      <c r="V36"/>
    </row>
    <row r="37" spans="17:22" x14ac:dyDescent="0.25">
      <c r="Q37" t="s">
        <v>178</v>
      </c>
      <c r="R37" t="s">
        <v>179</v>
      </c>
      <c r="S37" t="s">
        <v>180</v>
      </c>
      <c r="T37" t="s">
        <v>181</v>
      </c>
      <c r="U37" t="s">
        <v>165</v>
      </c>
      <c r="V37"/>
    </row>
    <row r="38" spans="17:22" x14ac:dyDescent="0.25">
      <c r="Q38" t="s">
        <v>182</v>
      </c>
      <c r="R38" t="s">
        <v>183</v>
      </c>
      <c r="S38" t="s">
        <v>184</v>
      </c>
      <c r="T38" t="s">
        <v>185</v>
      </c>
      <c r="U38" t="s">
        <v>165</v>
      </c>
      <c r="V38"/>
    </row>
    <row r="39" spans="17:22" x14ac:dyDescent="0.25">
      <c r="Q39"/>
      <c r="R39"/>
      <c r="S39"/>
      <c r="T39"/>
      <c r="U39" t="s">
        <v>186</v>
      </c>
      <c r="V39"/>
    </row>
    <row r="40" spans="17:22" x14ac:dyDescent="0.25">
      <c r="Q40"/>
      <c r="R40"/>
      <c r="S40"/>
      <c r="T40"/>
      <c r="U40"/>
      <c r="V40"/>
    </row>
    <row r="41" spans="17:22" x14ac:dyDescent="0.25">
      <c r="Q41"/>
      <c r="R41"/>
      <c r="S41"/>
      <c r="T41"/>
      <c r="U41"/>
      <c r="V41"/>
    </row>
    <row r="42" spans="17:22" x14ac:dyDescent="0.25">
      <c r="Q42" t="s">
        <v>187</v>
      </c>
      <c r="R42" t="s">
        <v>89</v>
      </c>
      <c r="S42" t="s">
        <v>5</v>
      </c>
      <c r="T42" t="s">
        <v>188</v>
      </c>
      <c r="U42" t="s">
        <v>189</v>
      </c>
      <c r="V42"/>
    </row>
    <row r="43" spans="17:22" x14ac:dyDescent="0.25">
      <c r="Q43" t="s">
        <v>190</v>
      </c>
      <c r="R43" t="s">
        <v>106</v>
      </c>
      <c r="S43" t="s">
        <v>107</v>
      </c>
      <c r="T43" t="s">
        <v>108</v>
      </c>
      <c r="U43" t="s">
        <v>189</v>
      </c>
      <c r="V43"/>
    </row>
    <row r="44" spans="17:22" x14ac:dyDescent="0.25">
      <c r="Q44" t="s">
        <v>191</v>
      </c>
      <c r="R44" t="s">
        <v>192</v>
      </c>
      <c r="S44" t="s">
        <v>107</v>
      </c>
      <c r="T44" t="s">
        <v>108</v>
      </c>
      <c r="U44" t="s">
        <v>189</v>
      </c>
      <c r="V44"/>
    </row>
    <row r="45" spans="17:22" x14ac:dyDescent="0.25">
      <c r="Q45" t="s">
        <v>193</v>
      </c>
      <c r="R45" t="s">
        <v>194</v>
      </c>
      <c r="S45" t="s">
        <v>107</v>
      </c>
      <c r="T45" t="s">
        <v>108</v>
      </c>
      <c r="U45" t="s">
        <v>189</v>
      </c>
      <c r="V45"/>
    </row>
  </sheetData>
  <hyperlinks>
    <hyperlink ref="A11" r:id="rId1" xr:uid="{00000000-0004-0000-0E00-000000000000}"/>
    <hyperlink ref="A14" r:id="rId2" xr:uid="{00000000-0004-0000-0E00-000001000000}"/>
    <hyperlink ref="A13" r:id="rId3" xr:uid="{00000000-0004-0000-0E00-000002000000}"/>
    <hyperlink ref="A20" r:id="rId4" xr:uid="{00000000-0004-0000-0E00-000003000000}"/>
    <hyperlink ref="A21" r:id="rId5" xr:uid="{00000000-0004-0000-0E00-000004000000}"/>
    <hyperlink ref="A24" r:id="rId6" xr:uid="{00000000-0004-0000-0E00-000005000000}"/>
    <hyperlink ref="A22" r:id="rId7" xr:uid="{00000000-0004-0000-0E00-000006000000}"/>
    <hyperlink ref="A17" r:id="rId8" xr:uid="{00000000-0004-0000-0E00-000007000000}"/>
    <hyperlink ref="A23" r:id="rId9" xr:uid="{00000000-0004-0000-0E00-000008000000}"/>
    <hyperlink ref="A16" r:id="rId10" xr:uid="{00000000-0004-0000-0E00-000009000000}"/>
    <hyperlink ref="A19" r:id="rId11" xr:uid="{00000000-0004-0000-0E00-00000A000000}"/>
    <hyperlink ref="A18" r:id="rId12" xr:uid="{00000000-0004-0000-0E00-00000B000000}"/>
    <hyperlink ref="A12" r:id="rId13" xr:uid="{00000000-0004-0000-0E00-00000C000000}"/>
    <hyperlink ref="A15" r:id="rId14" xr:uid="{00000000-0004-0000-0E00-00000D000000}"/>
  </hyperlinks>
  <pageMargins left="0.7" right="0.7" top="0.75" bottom="0.75" header="0.3" footer="0.3"/>
  <pageSetup paperSize="9" orientation="portrait" r:id="rId15"/>
  <drawing r:id="rId16"/>
  <tableParts count="2">
    <tablePart r:id="rId17"/>
    <tablePart r:id="rId18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usz25"/>
  <dimension ref="A1:BE1444"/>
  <sheetViews>
    <sheetView showGridLines="0" zoomScale="85" zoomScaleNormal="85" workbookViewId="0">
      <selection activeCell="V25" sqref="V25"/>
    </sheetView>
  </sheetViews>
  <sheetFormatPr defaultRowHeight="15" x14ac:dyDescent="0.25"/>
  <cols>
    <col min="5" max="9" width="8.7109375" customWidth="1"/>
    <col min="24" max="24" width="33" bestFit="1" customWidth="1"/>
    <col min="25" max="25" width="5.42578125" bestFit="1" customWidth="1"/>
    <col min="26" max="26" width="12.85546875" bestFit="1" customWidth="1"/>
    <col min="29" max="29" width="17.7109375" bestFit="1" customWidth="1"/>
    <col min="30" max="30" width="19.42578125" bestFit="1" customWidth="1"/>
    <col min="34" max="34" width="17.7109375" bestFit="1" customWidth="1"/>
    <col min="35" max="35" width="19.42578125" bestFit="1" customWidth="1"/>
    <col min="38" max="38" width="17.7109375" bestFit="1" customWidth="1"/>
    <col min="39" max="39" width="19.42578125" bestFit="1" customWidth="1"/>
    <col min="45" max="45" width="17.7109375" bestFit="1" customWidth="1"/>
    <col min="46" max="46" width="11.5703125" bestFit="1" customWidth="1"/>
    <col min="51" max="51" width="17.7109375" bestFit="1" customWidth="1"/>
    <col min="52" max="52" width="11.5703125" bestFit="1" customWidth="1"/>
    <col min="56" max="56" width="17.7109375" bestFit="1" customWidth="1"/>
    <col min="57" max="57" width="11.5703125" bestFit="1" customWidth="1"/>
  </cols>
  <sheetData>
    <row r="1" spans="1:57" ht="18.75" x14ac:dyDescent="0.3">
      <c r="A1" s="210" t="s">
        <v>236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</row>
    <row r="2" spans="1:57" ht="133.15" customHeight="1" x14ac:dyDescent="0.25"/>
    <row r="3" spans="1:57" x14ac:dyDescent="0.25">
      <c r="A3" s="211" t="s">
        <v>237</v>
      </c>
      <c r="B3" s="211"/>
      <c r="C3" s="211"/>
      <c r="D3" s="211"/>
      <c r="E3" s="211"/>
      <c r="F3" s="211"/>
      <c r="G3" s="211"/>
      <c r="H3" s="211"/>
      <c r="I3" s="211"/>
      <c r="J3" s="211"/>
      <c r="K3" s="211"/>
      <c r="M3" s="211" t="s">
        <v>238</v>
      </c>
      <c r="N3" s="211"/>
      <c r="O3" s="211"/>
      <c r="P3" s="211"/>
      <c r="Q3" s="211"/>
      <c r="R3" s="211"/>
      <c r="S3" s="211"/>
      <c r="T3" s="211"/>
      <c r="U3" s="211"/>
      <c r="V3" s="211"/>
      <c r="W3" s="211"/>
    </row>
    <row r="4" spans="1:57" x14ac:dyDescent="0.25">
      <c r="A4" s="138"/>
      <c r="B4" s="138"/>
      <c r="C4" s="138"/>
      <c r="D4" s="138"/>
      <c r="E4" s="138"/>
      <c r="F4" s="138"/>
      <c r="G4" s="138"/>
      <c r="H4" s="138"/>
      <c r="I4" s="138"/>
      <c r="J4" s="138"/>
      <c r="K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5" t="s">
        <v>208</v>
      </c>
      <c r="Y4" s="135" t="s">
        <v>239</v>
      </c>
      <c r="Z4" s="135" t="s">
        <v>240</v>
      </c>
      <c r="AC4" s="85" t="s">
        <v>208</v>
      </c>
      <c r="AD4" t="s">
        <v>241</v>
      </c>
      <c r="AH4" s="85" t="s">
        <v>208</v>
      </c>
      <c r="AI4" t="s">
        <v>241</v>
      </c>
      <c r="AL4" s="85" t="s">
        <v>208</v>
      </c>
      <c r="AM4" t="s">
        <v>241</v>
      </c>
      <c r="AS4" s="85" t="s">
        <v>208</v>
      </c>
      <c r="AT4" t="s">
        <v>242</v>
      </c>
      <c r="AY4" s="85" t="s">
        <v>208</v>
      </c>
      <c r="AZ4" t="s">
        <v>242</v>
      </c>
      <c r="BD4" s="85" t="s">
        <v>208</v>
      </c>
      <c r="BE4" t="s">
        <v>242</v>
      </c>
    </row>
    <row r="5" spans="1:57" x14ac:dyDescent="0.25">
      <c r="A5" s="138"/>
      <c r="B5" s="138"/>
      <c r="C5" s="138"/>
      <c r="D5" s="138"/>
      <c r="E5" s="138"/>
      <c r="F5" s="138"/>
      <c r="G5" s="138"/>
      <c r="H5" s="138"/>
      <c r="I5" s="138"/>
      <c r="J5" s="138"/>
      <c r="K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6" t="s">
        <v>72</v>
      </c>
      <c r="Y5" s="140">
        <v>29</v>
      </c>
      <c r="Z5" s="141">
        <v>140.15517792095355</v>
      </c>
      <c r="AC5" s="86" t="s">
        <v>207</v>
      </c>
      <c r="AD5" s="139">
        <v>2419.585119866852</v>
      </c>
      <c r="AH5" s="86" t="s">
        <v>206</v>
      </c>
      <c r="AI5" s="139">
        <v>2419.585119866852</v>
      </c>
      <c r="AL5" s="86" t="s">
        <v>206</v>
      </c>
      <c r="AM5" s="139">
        <v>2419.585119866852</v>
      </c>
      <c r="AS5" s="86" t="s">
        <v>207</v>
      </c>
      <c r="AT5" s="1">
        <v>1362</v>
      </c>
      <c r="AY5" s="86" t="s">
        <v>206</v>
      </c>
      <c r="AZ5" s="1">
        <v>1362</v>
      </c>
      <c r="BD5" s="86" t="s">
        <v>206</v>
      </c>
      <c r="BE5" s="1">
        <v>1362</v>
      </c>
    </row>
    <row r="6" spans="1:57" x14ac:dyDescent="0.25">
      <c r="A6" s="138"/>
      <c r="B6" s="138"/>
      <c r="C6" s="138"/>
      <c r="D6" s="138"/>
      <c r="E6" s="138"/>
      <c r="F6" s="138"/>
      <c r="G6" s="138"/>
      <c r="H6" s="138"/>
      <c r="I6" s="138"/>
      <c r="J6" s="138"/>
      <c r="K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7" t="s">
        <v>1167</v>
      </c>
      <c r="Y6" s="140">
        <v>1</v>
      </c>
      <c r="Z6" s="141">
        <v>4.3874997857232607</v>
      </c>
      <c r="AC6" s="86" t="s">
        <v>1779</v>
      </c>
      <c r="AD6" s="139">
        <v>119.79764330830606</v>
      </c>
      <c r="AH6" s="164">
        <v>44506</v>
      </c>
      <c r="AI6" s="139">
        <v>45.61167710242001</v>
      </c>
      <c r="AL6" s="87" t="s">
        <v>235</v>
      </c>
      <c r="AM6" s="139">
        <v>2419.585119866852</v>
      </c>
      <c r="AS6" s="86" t="s">
        <v>1779</v>
      </c>
      <c r="AT6" s="1">
        <v>61</v>
      </c>
      <c r="AY6" s="164">
        <v>44506</v>
      </c>
      <c r="AZ6" s="1">
        <v>25</v>
      </c>
      <c r="BD6" s="87" t="s">
        <v>235</v>
      </c>
      <c r="BE6" s="1">
        <v>1362</v>
      </c>
    </row>
    <row r="7" spans="1:57" x14ac:dyDescent="0.25">
      <c r="A7" s="138"/>
      <c r="B7" s="138"/>
      <c r="C7" s="138"/>
      <c r="D7" s="138"/>
      <c r="E7" s="138"/>
      <c r="F7" s="138"/>
      <c r="G7" s="138"/>
      <c r="H7" s="138"/>
      <c r="I7" s="138"/>
      <c r="J7" s="138"/>
      <c r="K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7" t="s">
        <v>1168</v>
      </c>
      <c r="Y7" s="140">
        <v>1</v>
      </c>
      <c r="Z7" s="141">
        <v>4.2120776392098689</v>
      </c>
      <c r="AC7" s="86" t="s">
        <v>209</v>
      </c>
      <c r="AD7" s="139">
        <v>2539.3827631751578</v>
      </c>
      <c r="AH7" s="164">
        <v>44529</v>
      </c>
      <c r="AI7" s="139">
        <v>22.297599801339501</v>
      </c>
      <c r="AL7" s="86">
        <v>2021</v>
      </c>
      <c r="AM7" s="139">
        <v>119.79764330830606</v>
      </c>
      <c r="AS7" s="86" t="s">
        <v>209</v>
      </c>
      <c r="AT7" s="1">
        <v>1423</v>
      </c>
      <c r="AY7" s="164">
        <v>44529</v>
      </c>
      <c r="AZ7" s="1">
        <v>12</v>
      </c>
      <c r="BD7" s="86">
        <v>2021</v>
      </c>
      <c r="BE7" s="1">
        <v>61</v>
      </c>
    </row>
    <row r="8" spans="1:57" x14ac:dyDescent="0.25">
      <c r="A8" s="138"/>
      <c r="B8" s="138"/>
      <c r="C8" s="138"/>
      <c r="D8" s="138"/>
      <c r="E8" s="138"/>
      <c r="F8" s="138"/>
      <c r="G8" s="138"/>
      <c r="H8" s="138"/>
      <c r="I8" s="138"/>
      <c r="J8" s="138"/>
      <c r="K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7" t="s">
        <v>1169</v>
      </c>
      <c r="Y8" s="140">
        <v>1</v>
      </c>
      <c r="Z8" s="141">
        <v>4.2120019820508698</v>
      </c>
      <c r="AH8" s="164">
        <v>44505</v>
      </c>
      <c r="AI8" s="139">
        <v>34.690776327709088</v>
      </c>
      <c r="AL8" s="87" t="s">
        <v>1780</v>
      </c>
      <c r="AM8" s="139">
        <v>119.79764330830606</v>
      </c>
      <c r="AY8" s="164">
        <v>44505</v>
      </c>
      <c r="AZ8" s="1">
        <v>16</v>
      </c>
      <c r="BD8" s="87" t="s">
        <v>1780</v>
      </c>
      <c r="BE8" s="1">
        <v>61</v>
      </c>
    </row>
    <row r="9" spans="1:57" x14ac:dyDescent="0.25">
      <c r="A9" s="138"/>
      <c r="B9" s="138"/>
      <c r="C9" s="138"/>
      <c r="D9" s="138"/>
      <c r="E9" s="138"/>
      <c r="F9" s="138"/>
      <c r="G9" s="138"/>
      <c r="H9" s="138"/>
      <c r="I9" s="138"/>
      <c r="J9" s="138"/>
      <c r="K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7" t="s">
        <v>1170</v>
      </c>
      <c r="Y9" s="140">
        <v>1</v>
      </c>
      <c r="Z9" s="141">
        <v>4.2348972947659878</v>
      </c>
      <c r="AH9" s="164">
        <v>44508</v>
      </c>
      <c r="AI9" s="139">
        <v>17.19759007683745</v>
      </c>
      <c r="AL9" s="86" t="s">
        <v>209</v>
      </c>
      <c r="AM9" s="139">
        <v>2539.3827631751578</v>
      </c>
      <c r="AY9" s="164">
        <v>44508</v>
      </c>
      <c r="AZ9" s="1">
        <v>8</v>
      </c>
      <c r="BD9" s="86" t="s">
        <v>209</v>
      </c>
      <c r="BE9" s="1">
        <v>1423</v>
      </c>
    </row>
    <row r="10" spans="1:57" x14ac:dyDescent="0.25">
      <c r="A10" s="138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7" t="s">
        <v>1171</v>
      </c>
      <c r="Y10" s="140">
        <v>1</v>
      </c>
      <c r="Z10" s="141">
        <v>4.3888501166012004</v>
      </c>
      <c r="AH10" s="86" t="s">
        <v>209</v>
      </c>
      <c r="AI10" s="139">
        <v>2539.3827631751578</v>
      </c>
      <c r="AY10" s="86" t="s">
        <v>209</v>
      </c>
      <c r="AZ10" s="1">
        <v>1423</v>
      </c>
    </row>
    <row r="11" spans="1:57" x14ac:dyDescent="0.25">
      <c r="A11" s="138"/>
      <c r="B11" s="138"/>
      <c r="C11" s="138"/>
      <c r="D11" s="138"/>
      <c r="E11" s="138"/>
      <c r="F11" s="138"/>
      <c r="G11" s="138"/>
      <c r="H11" s="138"/>
      <c r="I11" s="138"/>
      <c r="J11" s="138"/>
      <c r="K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137" t="s">
        <v>1172</v>
      </c>
      <c r="Y11" s="140">
        <v>1</v>
      </c>
      <c r="Z11" s="141">
        <v>4.2120776392085197</v>
      </c>
    </row>
    <row r="12" spans="1:57" x14ac:dyDescent="0.25">
      <c r="A12" s="138"/>
      <c r="B12" s="138"/>
      <c r="C12" s="138"/>
      <c r="D12" s="138"/>
      <c r="E12" s="138"/>
      <c r="F12" s="138"/>
      <c r="G12" s="138"/>
      <c r="H12" s="138"/>
      <c r="I12" s="138"/>
      <c r="J12" s="138"/>
      <c r="K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8"/>
      <c r="X12" s="137" t="s">
        <v>1173</v>
      </c>
      <c r="Y12" s="140">
        <v>1</v>
      </c>
      <c r="Z12" s="141">
        <v>4.2120019820643693</v>
      </c>
    </row>
    <row r="13" spans="1:57" x14ac:dyDescent="0.25">
      <c r="A13" s="138"/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M13" s="138"/>
      <c r="N13" s="138"/>
      <c r="O13" s="138"/>
      <c r="P13" s="138"/>
      <c r="Q13" s="138"/>
      <c r="R13" s="138"/>
      <c r="S13" s="138"/>
      <c r="T13" s="138"/>
      <c r="U13" s="138"/>
      <c r="V13" s="138"/>
      <c r="W13" s="138"/>
      <c r="X13" s="137" t="s">
        <v>1174</v>
      </c>
      <c r="Y13" s="140">
        <v>1</v>
      </c>
      <c r="Z13" s="141">
        <v>4.2334715538394789</v>
      </c>
    </row>
    <row r="14" spans="1:57" x14ac:dyDescent="0.25">
      <c r="A14" s="138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M14" s="138"/>
      <c r="N14" s="138"/>
      <c r="O14" s="138"/>
      <c r="P14" s="138"/>
      <c r="Q14" s="138"/>
      <c r="R14" s="138"/>
      <c r="S14" s="138"/>
      <c r="T14" s="138"/>
      <c r="U14" s="138"/>
      <c r="V14" s="138"/>
      <c r="W14" s="138"/>
      <c r="X14" s="137" t="s">
        <v>1176</v>
      </c>
      <c r="Y14" s="140">
        <v>1</v>
      </c>
      <c r="Z14" s="141">
        <v>4.1589518230493008</v>
      </c>
    </row>
    <row r="15" spans="1:57" x14ac:dyDescent="0.25">
      <c r="X15" s="137" t="s">
        <v>1175</v>
      </c>
      <c r="Y15" s="140">
        <v>1</v>
      </c>
      <c r="Z15" s="141">
        <v>4.2565494307046272</v>
      </c>
    </row>
    <row r="16" spans="1:57" x14ac:dyDescent="0.25">
      <c r="X16" s="137" t="s">
        <v>1177</v>
      </c>
      <c r="Y16" s="140">
        <v>1</v>
      </c>
      <c r="Z16" s="141">
        <v>3.2078410898587699</v>
      </c>
    </row>
    <row r="17" spans="24:26" x14ac:dyDescent="0.25">
      <c r="X17" s="137" t="s">
        <v>1178</v>
      </c>
      <c r="Y17" s="140">
        <v>1</v>
      </c>
      <c r="Z17" s="141">
        <v>3.0795845195840554</v>
      </c>
    </row>
    <row r="18" spans="24:26" x14ac:dyDescent="0.25">
      <c r="X18" s="137" t="s">
        <v>1179</v>
      </c>
      <c r="Y18" s="140">
        <v>1</v>
      </c>
      <c r="Z18" s="141">
        <v>3.079584519584055</v>
      </c>
    </row>
    <row r="19" spans="24:26" x14ac:dyDescent="0.25">
      <c r="X19" s="137" t="s">
        <v>1180</v>
      </c>
      <c r="Y19" s="140">
        <v>1</v>
      </c>
      <c r="Z19" s="141">
        <v>3.0960844469763078</v>
      </c>
    </row>
    <row r="20" spans="24:26" x14ac:dyDescent="0.25">
      <c r="X20" s="137" t="s">
        <v>1181</v>
      </c>
      <c r="Y20" s="140">
        <v>1</v>
      </c>
      <c r="Z20" s="141">
        <v>2.4364026504885712</v>
      </c>
    </row>
    <row r="21" spans="24:26" x14ac:dyDescent="0.25">
      <c r="X21" s="137" t="s">
        <v>1182</v>
      </c>
      <c r="Y21" s="140">
        <v>1</v>
      </c>
      <c r="Z21" s="141">
        <v>2.3389898926067993</v>
      </c>
    </row>
    <row r="22" spans="24:26" x14ac:dyDescent="0.25">
      <c r="X22" s="137" t="s">
        <v>1183</v>
      </c>
      <c r="Y22" s="140">
        <v>1</v>
      </c>
      <c r="Z22" s="141">
        <v>2.3389898924975601</v>
      </c>
    </row>
    <row r="23" spans="24:26" x14ac:dyDescent="0.25">
      <c r="X23" s="137" t="s">
        <v>1184</v>
      </c>
      <c r="Y23" s="140">
        <v>1</v>
      </c>
      <c r="Z23" s="141">
        <v>2.3515230036076979</v>
      </c>
    </row>
    <row r="24" spans="24:26" x14ac:dyDescent="0.25">
      <c r="X24" s="137" t="s">
        <v>1185</v>
      </c>
      <c r="Y24" s="140">
        <v>1</v>
      </c>
      <c r="Z24" s="141">
        <v>7.438233567273155</v>
      </c>
    </row>
    <row r="25" spans="24:26" x14ac:dyDescent="0.25">
      <c r="X25" s="137" t="s">
        <v>1186</v>
      </c>
      <c r="Y25" s="140">
        <v>1</v>
      </c>
      <c r="Z25" s="141">
        <v>7.1408358052471756</v>
      </c>
    </row>
    <row r="26" spans="24:26" x14ac:dyDescent="0.25">
      <c r="X26" s="137" t="s">
        <v>1187</v>
      </c>
      <c r="Y26" s="140">
        <v>1</v>
      </c>
      <c r="Z26" s="141">
        <v>7.1408358052380194</v>
      </c>
    </row>
    <row r="27" spans="24:26" x14ac:dyDescent="0.25">
      <c r="X27" s="137" t="s">
        <v>1188</v>
      </c>
      <c r="Y27" s="140">
        <v>1</v>
      </c>
      <c r="Z27" s="141">
        <v>7.1794358133708274</v>
      </c>
    </row>
    <row r="28" spans="24:26" x14ac:dyDescent="0.25">
      <c r="X28" s="137" t="s">
        <v>1193</v>
      </c>
      <c r="Y28" s="140">
        <v>1</v>
      </c>
      <c r="Z28" s="141">
        <v>6.4892466309052326</v>
      </c>
    </row>
    <row r="29" spans="24:26" x14ac:dyDescent="0.25">
      <c r="X29" s="137" t="s">
        <v>1194</v>
      </c>
      <c r="Y29" s="140">
        <v>1</v>
      </c>
      <c r="Z29" s="141">
        <v>6.4892466306029482</v>
      </c>
    </row>
    <row r="30" spans="24:26" x14ac:dyDescent="0.25">
      <c r="X30" s="137" t="s">
        <v>1195</v>
      </c>
      <c r="Y30" s="140">
        <v>1</v>
      </c>
      <c r="Z30" s="141">
        <v>5.932304952885568</v>
      </c>
    </row>
    <row r="31" spans="24:26" x14ac:dyDescent="0.25">
      <c r="X31" s="137" t="s">
        <v>1189</v>
      </c>
      <c r="Y31" s="140">
        <v>1</v>
      </c>
      <c r="Z31" s="141">
        <v>7.371000003943843</v>
      </c>
    </row>
    <row r="32" spans="24:26" x14ac:dyDescent="0.25">
      <c r="X32" s="137" t="s">
        <v>1190</v>
      </c>
      <c r="Y32" s="140">
        <v>1</v>
      </c>
      <c r="Z32" s="141">
        <v>7.0762907977146181</v>
      </c>
    </row>
    <row r="33" spans="24:26" x14ac:dyDescent="0.25">
      <c r="X33" s="137" t="s">
        <v>1191</v>
      </c>
      <c r="Y33" s="140">
        <v>1</v>
      </c>
      <c r="Z33" s="141">
        <v>7.0762907957314107</v>
      </c>
    </row>
    <row r="34" spans="24:26" x14ac:dyDescent="0.25">
      <c r="X34" s="137" t="s">
        <v>1192</v>
      </c>
      <c r="Y34" s="140">
        <v>1</v>
      </c>
      <c r="Z34" s="141">
        <v>6.3840778556194175</v>
      </c>
    </row>
    <row r="35" spans="24:26" x14ac:dyDescent="0.25">
      <c r="X35" s="136" t="s">
        <v>35</v>
      </c>
      <c r="Y35" s="140">
        <v>58</v>
      </c>
      <c r="Z35" s="141">
        <v>104.77804434940312</v>
      </c>
    </row>
    <row r="36" spans="24:26" x14ac:dyDescent="0.25">
      <c r="X36" s="137" t="s">
        <v>1102</v>
      </c>
      <c r="Y36" s="140">
        <v>1</v>
      </c>
      <c r="Z36" s="141">
        <v>1.8637941130268252</v>
      </c>
    </row>
    <row r="37" spans="24:26" x14ac:dyDescent="0.25">
      <c r="X37" s="137" t="s">
        <v>1104</v>
      </c>
      <c r="Y37" s="140">
        <v>1</v>
      </c>
      <c r="Z37" s="141">
        <v>2.3830340708601998</v>
      </c>
    </row>
    <row r="38" spans="24:26" x14ac:dyDescent="0.25">
      <c r="X38" s="137" t="s">
        <v>1105</v>
      </c>
      <c r="Y38" s="140">
        <v>1</v>
      </c>
      <c r="Z38" s="141">
        <v>2.3389009253576902</v>
      </c>
    </row>
    <row r="39" spans="24:26" x14ac:dyDescent="0.25">
      <c r="X39" s="137" t="s">
        <v>1106</v>
      </c>
      <c r="Y39" s="140">
        <v>1</v>
      </c>
      <c r="Z39" s="141">
        <v>2.7490263304238205</v>
      </c>
    </row>
    <row r="40" spans="24:26" x14ac:dyDescent="0.25">
      <c r="X40" s="137" t="s">
        <v>1107</v>
      </c>
      <c r="Y40" s="140">
        <v>1</v>
      </c>
      <c r="Z40" s="141">
        <v>2.4195501328326898</v>
      </c>
    </row>
    <row r="41" spans="24:26" x14ac:dyDescent="0.25">
      <c r="X41" s="137" t="s">
        <v>1108</v>
      </c>
      <c r="Y41" s="140">
        <v>1</v>
      </c>
      <c r="Z41" s="141">
        <v>2.7118348383337425</v>
      </c>
    </row>
    <row r="42" spans="24:26" x14ac:dyDescent="0.25">
      <c r="X42" s="137" t="s">
        <v>1109</v>
      </c>
      <c r="Y42" s="140">
        <v>1</v>
      </c>
      <c r="Z42" s="141">
        <v>2.3831839730040416</v>
      </c>
    </row>
    <row r="43" spans="24:26" x14ac:dyDescent="0.25">
      <c r="X43" s="137" t="s">
        <v>1110</v>
      </c>
      <c r="Y43" s="140">
        <v>1</v>
      </c>
      <c r="Z43" s="141">
        <v>2.6239783744312226</v>
      </c>
    </row>
    <row r="44" spans="24:26" x14ac:dyDescent="0.25">
      <c r="X44" s="137" t="s">
        <v>1111</v>
      </c>
      <c r="Y44" s="140">
        <v>1</v>
      </c>
      <c r="Z44" s="141">
        <v>2.3835593598760885</v>
      </c>
    </row>
    <row r="45" spans="24:26" x14ac:dyDescent="0.25">
      <c r="X45" s="137" t="s">
        <v>1112</v>
      </c>
      <c r="Y45" s="140">
        <v>1</v>
      </c>
      <c r="Z45" s="141">
        <v>2.6240674889478086</v>
      </c>
    </row>
    <row r="46" spans="24:26" x14ac:dyDescent="0.25">
      <c r="X46" s="137" t="s">
        <v>1113</v>
      </c>
      <c r="Y46" s="140">
        <v>1</v>
      </c>
      <c r="Z46" s="141">
        <v>2.3835593598760885</v>
      </c>
    </row>
    <row r="47" spans="24:26" x14ac:dyDescent="0.25">
      <c r="X47" s="137" t="s">
        <v>1114</v>
      </c>
      <c r="Y47" s="140">
        <v>1</v>
      </c>
      <c r="Z47" s="141">
        <v>2.6189935694599535</v>
      </c>
    </row>
    <row r="48" spans="24:26" x14ac:dyDescent="0.25">
      <c r="X48" s="137" t="s">
        <v>1117</v>
      </c>
      <c r="Y48" s="140">
        <v>1</v>
      </c>
      <c r="Z48" s="141">
        <v>0.96104967032897382</v>
      </c>
    </row>
    <row r="49" spans="24:26" x14ac:dyDescent="0.25">
      <c r="X49" s="137" t="s">
        <v>1119</v>
      </c>
      <c r="Y49" s="140">
        <v>1</v>
      </c>
      <c r="Z49" s="141">
        <v>2.6573607312059897</v>
      </c>
    </row>
    <row r="50" spans="24:26" x14ac:dyDescent="0.25">
      <c r="X50" s="137" t="s">
        <v>1120</v>
      </c>
      <c r="Y50" s="140">
        <v>1</v>
      </c>
      <c r="Z50" s="141">
        <v>2.2712754864319971</v>
      </c>
    </row>
    <row r="51" spans="24:26" x14ac:dyDescent="0.25">
      <c r="X51" s="137" t="s">
        <v>1121</v>
      </c>
      <c r="Y51" s="140">
        <v>1</v>
      </c>
      <c r="Z51" s="141">
        <v>2.2712754800520205</v>
      </c>
    </row>
    <row r="52" spans="24:26" x14ac:dyDescent="0.25">
      <c r="X52" s="137" t="s">
        <v>1122</v>
      </c>
      <c r="Y52" s="140">
        <v>1</v>
      </c>
      <c r="Z52" s="141">
        <v>2.2712754864319971</v>
      </c>
    </row>
    <row r="53" spans="24:26" x14ac:dyDescent="0.25">
      <c r="X53" s="137" t="s">
        <v>1123</v>
      </c>
      <c r="Y53" s="140">
        <v>1</v>
      </c>
      <c r="Z53" s="141">
        <v>2.2712754800520205</v>
      </c>
    </row>
    <row r="54" spans="24:26" x14ac:dyDescent="0.25">
      <c r="X54" s="137" t="s">
        <v>1125</v>
      </c>
      <c r="Y54" s="140">
        <v>1</v>
      </c>
      <c r="Z54" s="141">
        <v>1.3325354781122114</v>
      </c>
    </row>
    <row r="55" spans="24:26" x14ac:dyDescent="0.25">
      <c r="X55" s="137" t="s">
        <v>1127</v>
      </c>
      <c r="Y55" s="140">
        <v>1</v>
      </c>
      <c r="Z55" s="141">
        <v>1.3325310118527001</v>
      </c>
    </row>
    <row r="56" spans="24:26" x14ac:dyDescent="0.25">
      <c r="X56" s="137" t="s">
        <v>1128</v>
      </c>
      <c r="Y56" s="140">
        <v>1</v>
      </c>
      <c r="Z56" s="141">
        <v>2.1812779292937545</v>
      </c>
    </row>
    <row r="57" spans="24:26" x14ac:dyDescent="0.25">
      <c r="X57" s="137" t="s">
        <v>1129</v>
      </c>
      <c r="Y57" s="140">
        <v>1</v>
      </c>
      <c r="Z57" s="141">
        <v>2.1813724755449853</v>
      </c>
    </row>
    <row r="58" spans="24:26" x14ac:dyDescent="0.25">
      <c r="X58" s="137" t="s">
        <v>1130</v>
      </c>
      <c r="Y58" s="140">
        <v>1</v>
      </c>
      <c r="Z58" s="141">
        <v>2.0545102943016422</v>
      </c>
    </row>
    <row r="59" spans="24:26" x14ac:dyDescent="0.25">
      <c r="X59" s="137" t="s">
        <v>1131</v>
      </c>
      <c r="Y59" s="140">
        <v>1</v>
      </c>
      <c r="Z59" s="141">
        <v>2.1014389530447604</v>
      </c>
    </row>
    <row r="60" spans="24:26" x14ac:dyDescent="0.25">
      <c r="X60" s="137" t="s">
        <v>1132</v>
      </c>
      <c r="Y60" s="140">
        <v>1</v>
      </c>
      <c r="Z60" s="141">
        <v>1.014415863110705</v>
      </c>
    </row>
    <row r="61" spans="24:26" x14ac:dyDescent="0.25">
      <c r="X61" s="137" t="s">
        <v>1133</v>
      </c>
      <c r="Y61" s="140">
        <v>1</v>
      </c>
      <c r="Z61" s="141">
        <v>1.014415863110705</v>
      </c>
    </row>
    <row r="62" spans="24:26" x14ac:dyDescent="0.25">
      <c r="X62" s="137" t="s">
        <v>1134</v>
      </c>
      <c r="Y62" s="140">
        <v>1</v>
      </c>
      <c r="Z62" s="141">
        <v>2.6543365946926607</v>
      </c>
    </row>
    <row r="63" spans="24:26" x14ac:dyDescent="0.25">
      <c r="X63" s="137" t="s">
        <v>1135</v>
      </c>
      <c r="Y63" s="140">
        <v>1</v>
      </c>
      <c r="Z63" s="141">
        <v>2.6543365946926607</v>
      </c>
    </row>
    <row r="64" spans="24:26" x14ac:dyDescent="0.25">
      <c r="X64" s="137" t="s">
        <v>1136</v>
      </c>
      <c r="Y64" s="140">
        <v>1</v>
      </c>
      <c r="Z64" s="141">
        <v>2.6543365946926607</v>
      </c>
    </row>
    <row r="65" spans="24:26" x14ac:dyDescent="0.25">
      <c r="X65" s="137" t="s">
        <v>1137</v>
      </c>
      <c r="Y65" s="140">
        <v>1</v>
      </c>
      <c r="Z65" s="141">
        <v>2.6543365988364553</v>
      </c>
    </row>
    <row r="66" spans="24:26" x14ac:dyDescent="0.25">
      <c r="X66" s="137" t="s">
        <v>1138</v>
      </c>
      <c r="Y66" s="140">
        <v>1</v>
      </c>
      <c r="Z66" s="141">
        <v>2.4499186249810707</v>
      </c>
    </row>
    <row r="67" spans="24:26" x14ac:dyDescent="0.25">
      <c r="X67" s="137" t="s">
        <v>1139</v>
      </c>
      <c r="Y67" s="140">
        <v>1</v>
      </c>
      <c r="Z67" s="141">
        <v>1.9790725300886696</v>
      </c>
    </row>
    <row r="68" spans="24:26" x14ac:dyDescent="0.25">
      <c r="X68" s="137" t="s">
        <v>1142</v>
      </c>
      <c r="Y68" s="140">
        <v>1</v>
      </c>
      <c r="Z68" s="141">
        <v>1.7972394852170612</v>
      </c>
    </row>
    <row r="69" spans="24:26" x14ac:dyDescent="0.25">
      <c r="X69" s="137" t="s">
        <v>1143</v>
      </c>
      <c r="Y69" s="140">
        <v>1</v>
      </c>
      <c r="Z69" s="141">
        <v>2.2612514543399413</v>
      </c>
    </row>
    <row r="70" spans="24:26" x14ac:dyDescent="0.25">
      <c r="X70" s="137" t="s">
        <v>1144</v>
      </c>
      <c r="Y70" s="140">
        <v>1</v>
      </c>
      <c r="Z70" s="141">
        <v>1.528004461162535</v>
      </c>
    </row>
    <row r="71" spans="24:26" x14ac:dyDescent="0.25">
      <c r="X71" s="137" t="s">
        <v>1145</v>
      </c>
      <c r="Y71" s="140">
        <v>1</v>
      </c>
      <c r="Z71" s="141">
        <v>1.4529882809521748</v>
      </c>
    </row>
    <row r="72" spans="24:26" x14ac:dyDescent="0.25">
      <c r="X72" s="137" t="s">
        <v>1146</v>
      </c>
      <c r="Y72" s="140">
        <v>1</v>
      </c>
      <c r="Z72" s="141">
        <v>1.2846867288474542</v>
      </c>
    </row>
    <row r="73" spans="24:26" x14ac:dyDescent="0.25">
      <c r="X73" s="137" t="s">
        <v>1149</v>
      </c>
      <c r="Y73" s="140">
        <v>1</v>
      </c>
      <c r="Z73" s="141">
        <v>2.4367079467166093</v>
      </c>
    </row>
    <row r="74" spans="24:26" x14ac:dyDescent="0.25">
      <c r="X74" s="137" t="s">
        <v>1150</v>
      </c>
      <c r="Y74" s="140">
        <v>1</v>
      </c>
      <c r="Z74" s="141">
        <v>2.4367456217455667</v>
      </c>
    </row>
    <row r="75" spans="24:26" x14ac:dyDescent="0.25">
      <c r="X75" s="137" t="s">
        <v>1151</v>
      </c>
      <c r="Y75" s="140">
        <v>1</v>
      </c>
      <c r="Z75" s="141">
        <v>2.4367043151672192</v>
      </c>
    </row>
    <row r="76" spans="24:26" x14ac:dyDescent="0.25">
      <c r="X76" s="137" t="s">
        <v>1152</v>
      </c>
      <c r="Y76" s="140">
        <v>1</v>
      </c>
      <c r="Z76" s="141">
        <v>1.994509565054414</v>
      </c>
    </row>
    <row r="77" spans="24:26" x14ac:dyDescent="0.25">
      <c r="X77" s="137" t="s">
        <v>1153</v>
      </c>
      <c r="Y77" s="140">
        <v>1</v>
      </c>
      <c r="Z77" s="141">
        <v>2.0156009305219373</v>
      </c>
    </row>
    <row r="78" spans="24:26" x14ac:dyDescent="0.25">
      <c r="X78" s="137" t="s">
        <v>1103</v>
      </c>
      <c r="Y78" s="140">
        <v>1</v>
      </c>
      <c r="Z78" s="141">
        <v>2.2248849574279994</v>
      </c>
    </row>
    <row r="79" spans="24:26" x14ac:dyDescent="0.25">
      <c r="X79" s="137" t="s">
        <v>1115</v>
      </c>
      <c r="Y79" s="140">
        <v>1</v>
      </c>
      <c r="Z79" s="141">
        <v>0.92228698497267492</v>
      </c>
    </row>
    <row r="80" spans="24:26" x14ac:dyDescent="0.25">
      <c r="X80" s="137" t="s">
        <v>1116</v>
      </c>
      <c r="Y80" s="140">
        <v>1</v>
      </c>
      <c r="Z80" s="141">
        <v>0.92228698520554409</v>
      </c>
    </row>
    <row r="81" spans="24:26" x14ac:dyDescent="0.25">
      <c r="X81" s="137" t="s">
        <v>1118</v>
      </c>
      <c r="Y81" s="140">
        <v>1</v>
      </c>
      <c r="Z81" s="141">
        <v>1.8980451059024761</v>
      </c>
    </row>
    <row r="82" spans="24:26" x14ac:dyDescent="0.25">
      <c r="X82" s="137" t="s">
        <v>1124</v>
      </c>
      <c r="Y82" s="140">
        <v>1</v>
      </c>
      <c r="Z82" s="141">
        <v>0.62238959433412966</v>
      </c>
    </row>
    <row r="83" spans="24:26" x14ac:dyDescent="0.25">
      <c r="X83" s="137" t="s">
        <v>1126</v>
      </c>
      <c r="Y83" s="140">
        <v>1</v>
      </c>
      <c r="Z83" s="141">
        <v>0.47063183741781983</v>
      </c>
    </row>
    <row r="84" spans="24:26" x14ac:dyDescent="0.25">
      <c r="X84" s="137" t="s">
        <v>1140</v>
      </c>
      <c r="Y84" s="140">
        <v>1</v>
      </c>
      <c r="Z84" s="141">
        <v>0.95699653099950011</v>
      </c>
    </row>
    <row r="85" spans="24:26" x14ac:dyDescent="0.25">
      <c r="X85" s="137" t="s">
        <v>1141</v>
      </c>
      <c r="Y85" s="140">
        <v>1</v>
      </c>
      <c r="Z85" s="141">
        <v>0.95699653099950011</v>
      </c>
    </row>
    <row r="86" spans="24:26" x14ac:dyDescent="0.25">
      <c r="X86" s="137" t="s">
        <v>1147</v>
      </c>
      <c r="Y86" s="140">
        <v>1</v>
      </c>
      <c r="Z86" s="141">
        <v>1.6011474993063177</v>
      </c>
    </row>
    <row r="87" spans="24:26" x14ac:dyDescent="0.25">
      <c r="X87" s="137" t="s">
        <v>1148</v>
      </c>
      <c r="Y87" s="140">
        <v>1</v>
      </c>
      <c r="Z87" s="141">
        <v>1.604119483656427</v>
      </c>
    </row>
    <row r="88" spans="24:26" x14ac:dyDescent="0.25">
      <c r="X88" s="137" t="s">
        <v>1154</v>
      </c>
      <c r="Y88" s="140">
        <v>1</v>
      </c>
      <c r="Z88" s="141">
        <v>0.32999865423249997</v>
      </c>
    </row>
    <row r="89" spans="24:26" x14ac:dyDescent="0.25">
      <c r="X89" s="137" t="s">
        <v>1155</v>
      </c>
      <c r="Y89" s="140">
        <v>1</v>
      </c>
      <c r="Z89" s="141">
        <v>0.32999865423249997</v>
      </c>
    </row>
    <row r="90" spans="24:26" x14ac:dyDescent="0.25">
      <c r="X90" s="137" t="s">
        <v>1156</v>
      </c>
      <c r="Y90" s="140">
        <v>1</v>
      </c>
      <c r="Z90" s="141">
        <v>0.32999865423249997</v>
      </c>
    </row>
    <row r="91" spans="24:26" x14ac:dyDescent="0.25">
      <c r="X91" s="137" t="s">
        <v>1157</v>
      </c>
      <c r="Y91" s="140">
        <v>1</v>
      </c>
      <c r="Z91" s="141">
        <v>0.32999865423249997</v>
      </c>
    </row>
    <row r="92" spans="24:26" x14ac:dyDescent="0.25">
      <c r="X92" s="137" t="s">
        <v>1158</v>
      </c>
      <c r="Y92" s="140">
        <v>1</v>
      </c>
      <c r="Z92" s="141">
        <v>0.59399757761850003</v>
      </c>
    </row>
    <row r="93" spans="24:26" x14ac:dyDescent="0.25">
      <c r="X93" s="137" t="s">
        <v>1159</v>
      </c>
      <c r="Y93" s="140">
        <v>1</v>
      </c>
      <c r="Z93" s="141">
        <v>0.59399757761850003</v>
      </c>
    </row>
    <row r="94" spans="24:26" x14ac:dyDescent="0.25">
      <c r="X94" s="136" t="s">
        <v>116</v>
      </c>
      <c r="Y94" s="140">
        <v>15</v>
      </c>
      <c r="Z94" s="141">
        <v>124.50137404614141</v>
      </c>
    </row>
    <row r="95" spans="24:26" x14ac:dyDescent="0.25">
      <c r="X95" s="137" t="s">
        <v>274</v>
      </c>
      <c r="Y95" s="140">
        <v>1</v>
      </c>
      <c r="Z95" s="141">
        <v>9.3364861607356069</v>
      </c>
    </row>
    <row r="96" spans="24:26" x14ac:dyDescent="0.25">
      <c r="X96" s="137" t="s">
        <v>275</v>
      </c>
      <c r="Y96" s="140">
        <v>1</v>
      </c>
      <c r="Z96" s="141">
        <v>9.3364340037333342</v>
      </c>
    </row>
    <row r="97" spans="24:26" x14ac:dyDescent="0.25">
      <c r="X97" s="137" t="s">
        <v>276</v>
      </c>
      <c r="Y97" s="140">
        <v>1</v>
      </c>
      <c r="Z97" s="141">
        <v>9.3364340037333342</v>
      </c>
    </row>
    <row r="98" spans="24:26" x14ac:dyDescent="0.25">
      <c r="X98" s="137" t="s">
        <v>278</v>
      </c>
      <c r="Y98" s="140">
        <v>1</v>
      </c>
      <c r="Z98" s="141">
        <v>9.0337663579440335</v>
      </c>
    </row>
    <row r="99" spans="24:26" x14ac:dyDescent="0.25">
      <c r="X99" s="137" t="s">
        <v>279</v>
      </c>
      <c r="Y99" s="140">
        <v>1</v>
      </c>
      <c r="Z99" s="141">
        <v>9.033633992945747</v>
      </c>
    </row>
    <row r="100" spans="24:26" x14ac:dyDescent="0.25">
      <c r="X100" s="137" t="s">
        <v>280</v>
      </c>
      <c r="Y100" s="140">
        <v>1</v>
      </c>
      <c r="Z100" s="141">
        <v>7.1129197639535073</v>
      </c>
    </row>
    <row r="101" spans="24:26" x14ac:dyDescent="0.25">
      <c r="X101" s="137" t="s">
        <v>281</v>
      </c>
      <c r="Y101" s="140">
        <v>1</v>
      </c>
      <c r="Z101" s="141">
        <v>6.9578557096560631</v>
      </c>
    </row>
    <row r="102" spans="24:26" x14ac:dyDescent="0.25">
      <c r="X102" s="137" t="s">
        <v>282</v>
      </c>
      <c r="Y102" s="140">
        <v>1</v>
      </c>
      <c r="Z102" s="141">
        <v>9.0337663579440335</v>
      </c>
    </row>
    <row r="103" spans="24:26" x14ac:dyDescent="0.25">
      <c r="X103" s="137" t="s">
        <v>283</v>
      </c>
      <c r="Y103" s="140">
        <v>1</v>
      </c>
      <c r="Z103" s="141">
        <v>9.033580322430252</v>
      </c>
    </row>
    <row r="104" spans="24:26" x14ac:dyDescent="0.25">
      <c r="X104" s="137" t="s">
        <v>284</v>
      </c>
      <c r="Y104" s="140">
        <v>1</v>
      </c>
      <c r="Z104" s="141">
        <v>7.1129417293770869</v>
      </c>
    </row>
    <row r="105" spans="24:26" x14ac:dyDescent="0.25">
      <c r="X105" s="137" t="s">
        <v>285</v>
      </c>
      <c r="Y105" s="140">
        <v>1</v>
      </c>
      <c r="Z105" s="141">
        <v>6.9578558786016487</v>
      </c>
    </row>
    <row r="106" spans="24:26" x14ac:dyDescent="0.25">
      <c r="X106" s="137" t="s">
        <v>286</v>
      </c>
      <c r="Y106" s="140">
        <v>1</v>
      </c>
      <c r="Z106" s="141">
        <v>9.0337663579440335</v>
      </c>
    </row>
    <row r="107" spans="24:26" x14ac:dyDescent="0.25">
      <c r="X107" s="137" t="s">
        <v>287</v>
      </c>
      <c r="Y107" s="140">
        <v>1</v>
      </c>
      <c r="Z107" s="141">
        <v>9.0336071477755286</v>
      </c>
    </row>
    <row r="108" spans="24:26" x14ac:dyDescent="0.25">
      <c r="X108" s="137" t="s">
        <v>288</v>
      </c>
      <c r="Y108" s="140">
        <v>1</v>
      </c>
      <c r="Z108" s="141">
        <v>7.1129417293770869</v>
      </c>
    </row>
    <row r="109" spans="24:26" x14ac:dyDescent="0.25">
      <c r="X109" s="137" t="s">
        <v>289</v>
      </c>
      <c r="Y109" s="140">
        <v>1</v>
      </c>
      <c r="Z109" s="141">
        <v>7.0353845299901066</v>
      </c>
    </row>
    <row r="110" spans="24:26" x14ac:dyDescent="0.25">
      <c r="X110" s="136" t="s">
        <v>973</v>
      </c>
      <c r="Y110" s="140">
        <v>53</v>
      </c>
      <c r="Z110" s="141">
        <v>297.96198433133128</v>
      </c>
    </row>
    <row r="111" spans="24:26" x14ac:dyDescent="0.25">
      <c r="X111" s="137" t="s">
        <v>337</v>
      </c>
      <c r="Y111" s="140">
        <v>1</v>
      </c>
      <c r="Z111" s="141">
        <v>5.868274722673271</v>
      </c>
    </row>
    <row r="112" spans="24:26" x14ac:dyDescent="0.25">
      <c r="X112" s="137" t="s">
        <v>361</v>
      </c>
      <c r="Y112" s="140">
        <v>1</v>
      </c>
      <c r="Z112" s="141">
        <v>5.7409707681460773</v>
      </c>
    </row>
    <row r="113" spans="24:26" x14ac:dyDescent="0.25">
      <c r="X113" s="137" t="s">
        <v>336</v>
      </c>
      <c r="Y113" s="140">
        <v>1</v>
      </c>
      <c r="Z113" s="141">
        <v>3.889994609831843</v>
      </c>
    </row>
    <row r="114" spans="24:26" x14ac:dyDescent="0.25">
      <c r="X114" s="137" t="s">
        <v>355</v>
      </c>
      <c r="Y114" s="140">
        <v>1</v>
      </c>
      <c r="Z114" s="141">
        <v>5.1821483026081836</v>
      </c>
    </row>
    <row r="115" spans="24:26" x14ac:dyDescent="0.25">
      <c r="X115" s="137" t="s">
        <v>342</v>
      </c>
      <c r="Y115" s="140">
        <v>1</v>
      </c>
      <c r="Z115" s="141">
        <v>5.7373639604012006</v>
      </c>
    </row>
    <row r="116" spans="24:26" x14ac:dyDescent="0.25">
      <c r="X116" s="137" t="s">
        <v>365</v>
      </c>
      <c r="Y116" s="140">
        <v>1</v>
      </c>
      <c r="Z116" s="141">
        <v>4.1000866958935678</v>
      </c>
    </row>
    <row r="117" spans="24:26" x14ac:dyDescent="0.25">
      <c r="X117" s="137" t="s">
        <v>347</v>
      </c>
      <c r="Y117" s="140">
        <v>1</v>
      </c>
      <c r="Z117" s="141">
        <v>5.017872141649474</v>
      </c>
    </row>
    <row r="118" spans="24:26" x14ac:dyDescent="0.25">
      <c r="X118" s="137" t="s">
        <v>366</v>
      </c>
      <c r="Y118" s="140">
        <v>1</v>
      </c>
      <c r="Z118" s="141">
        <v>5.868274722673271</v>
      </c>
    </row>
    <row r="119" spans="24:26" x14ac:dyDescent="0.25">
      <c r="X119" s="137" t="s">
        <v>362</v>
      </c>
      <c r="Y119" s="140">
        <v>1</v>
      </c>
      <c r="Z119" s="141">
        <v>5.7409707681457585</v>
      </c>
    </row>
    <row r="120" spans="24:26" x14ac:dyDescent="0.25">
      <c r="X120" s="137" t="s">
        <v>374</v>
      </c>
      <c r="Y120" s="140">
        <v>1</v>
      </c>
      <c r="Z120" s="141">
        <v>3.889994609831843</v>
      </c>
    </row>
    <row r="121" spans="24:26" x14ac:dyDescent="0.25">
      <c r="X121" s="137" t="s">
        <v>363</v>
      </c>
      <c r="Y121" s="140">
        <v>1</v>
      </c>
      <c r="Z121" s="141">
        <v>5.1821482715398037</v>
      </c>
    </row>
    <row r="122" spans="24:26" x14ac:dyDescent="0.25">
      <c r="X122" s="137" t="s">
        <v>338</v>
      </c>
      <c r="Y122" s="140">
        <v>1</v>
      </c>
      <c r="Z122" s="141">
        <v>5.7373639607080351</v>
      </c>
    </row>
    <row r="123" spans="24:26" x14ac:dyDescent="0.25">
      <c r="X123" s="137" t="s">
        <v>356</v>
      </c>
      <c r="Y123" s="140">
        <v>1</v>
      </c>
      <c r="Z123" s="141">
        <v>4.1000866958935678</v>
      </c>
    </row>
    <row r="124" spans="24:26" x14ac:dyDescent="0.25">
      <c r="X124" s="137" t="s">
        <v>352</v>
      </c>
      <c r="Y124" s="140">
        <v>1</v>
      </c>
      <c r="Z124" s="141">
        <v>5.0178624906990601</v>
      </c>
    </row>
    <row r="125" spans="24:26" x14ac:dyDescent="0.25">
      <c r="X125" s="137" t="s">
        <v>353</v>
      </c>
      <c r="Y125" s="140">
        <v>1</v>
      </c>
      <c r="Z125" s="141">
        <v>11.493980925309828</v>
      </c>
    </row>
    <row r="126" spans="24:26" x14ac:dyDescent="0.25">
      <c r="X126" s="137" t="s">
        <v>328</v>
      </c>
      <c r="Y126" s="140">
        <v>1</v>
      </c>
      <c r="Z126" s="141">
        <v>6.2537001746663607</v>
      </c>
    </row>
    <row r="127" spans="24:26" x14ac:dyDescent="0.25">
      <c r="X127" s="137" t="s">
        <v>375</v>
      </c>
      <c r="Y127" s="140">
        <v>1</v>
      </c>
      <c r="Z127" s="141">
        <v>12.519012397726836</v>
      </c>
    </row>
    <row r="128" spans="24:26" x14ac:dyDescent="0.25">
      <c r="X128" s="137" t="s">
        <v>367</v>
      </c>
      <c r="Y128" s="140">
        <v>1</v>
      </c>
      <c r="Z128" s="141">
        <v>6.6204482257006259</v>
      </c>
    </row>
    <row r="129" spans="24:26" x14ac:dyDescent="0.25">
      <c r="X129" s="137" t="s">
        <v>345</v>
      </c>
      <c r="Y129" s="140">
        <v>1</v>
      </c>
      <c r="Z129" s="141">
        <v>5.2891245957845898</v>
      </c>
    </row>
    <row r="130" spans="24:26" x14ac:dyDescent="0.25">
      <c r="X130" s="137" t="s">
        <v>348</v>
      </c>
      <c r="Y130" s="140">
        <v>1</v>
      </c>
      <c r="Z130" s="141">
        <v>5.9000884614032776</v>
      </c>
    </row>
    <row r="131" spans="24:26" x14ac:dyDescent="0.25">
      <c r="X131" s="137" t="s">
        <v>349</v>
      </c>
      <c r="Y131" s="140">
        <v>1</v>
      </c>
      <c r="Z131" s="141">
        <v>10.154489420185607</v>
      </c>
    </row>
    <row r="132" spans="24:26" x14ac:dyDescent="0.25">
      <c r="X132" s="137" t="s">
        <v>334</v>
      </c>
      <c r="Y132" s="140">
        <v>1</v>
      </c>
      <c r="Z132" s="141">
        <v>5.0297605810850552</v>
      </c>
    </row>
    <row r="133" spans="24:26" x14ac:dyDescent="0.25">
      <c r="X133" s="137" t="s">
        <v>339</v>
      </c>
      <c r="Y133" s="140">
        <v>1</v>
      </c>
      <c r="Z133" s="141">
        <v>5.1996767572218117</v>
      </c>
    </row>
    <row r="134" spans="24:26" x14ac:dyDescent="0.25">
      <c r="X134" s="137" t="s">
        <v>925</v>
      </c>
      <c r="Y134" s="140">
        <v>1</v>
      </c>
      <c r="Z134" s="141">
        <v>4.4390412083610808</v>
      </c>
    </row>
    <row r="135" spans="24:26" x14ac:dyDescent="0.25">
      <c r="X135" s="137" t="s">
        <v>321</v>
      </c>
      <c r="Y135" s="140">
        <v>1</v>
      </c>
      <c r="Z135" s="141">
        <v>3.6558491197690208</v>
      </c>
    </row>
    <row r="136" spans="24:26" x14ac:dyDescent="0.25">
      <c r="X136" s="137" t="s">
        <v>357</v>
      </c>
      <c r="Y136" s="140">
        <v>1</v>
      </c>
      <c r="Z136" s="141">
        <v>4.7369922802855067</v>
      </c>
    </row>
    <row r="137" spans="24:26" x14ac:dyDescent="0.25">
      <c r="X137" s="137" t="s">
        <v>354</v>
      </c>
      <c r="Y137" s="140">
        <v>1</v>
      </c>
      <c r="Z137" s="141">
        <v>3.9022094189030589</v>
      </c>
    </row>
    <row r="138" spans="24:26" x14ac:dyDescent="0.25">
      <c r="X138" s="137" t="s">
        <v>945</v>
      </c>
      <c r="Y138" s="140">
        <v>1</v>
      </c>
      <c r="Z138" s="141">
        <v>4.7381737795061003</v>
      </c>
    </row>
    <row r="139" spans="24:26" x14ac:dyDescent="0.25">
      <c r="X139" s="137" t="s">
        <v>496</v>
      </c>
      <c r="Y139" s="140">
        <v>1</v>
      </c>
      <c r="Z139" s="141">
        <v>3.9022043019355688</v>
      </c>
    </row>
    <row r="140" spans="24:26" x14ac:dyDescent="0.25">
      <c r="X140" s="137" t="s">
        <v>497</v>
      </c>
      <c r="Y140" s="140">
        <v>1</v>
      </c>
      <c r="Z140" s="141">
        <v>4.7369860194343323</v>
      </c>
    </row>
    <row r="141" spans="24:26" x14ac:dyDescent="0.25">
      <c r="X141" s="137" t="s">
        <v>498</v>
      </c>
      <c r="Y141" s="140">
        <v>1</v>
      </c>
      <c r="Z141" s="141">
        <v>3.9021998955018544</v>
      </c>
    </row>
    <row r="142" spans="24:26" x14ac:dyDescent="0.25">
      <c r="X142" s="137" t="s">
        <v>504</v>
      </c>
      <c r="Y142" s="140">
        <v>1</v>
      </c>
      <c r="Z142" s="141">
        <v>4.6552696167838548</v>
      </c>
    </row>
    <row r="143" spans="24:26" x14ac:dyDescent="0.25">
      <c r="X143" s="137" t="s">
        <v>505</v>
      </c>
      <c r="Y143" s="140">
        <v>1</v>
      </c>
      <c r="Z143" s="141">
        <v>3.835043762321781</v>
      </c>
    </row>
    <row r="144" spans="24:26" x14ac:dyDescent="0.25">
      <c r="X144" s="137" t="s">
        <v>503</v>
      </c>
      <c r="Y144" s="140">
        <v>1</v>
      </c>
      <c r="Z144" s="141">
        <v>4.5116501882633164</v>
      </c>
    </row>
    <row r="145" spans="24:26" x14ac:dyDescent="0.25">
      <c r="X145" s="137" t="s">
        <v>502</v>
      </c>
      <c r="Y145" s="140">
        <v>1</v>
      </c>
      <c r="Z145" s="141">
        <v>7.7495235019832522</v>
      </c>
    </row>
    <row r="146" spans="24:26" x14ac:dyDescent="0.25">
      <c r="X146" s="137" t="s">
        <v>376</v>
      </c>
      <c r="Y146" s="140">
        <v>1</v>
      </c>
      <c r="Z146" s="141">
        <v>4.8124474921891256</v>
      </c>
    </row>
    <row r="147" spans="24:26" x14ac:dyDescent="0.25">
      <c r="X147" s="137" t="s">
        <v>377</v>
      </c>
      <c r="Y147" s="140">
        <v>1</v>
      </c>
      <c r="Z147" s="141">
        <v>8.2672532415202369</v>
      </c>
    </row>
    <row r="148" spans="24:26" x14ac:dyDescent="0.25">
      <c r="X148" s="137" t="s">
        <v>501</v>
      </c>
      <c r="Y148" s="140">
        <v>1</v>
      </c>
      <c r="Z148" s="141">
        <v>4.7381733326017885</v>
      </c>
    </row>
    <row r="149" spans="24:26" x14ac:dyDescent="0.25">
      <c r="X149" s="137" t="s">
        <v>360</v>
      </c>
      <c r="Y149" s="140">
        <v>1</v>
      </c>
      <c r="Z149" s="141">
        <v>3.9022025876507884</v>
      </c>
    </row>
    <row r="150" spans="24:26" x14ac:dyDescent="0.25">
      <c r="X150" s="137" t="s">
        <v>359</v>
      </c>
      <c r="Y150" s="140">
        <v>1</v>
      </c>
      <c r="Z150" s="141">
        <v>4.7369839497827364</v>
      </c>
    </row>
    <row r="151" spans="24:26" x14ac:dyDescent="0.25">
      <c r="X151" s="137" t="s">
        <v>500</v>
      </c>
      <c r="Y151" s="140">
        <v>1</v>
      </c>
      <c r="Z151" s="141">
        <v>3.9021993298307684</v>
      </c>
    </row>
    <row r="152" spans="24:26" x14ac:dyDescent="0.25">
      <c r="X152" s="137" t="s">
        <v>358</v>
      </c>
      <c r="Y152" s="140">
        <v>1</v>
      </c>
      <c r="Z152" s="141">
        <v>4.6552665910458497</v>
      </c>
    </row>
    <row r="153" spans="24:26" x14ac:dyDescent="0.25">
      <c r="X153" s="137" t="s">
        <v>499</v>
      </c>
      <c r="Y153" s="140">
        <v>1</v>
      </c>
      <c r="Z153" s="141">
        <v>3.8350412396646267</v>
      </c>
    </row>
    <row r="154" spans="24:26" x14ac:dyDescent="0.25">
      <c r="X154" s="137" t="s">
        <v>495</v>
      </c>
      <c r="Y154" s="140">
        <v>1</v>
      </c>
      <c r="Z154" s="141">
        <v>4.5116501856109847</v>
      </c>
    </row>
    <row r="155" spans="24:26" x14ac:dyDescent="0.25">
      <c r="X155" s="137" t="s">
        <v>493</v>
      </c>
      <c r="Y155" s="140">
        <v>1</v>
      </c>
      <c r="Z155" s="141">
        <v>7.7495234422298918</v>
      </c>
    </row>
    <row r="156" spans="24:26" x14ac:dyDescent="0.25">
      <c r="X156" s="137" t="s">
        <v>494</v>
      </c>
      <c r="Y156" s="140">
        <v>1</v>
      </c>
      <c r="Z156" s="141">
        <v>4.8836184967574345</v>
      </c>
    </row>
    <row r="157" spans="24:26" x14ac:dyDescent="0.25">
      <c r="X157" s="137" t="s">
        <v>492</v>
      </c>
      <c r="Y157" s="140">
        <v>1</v>
      </c>
      <c r="Z157" s="141">
        <v>8.39196781462263</v>
      </c>
    </row>
    <row r="158" spans="24:26" x14ac:dyDescent="0.25">
      <c r="X158" s="137" t="s">
        <v>326</v>
      </c>
      <c r="Y158" s="140">
        <v>1</v>
      </c>
      <c r="Z158" s="141">
        <v>4.8124029461298736</v>
      </c>
    </row>
    <row r="159" spans="24:26" x14ac:dyDescent="0.25">
      <c r="X159" s="137" t="s">
        <v>325</v>
      </c>
      <c r="Y159" s="140">
        <v>1</v>
      </c>
      <c r="Z159" s="141">
        <v>8.2671774619412695</v>
      </c>
    </row>
    <row r="160" spans="24:26" x14ac:dyDescent="0.25">
      <c r="X160" s="137" t="s">
        <v>487</v>
      </c>
      <c r="Y160" s="140">
        <v>1</v>
      </c>
      <c r="Z160" s="141">
        <v>4.8094610226826893</v>
      </c>
    </row>
    <row r="161" spans="24:26" x14ac:dyDescent="0.25">
      <c r="X161" s="137" t="s">
        <v>491</v>
      </c>
      <c r="Y161" s="140">
        <v>1</v>
      </c>
      <c r="Z161" s="141">
        <v>8.5332504641951825</v>
      </c>
    </row>
    <row r="162" spans="24:26" x14ac:dyDescent="0.25">
      <c r="X162" s="137" t="s">
        <v>324</v>
      </c>
      <c r="Y162" s="140">
        <v>1</v>
      </c>
      <c r="Z162" s="141">
        <v>4.7288161494549872</v>
      </c>
    </row>
    <row r="163" spans="24:26" x14ac:dyDescent="0.25">
      <c r="X163" s="137" t="s">
        <v>327</v>
      </c>
      <c r="Y163" s="140">
        <v>1</v>
      </c>
      <c r="Z163" s="141">
        <v>8.1257112305927439</v>
      </c>
    </row>
    <row r="164" spans="24:26" x14ac:dyDescent="0.25">
      <c r="X164" s="136" t="s">
        <v>152</v>
      </c>
      <c r="Y164" s="140">
        <v>30</v>
      </c>
      <c r="Z164" s="141">
        <v>117.07245101867007</v>
      </c>
    </row>
    <row r="165" spans="24:26" x14ac:dyDescent="0.25">
      <c r="X165" s="137" t="s">
        <v>382</v>
      </c>
      <c r="Y165" s="140">
        <v>1</v>
      </c>
      <c r="Z165" s="141">
        <v>4.9678571554090993</v>
      </c>
    </row>
    <row r="166" spans="24:26" x14ac:dyDescent="0.25">
      <c r="X166" s="137" t="s">
        <v>372</v>
      </c>
      <c r="Y166" s="140">
        <v>1</v>
      </c>
      <c r="Z166" s="141">
        <v>4.2467532013434672</v>
      </c>
    </row>
    <row r="167" spans="24:26" x14ac:dyDescent="0.25">
      <c r="X167" s="137" t="s">
        <v>373</v>
      </c>
      <c r="Y167" s="140">
        <v>1</v>
      </c>
      <c r="Z167" s="141">
        <v>4.9678576733834259</v>
      </c>
    </row>
    <row r="168" spans="24:26" x14ac:dyDescent="0.25">
      <c r="X168" s="137" t="s">
        <v>329</v>
      </c>
      <c r="Y168" s="140">
        <v>1</v>
      </c>
      <c r="Z168" s="141">
        <v>4.2467532013434672</v>
      </c>
    </row>
    <row r="169" spans="24:26" x14ac:dyDescent="0.25">
      <c r="X169" s="137" t="s">
        <v>371</v>
      </c>
      <c r="Y169" s="140">
        <v>1</v>
      </c>
      <c r="Z169" s="141">
        <v>4.9678576733834259</v>
      </c>
    </row>
    <row r="170" spans="24:26" x14ac:dyDescent="0.25">
      <c r="X170" s="137" t="s">
        <v>380</v>
      </c>
      <c r="Y170" s="140">
        <v>1</v>
      </c>
      <c r="Z170" s="141">
        <v>4.2467532013434672</v>
      </c>
    </row>
    <row r="171" spans="24:26" x14ac:dyDescent="0.25">
      <c r="X171" s="137" t="s">
        <v>343</v>
      </c>
      <c r="Y171" s="140">
        <v>1</v>
      </c>
      <c r="Z171" s="141">
        <v>5.146293622246592</v>
      </c>
    </row>
    <row r="172" spans="24:26" x14ac:dyDescent="0.25">
      <c r="X172" s="137" t="s">
        <v>344</v>
      </c>
      <c r="Y172" s="140">
        <v>1</v>
      </c>
      <c r="Z172" s="141">
        <v>3.0995310315939752</v>
      </c>
    </row>
    <row r="173" spans="24:26" x14ac:dyDescent="0.25">
      <c r="X173" s="137" t="s">
        <v>438</v>
      </c>
      <c r="Y173" s="140">
        <v>1</v>
      </c>
      <c r="Z173" s="141">
        <v>5.0975003575400608</v>
      </c>
    </row>
    <row r="174" spans="24:26" x14ac:dyDescent="0.25">
      <c r="X174" s="137" t="s">
        <v>437</v>
      </c>
      <c r="Y174" s="140">
        <v>1</v>
      </c>
      <c r="Z174" s="141">
        <v>3.0993559185266428</v>
      </c>
    </row>
    <row r="175" spans="24:26" x14ac:dyDescent="0.25">
      <c r="X175" s="137" t="s">
        <v>340</v>
      </c>
      <c r="Y175" s="140">
        <v>1</v>
      </c>
      <c r="Z175" s="141">
        <v>2.7135464424239384</v>
      </c>
    </row>
    <row r="176" spans="24:26" x14ac:dyDescent="0.25">
      <c r="X176" s="137" t="s">
        <v>383</v>
      </c>
      <c r="Y176" s="140">
        <v>1</v>
      </c>
      <c r="Z176" s="141">
        <v>4.0211415209276593</v>
      </c>
    </row>
    <row r="177" spans="24:26" x14ac:dyDescent="0.25">
      <c r="X177" s="137" t="s">
        <v>427</v>
      </c>
      <c r="Y177" s="140">
        <v>1</v>
      </c>
      <c r="Z177" s="141">
        <v>2.5501551566322025</v>
      </c>
    </row>
    <row r="178" spans="24:26" x14ac:dyDescent="0.25">
      <c r="X178" s="137" t="s">
        <v>398</v>
      </c>
      <c r="Y178" s="140">
        <v>1</v>
      </c>
      <c r="Z178" s="141">
        <v>3.6399489679151444</v>
      </c>
    </row>
    <row r="179" spans="24:26" x14ac:dyDescent="0.25">
      <c r="X179" s="137" t="s">
        <v>397</v>
      </c>
      <c r="Y179" s="140">
        <v>1</v>
      </c>
      <c r="Z179" s="141">
        <v>4.8523154463603895</v>
      </c>
    </row>
    <row r="180" spans="24:26" x14ac:dyDescent="0.25">
      <c r="X180" s="137" t="s">
        <v>381</v>
      </c>
      <c r="Y180" s="140">
        <v>1</v>
      </c>
      <c r="Z180" s="141">
        <v>3.4567101871538437</v>
      </c>
    </row>
    <row r="181" spans="24:26" x14ac:dyDescent="0.25">
      <c r="X181" s="137" t="s">
        <v>330</v>
      </c>
      <c r="Y181" s="140">
        <v>1</v>
      </c>
      <c r="Z181" s="141">
        <v>4.8526926298572599</v>
      </c>
    </row>
    <row r="182" spans="24:26" x14ac:dyDescent="0.25">
      <c r="X182" s="137" t="s">
        <v>384</v>
      </c>
      <c r="Y182" s="140">
        <v>1</v>
      </c>
      <c r="Z182" s="141">
        <v>3.4567101844176031</v>
      </c>
    </row>
    <row r="183" spans="24:26" x14ac:dyDescent="0.25">
      <c r="X183" s="137" t="s">
        <v>319</v>
      </c>
      <c r="Y183" s="140">
        <v>1</v>
      </c>
      <c r="Z183" s="141">
        <v>2.5240440635645194</v>
      </c>
    </row>
    <row r="184" spans="24:26" x14ac:dyDescent="0.25">
      <c r="X184" s="137" t="s">
        <v>943</v>
      </c>
      <c r="Y184" s="140">
        <v>1</v>
      </c>
      <c r="Z184" s="141">
        <v>4.1777424095496425</v>
      </c>
    </row>
    <row r="185" spans="24:26" x14ac:dyDescent="0.25">
      <c r="X185" s="137" t="s">
        <v>387</v>
      </c>
      <c r="Y185" s="140">
        <v>1</v>
      </c>
      <c r="Z185" s="141">
        <v>2.8809967158280503</v>
      </c>
    </row>
    <row r="186" spans="24:26" x14ac:dyDescent="0.25">
      <c r="X186" s="137" t="s">
        <v>320</v>
      </c>
      <c r="Y186" s="140">
        <v>1</v>
      </c>
      <c r="Z186" s="141">
        <v>3.5065465324203395</v>
      </c>
    </row>
    <row r="187" spans="24:26" x14ac:dyDescent="0.25">
      <c r="X187" s="137" t="s">
        <v>335</v>
      </c>
      <c r="Y187" s="140">
        <v>1</v>
      </c>
      <c r="Z187" s="141">
        <v>5.4402730482869872</v>
      </c>
    </row>
    <row r="188" spans="24:26" x14ac:dyDescent="0.25">
      <c r="X188" s="137" t="s">
        <v>364</v>
      </c>
      <c r="Y188" s="140">
        <v>1</v>
      </c>
      <c r="Z188" s="141">
        <v>3.0995310315937248</v>
      </c>
    </row>
    <row r="189" spans="24:26" x14ac:dyDescent="0.25">
      <c r="X189" s="137" t="s">
        <v>393</v>
      </c>
      <c r="Y189" s="140">
        <v>1</v>
      </c>
      <c r="Z189" s="141">
        <v>5.4571895667849706</v>
      </c>
    </row>
    <row r="190" spans="24:26" x14ac:dyDescent="0.25">
      <c r="X190" s="137" t="s">
        <v>392</v>
      </c>
      <c r="Y190" s="140">
        <v>1</v>
      </c>
      <c r="Z190" s="141">
        <v>2.7585557999612114</v>
      </c>
    </row>
    <row r="191" spans="24:26" x14ac:dyDescent="0.25">
      <c r="X191" s="137" t="s">
        <v>386</v>
      </c>
      <c r="Y191" s="140">
        <v>1</v>
      </c>
      <c r="Z191" s="141">
        <v>2.8089858437794852</v>
      </c>
    </row>
    <row r="192" spans="24:26" x14ac:dyDescent="0.25">
      <c r="X192" s="137" t="s">
        <v>944</v>
      </c>
      <c r="Y192" s="140">
        <v>1</v>
      </c>
      <c r="Z192" s="141">
        <v>4.0093897403317884</v>
      </c>
    </row>
    <row r="193" spans="24:26" x14ac:dyDescent="0.25">
      <c r="X193" s="137" t="s">
        <v>956</v>
      </c>
      <c r="Y193" s="140">
        <v>1</v>
      </c>
      <c r="Z193" s="141">
        <v>2.8030694017425866</v>
      </c>
    </row>
    <row r="194" spans="24:26" x14ac:dyDescent="0.25">
      <c r="X194" s="137" t="s">
        <v>1166</v>
      </c>
      <c r="Y194" s="140">
        <v>1</v>
      </c>
      <c r="Z194" s="141">
        <v>3.976393293025092</v>
      </c>
    </row>
    <row r="195" spans="24:26" x14ac:dyDescent="0.25">
      <c r="X195" s="136" t="s">
        <v>507</v>
      </c>
      <c r="Y195" s="140">
        <v>313</v>
      </c>
      <c r="Z195" s="141"/>
    </row>
    <row r="196" spans="24:26" x14ac:dyDescent="0.25">
      <c r="X196" s="137" t="s">
        <v>506</v>
      </c>
      <c r="Y196" s="140">
        <v>1</v>
      </c>
      <c r="Z196" s="141"/>
    </row>
    <row r="197" spans="24:26" x14ac:dyDescent="0.25">
      <c r="X197" s="137" t="s">
        <v>508</v>
      </c>
      <c r="Y197" s="140">
        <v>1</v>
      </c>
      <c r="Z197" s="141"/>
    </row>
    <row r="198" spans="24:26" x14ac:dyDescent="0.25">
      <c r="X198" s="137" t="s">
        <v>509</v>
      </c>
      <c r="Y198" s="140">
        <v>1</v>
      </c>
      <c r="Z198" s="141"/>
    </row>
    <row r="199" spans="24:26" x14ac:dyDescent="0.25">
      <c r="X199" s="137" t="s">
        <v>510</v>
      </c>
      <c r="Y199" s="140">
        <v>1</v>
      </c>
      <c r="Z199" s="141"/>
    </row>
    <row r="200" spans="24:26" x14ac:dyDescent="0.25">
      <c r="X200" s="137" t="s">
        <v>511</v>
      </c>
      <c r="Y200" s="140">
        <v>1</v>
      </c>
      <c r="Z200" s="141"/>
    </row>
    <row r="201" spans="24:26" x14ac:dyDescent="0.25">
      <c r="X201" s="137" t="s">
        <v>512</v>
      </c>
      <c r="Y201" s="140">
        <v>1</v>
      </c>
      <c r="Z201" s="141"/>
    </row>
    <row r="202" spans="24:26" x14ac:dyDescent="0.25">
      <c r="X202" s="137" t="s">
        <v>513</v>
      </c>
      <c r="Y202" s="140">
        <v>1</v>
      </c>
      <c r="Z202" s="141"/>
    </row>
    <row r="203" spans="24:26" x14ac:dyDescent="0.25">
      <c r="X203" s="137" t="s">
        <v>514</v>
      </c>
      <c r="Y203" s="140">
        <v>1</v>
      </c>
      <c r="Z203" s="141"/>
    </row>
    <row r="204" spans="24:26" x14ac:dyDescent="0.25">
      <c r="X204" s="137" t="s">
        <v>515</v>
      </c>
      <c r="Y204" s="140">
        <v>1</v>
      </c>
      <c r="Z204" s="141"/>
    </row>
    <row r="205" spans="24:26" x14ac:dyDescent="0.25">
      <c r="X205" s="137" t="s">
        <v>516</v>
      </c>
      <c r="Y205" s="140">
        <v>1</v>
      </c>
      <c r="Z205" s="141"/>
    </row>
    <row r="206" spans="24:26" x14ac:dyDescent="0.25">
      <c r="X206" s="137" t="s">
        <v>517</v>
      </c>
      <c r="Y206" s="140">
        <v>1</v>
      </c>
      <c r="Z206" s="141"/>
    </row>
    <row r="207" spans="24:26" x14ac:dyDescent="0.25">
      <c r="X207" s="137" t="s">
        <v>518</v>
      </c>
      <c r="Y207" s="140">
        <v>1</v>
      </c>
      <c r="Z207" s="141"/>
    </row>
    <row r="208" spans="24:26" x14ac:dyDescent="0.25">
      <c r="X208" s="137" t="s">
        <v>519</v>
      </c>
      <c r="Y208" s="140">
        <v>1</v>
      </c>
      <c r="Z208" s="141"/>
    </row>
    <row r="209" spans="24:26" x14ac:dyDescent="0.25">
      <c r="X209" s="137" t="s">
        <v>520</v>
      </c>
      <c r="Y209" s="140">
        <v>1</v>
      </c>
      <c r="Z209" s="141"/>
    </row>
    <row r="210" spans="24:26" x14ac:dyDescent="0.25">
      <c r="X210" s="137" t="s">
        <v>521</v>
      </c>
      <c r="Y210" s="140">
        <v>1</v>
      </c>
      <c r="Z210" s="141"/>
    </row>
    <row r="211" spans="24:26" x14ac:dyDescent="0.25">
      <c r="X211" s="137" t="s">
        <v>522</v>
      </c>
      <c r="Y211" s="140">
        <v>1</v>
      </c>
      <c r="Z211" s="141"/>
    </row>
    <row r="212" spans="24:26" x14ac:dyDescent="0.25">
      <c r="X212" s="137" t="s">
        <v>523</v>
      </c>
      <c r="Y212" s="140">
        <v>1</v>
      </c>
      <c r="Z212" s="141"/>
    </row>
    <row r="213" spans="24:26" x14ac:dyDescent="0.25">
      <c r="X213" s="137" t="s">
        <v>524</v>
      </c>
      <c r="Y213" s="140">
        <v>1</v>
      </c>
      <c r="Z213" s="141"/>
    </row>
    <row r="214" spans="24:26" x14ac:dyDescent="0.25">
      <c r="X214" s="137" t="s">
        <v>525</v>
      </c>
      <c r="Y214" s="140">
        <v>1</v>
      </c>
      <c r="Z214" s="141"/>
    </row>
    <row r="215" spans="24:26" x14ac:dyDescent="0.25">
      <c r="X215" s="137" t="s">
        <v>526</v>
      </c>
      <c r="Y215" s="140">
        <v>1</v>
      </c>
      <c r="Z215" s="141"/>
    </row>
    <row r="216" spans="24:26" x14ac:dyDescent="0.25">
      <c r="X216" s="137" t="s">
        <v>527</v>
      </c>
      <c r="Y216" s="140">
        <v>1</v>
      </c>
      <c r="Z216" s="141"/>
    </row>
    <row r="217" spans="24:26" x14ac:dyDescent="0.25">
      <c r="X217" s="137" t="s">
        <v>528</v>
      </c>
      <c r="Y217" s="140">
        <v>1</v>
      </c>
      <c r="Z217" s="141"/>
    </row>
    <row r="218" spans="24:26" x14ac:dyDescent="0.25">
      <c r="X218" s="137" t="s">
        <v>529</v>
      </c>
      <c r="Y218" s="140">
        <v>1</v>
      </c>
      <c r="Z218" s="141"/>
    </row>
    <row r="219" spans="24:26" x14ac:dyDescent="0.25">
      <c r="X219" s="137" t="s">
        <v>530</v>
      </c>
      <c r="Y219" s="140">
        <v>1</v>
      </c>
      <c r="Z219" s="141"/>
    </row>
    <row r="220" spans="24:26" x14ac:dyDescent="0.25">
      <c r="X220" s="137" t="s">
        <v>531</v>
      </c>
      <c r="Y220" s="140">
        <v>1</v>
      </c>
      <c r="Z220" s="141"/>
    </row>
    <row r="221" spans="24:26" x14ac:dyDescent="0.25">
      <c r="X221" s="137" t="s">
        <v>532</v>
      </c>
      <c r="Y221" s="140">
        <v>1</v>
      </c>
      <c r="Z221" s="141"/>
    </row>
    <row r="222" spans="24:26" x14ac:dyDescent="0.25">
      <c r="X222" s="137" t="s">
        <v>533</v>
      </c>
      <c r="Y222" s="140">
        <v>1</v>
      </c>
      <c r="Z222" s="141"/>
    </row>
    <row r="223" spans="24:26" x14ac:dyDescent="0.25">
      <c r="X223" s="137" t="s">
        <v>534</v>
      </c>
      <c r="Y223" s="140">
        <v>1</v>
      </c>
      <c r="Z223" s="141"/>
    </row>
    <row r="224" spans="24:26" x14ac:dyDescent="0.25">
      <c r="X224" s="137" t="s">
        <v>535</v>
      </c>
      <c r="Y224" s="140">
        <v>1</v>
      </c>
      <c r="Z224" s="141"/>
    </row>
    <row r="225" spans="24:26" x14ac:dyDescent="0.25">
      <c r="X225" s="137" t="s">
        <v>536</v>
      </c>
      <c r="Y225" s="140">
        <v>1</v>
      </c>
      <c r="Z225" s="141"/>
    </row>
    <row r="226" spans="24:26" x14ac:dyDescent="0.25">
      <c r="X226" s="137" t="s">
        <v>537</v>
      </c>
      <c r="Y226" s="140">
        <v>1</v>
      </c>
      <c r="Z226" s="141"/>
    </row>
    <row r="227" spans="24:26" x14ac:dyDescent="0.25">
      <c r="X227" s="137" t="s">
        <v>538</v>
      </c>
      <c r="Y227" s="140">
        <v>1</v>
      </c>
      <c r="Z227" s="141"/>
    </row>
    <row r="228" spans="24:26" x14ac:dyDescent="0.25">
      <c r="X228" s="137" t="s">
        <v>539</v>
      </c>
      <c r="Y228" s="140">
        <v>1</v>
      </c>
      <c r="Z228" s="141"/>
    </row>
    <row r="229" spans="24:26" x14ac:dyDescent="0.25">
      <c r="X229" s="137" t="s">
        <v>540</v>
      </c>
      <c r="Y229" s="140">
        <v>1</v>
      </c>
      <c r="Z229" s="141"/>
    </row>
    <row r="230" spans="24:26" x14ac:dyDescent="0.25">
      <c r="X230" s="137" t="s">
        <v>541</v>
      </c>
      <c r="Y230" s="140">
        <v>1</v>
      </c>
      <c r="Z230" s="141"/>
    </row>
    <row r="231" spans="24:26" x14ac:dyDescent="0.25">
      <c r="X231" s="137" t="s">
        <v>542</v>
      </c>
      <c r="Y231" s="140">
        <v>1</v>
      </c>
      <c r="Z231" s="141"/>
    </row>
    <row r="232" spans="24:26" x14ac:dyDescent="0.25">
      <c r="X232" s="137" t="s">
        <v>543</v>
      </c>
      <c r="Y232" s="140">
        <v>1</v>
      </c>
      <c r="Z232" s="141"/>
    </row>
    <row r="233" spans="24:26" x14ac:dyDescent="0.25">
      <c r="X233" s="137" t="s">
        <v>544</v>
      </c>
      <c r="Y233" s="140">
        <v>1</v>
      </c>
      <c r="Z233" s="141"/>
    </row>
    <row r="234" spans="24:26" x14ac:dyDescent="0.25">
      <c r="X234" s="137" t="s">
        <v>545</v>
      </c>
      <c r="Y234" s="140">
        <v>1</v>
      </c>
      <c r="Z234" s="141"/>
    </row>
    <row r="235" spans="24:26" x14ac:dyDescent="0.25">
      <c r="X235" s="137" t="s">
        <v>546</v>
      </c>
      <c r="Y235" s="140">
        <v>1</v>
      </c>
      <c r="Z235" s="141"/>
    </row>
    <row r="236" spans="24:26" x14ac:dyDescent="0.25">
      <c r="X236" s="137" t="s">
        <v>547</v>
      </c>
      <c r="Y236" s="140">
        <v>1</v>
      </c>
      <c r="Z236" s="141"/>
    </row>
    <row r="237" spans="24:26" x14ac:dyDescent="0.25">
      <c r="X237" s="137" t="s">
        <v>548</v>
      </c>
      <c r="Y237" s="140">
        <v>1</v>
      </c>
      <c r="Z237" s="141"/>
    </row>
    <row r="238" spans="24:26" x14ac:dyDescent="0.25">
      <c r="X238" s="137" t="s">
        <v>549</v>
      </c>
      <c r="Y238" s="140">
        <v>1</v>
      </c>
      <c r="Z238" s="141"/>
    </row>
    <row r="239" spans="24:26" x14ac:dyDescent="0.25">
      <c r="X239" s="137" t="s">
        <v>550</v>
      </c>
      <c r="Y239" s="140">
        <v>1</v>
      </c>
      <c r="Z239" s="141"/>
    </row>
    <row r="240" spans="24:26" x14ac:dyDescent="0.25">
      <c r="X240" s="137" t="s">
        <v>551</v>
      </c>
      <c r="Y240" s="140">
        <v>1</v>
      </c>
      <c r="Z240" s="141"/>
    </row>
    <row r="241" spans="24:26" x14ac:dyDescent="0.25">
      <c r="X241" s="137" t="s">
        <v>552</v>
      </c>
      <c r="Y241" s="140">
        <v>1</v>
      </c>
      <c r="Z241" s="141"/>
    </row>
    <row r="242" spans="24:26" x14ac:dyDescent="0.25">
      <c r="X242" s="137" t="s">
        <v>553</v>
      </c>
      <c r="Y242" s="140">
        <v>1</v>
      </c>
      <c r="Z242" s="141"/>
    </row>
    <row r="243" spans="24:26" x14ac:dyDescent="0.25">
      <c r="X243" s="137" t="s">
        <v>554</v>
      </c>
      <c r="Y243" s="140">
        <v>1</v>
      </c>
      <c r="Z243" s="141"/>
    </row>
    <row r="244" spans="24:26" x14ac:dyDescent="0.25">
      <c r="X244" s="137" t="s">
        <v>555</v>
      </c>
      <c r="Y244" s="140">
        <v>1</v>
      </c>
      <c r="Z244" s="141"/>
    </row>
    <row r="245" spans="24:26" x14ac:dyDescent="0.25">
      <c r="X245" s="137" t="s">
        <v>556</v>
      </c>
      <c r="Y245" s="140">
        <v>1</v>
      </c>
      <c r="Z245" s="141"/>
    </row>
    <row r="246" spans="24:26" x14ac:dyDescent="0.25">
      <c r="X246" s="137" t="s">
        <v>557</v>
      </c>
      <c r="Y246" s="140">
        <v>1</v>
      </c>
      <c r="Z246" s="141"/>
    </row>
    <row r="247" spans="24:26" x14ac:dyDescent="0.25">
      <c r="X247" s="137" t="s">
        <v>558</v>
      </c>
      <c r="Y247" s="140">
        <v>1</v>
      </c>
      <c r="Z247" s="141"/>
    </row>
    <row r="248" spans="24:26" x14ac:dyDescent="0.25">
      <c r="X248" s="137" t="s">
        <v>559</v>
      </c>
      <c r="Y248" s="140">
        <v>1</v>
      </c>
      <c r="Z248" s="141"/>
    </row>
    <row r="249" spans="24:26" x14ac:dyDescent="0.25">
      <c r="X249" s="137" t="s">
        <v>560</v>
      </c>
      <c r="Y249" s="140">
        <v>1</v>
      </c>
      <c r="Z249" s="141"/>
    </row>
    <row r="250" spans="24:26" x14ac:dyDescent="0.25">
      <c r="X250" s="137" t="s">
        <v>561</v>
      </c>
      <c r="Y250" s="140">
        <v>1</v>
      </c>
      <c r="Z250" s="141"/>
    </row>
    <row r="251" spans="24:26" x14ac:dyDescent="0.25">
      <c r="X251" s="137" t="s">
        <v>562</v>
      </c>
      <c r="Y251" s="140">
        <v>1</v>
      </c>
      <c r="Z251" s="141"/>
    </row>
    <row r="252" spans="24:26" x14ac:dyDescent="0.25">
      <c r="X252" s="137" t="s">
        <v>563</v>
      </c>
      <c r="Y252" s="140">
        <v>1</v>
      </c>
      <c r="Z252" s="141"/>
    </row>
    <row r="253" spans="24:26" x14ac:dyDescent="0.25">
      <c r="X253" s="137" t="s">
        <v>564</v>
      </c>
      <c r="Y253" s="140">
        <v>1</v>
      </c>
      <c r="Z253" s="141"/>
    </row>
    <row r="254" spans="24:26" x14ac:dyDescent="0.25">
      <c r="X254" s="137" t="s">
        <v>565</v>
      </c>
      <c r="Y254" s="140">
        <v>1</v>
      </c>
      <c r="Z254" s="141"/>
    </row>
    <row r="255" spans="24:26" x14ac:dyDescent="0.25">
      <c r="X255" s="137" t="s">
        <v>566</v>
      </c>
      <c r="Y255" s="140">
        <v>1</v>
      </c>
      <c r="Z255" s="141"/>
    </row>
    <row r="256" spans="24:26" x14ac:dyDescent="0.25">
      <c r="X256" s="137" t="s">
        <v>567</v>
      </c>
      <c r="Y256" s="140">
        <v>1</v>
      </c>
      <c r="Z256" s="141"/>
    </row>
    <row r="257" spans="24:26" x14ac:dyDescent="0.25">
      <c r="X257" s="137" t="s">
        <v>568</v>
      </c>
      <c r="Y257" s="140">
        <v>1</v>
      </c>
      <c r="Z257" s="141"/>
    </row>
    <row r="258" spans="24:26" x14ac:dyDescent="0.25">
      <c r="X258" s="137" t="s">
        <v>569</v>
      </c>
      <c r="Y258" s="140">
        <v>1</v>
      </c>
      <c r="Z258" s="141"/>
    </row>
    <row r="259" spans="24:26" x14ac:dyDescent="0.25">
      <c r="X259" s="137" t="s">
        <v>570</v>
      </c>
      <c r="Y259" s="140">
        <v>1</v>
      </c>
      <c r="Z259" s="141"/>
    </row>
    <row r="260" spans="24:26" x14ac:dyDescent="0.25">
      <c r="X260" s="137" t="s">
        <v>571</v>
      </c>
      <c r="Y260" s="140">
        <v>1</v>
      </c>
      <c r="Z260" s="141"/>
    </row>
    <row r="261" spans="24:26" x14ac:dyDescent="0.25">
      <c r="X261" s="137" t="s">
        <v>572</v>
      </c>
      <c r="Y261" s="140">
        <v>1</v>
      </c>
      <c r="Z261" s="141"/>
    </row>
    <row r="262" spans="24:26" x14ac:dyDescent="0.25">
      <c r="X262" s="137" t="s">
        <v>573</v>
      </c>
      <c r="Y262" s="140">
        <v>1</v>
      </c>
      <c r="Z262" s="141"/>
    </row>
    <row r="263" spans="24:26" x14ac:dyDescent="0.25">
      <c r="X263" s="137" t="s">
        <v>574</v>
      </c>
      <c r="Y263" s="140">
        <v>1</v>
      </c>
      <c r="Z263" s="141"/>
    </row>
    <row r="264" spans="24:26" x14ac:dyDescent="0.25">
      <c r="X264" s="137" t="s">
        <v>575</v>
      </c>
      <c r="Y264" s="140">
        <v>1</v>
      </c>
      <c r="Z264" s="141"/>
    </row>
    <row r="265" spans="24:26" x14ac:dyDescent="0.25">
      <c r="X265" s="137" t="s">
        <v>576</v>
      </c>
      <c r="Y265" s="140">
        <v>1</v>
      </c>
      <c r="Z265" s="141"/>
    </row>
    <row r="266" spans="24:26" x14ac:dyDescent="0.25">
      <c r="X266" s="137" t="s">
        <v>577</v>
      </c>
      <c r="Y266" s="140">
        <v>1</v>
      </c>
      <c r="Z266" s="141"/>
    </row>
    <row r="267" spans="24:26" x14ac:dyDescent="0.25">
      <c r="X267" s="137" t="s">
        <v>578</v>
      </c>
      <c r="Y267" s="140">
        <v>1</v>
      </c>
      <c r="Z267" s="141"/>
    </row>
    <row r="268" spans="24:26" x14ac:dyDescent="0.25">
      <c r="X268" s="137" t="s">
        <v>579</v>
      </c>
      <c r="Y268" s="140">
        <v>1</v>
      </c>
      <c r="Z268" s="141"/>
    </row>
    <row r="269" spans="24:26" x14ac:dyDescent="0.25">
      <c r="X269" s="137" t="s">
        <v>580</v>
      </c>
      <c r="Y269" s="140">
        <v>1</v>
      </c>
      <c r="Z269" s="141"/>
    </row>
    <row r="270" spans="24:26" x14ac:dyDescent="0.25">
      <c r="X270" s="137" t="s">
        <v>581</v>
      </c>
      <c r="Y270" s="140">
        <v>1</v>
      </c>
      <c r="Z270" s="141"/>
    </row>
    <row r="271" spans="24:26" x14ac:dyDescent="0.25">
      <c r="X271" s="137" t="s">
        <v>582</v>
      </c>
      <c r="Y271" s="140">
        <v>1</v>
      </c>
      <c r="Z271" s="141"/>
    </row>
    <row r="272" spans="24:26" x14ac:dyDescent="0.25">
      <c r="X272" s="137" t="s">
        <v>583</v>
      </c>
      <c r="Y272" s="140">
        <v>1</v>
      </c>
      <c r="Z272" s="141"/>
    </row>
    <row r="273" spans="24:26" x14ac:dyDescent="0.25">
      <c r="X273" s="137" t="s">
        <v>584</v>
      </c>
      <c r="Y273" s="140">
        <v>1</v>
      </c>
      <c r="Z273" s="141"/>
    </row>
    <row r="274" spans="24:26" x14ac:dyDescent="0.25">
      <c r="X274" s="137" t="s">
        <v>585</v>
      </c>
      <c r="Y274" s="140">
        <v>1</v>
      </c>
      <c r="Z274" s="141"/>
    </row>
    <row r="275" spans="24:26" x14ac:dyDescent="0.25">
      <c r="X275" s="137" t="s">
        <v>586</v>
      </c>
      <c r="Y275" s="140">
        <v>1</v>
      </c>
      <c r="Z275" s="141"/>
    </row>
    <row r="276" spans="24:26" x14ac:dyDescent="0.25">
      <c r="X276" s="137" t="s">
        <v>587</v>
      </c>
      <c r="Y276" s="140">
        <v>1</v>
      </c>
      <c r="Z276" s="141"/>
    </row>
    <row r="277" spans="24:26" x14ac:dyDescent="0.25">
      <c r="X277" s="137" t="s">
        <v>588</v>
      </c>
      <c r="Y277" s="140">
        <v>1</v>
      </c>
      <c r="Z277" s="141"/>
    </row>
    <row r="278" spans="24:26" x14ac:dyDescent="0.25">
      <c r="X278" s="137" t="s">
        <v>589</v>
      </c>
      <c r="Y278" s="140">
        <v>1</v>
      </c>
      <c r="Z278" s="141"/>
    </row>
    <row r="279" spans="24:26" x14ac:dyDescent="0.25">
      <c r="X279" s="137" t="s">
        <v>590</v>
      </c>
      <c r="Y279" s="140">
        <v>1</v>
      </c>
      <c r="Z279" s="141"/>
    </row>
    <row r="280" spans="24:26" x14ac:dyDescent="0.25">
      <c r="X280" s="137" t="s">
        <v>591</v>
      </c>
      <c r="Y280" s="140">
        <v>1</v>
      </c>
      <c r="Z280" s="141"/>
    </row>
    <row r="281" spans="24:26" x14ac:dyDescent="0.25">
      <c r="X281" s="137" t="s">
        <v>592</v>
      </c>
      <c r="Y281" s="140">
        <v>1</v>
      </c>
      <c r="Z281" s="141"/>
    </row>
    <row r="282" spans="24:26" x14ac:dyDescent="0.25">
      <c r="X282" s="137" t="s">
        <v>593</v>
      </c>
      <c r="Y282" s="140">
        <v>1</v>
      </c>
      <c r="Z282" s="141"/>
    </row>
    <row r="283" spans="24:26" x14ac:dyDescent="0.25">
      <c r="X283" s="137" t="s">
        <v>594</v>
      </c>
      <c r="Y283" s="140">
        <v>1</v>
      </c>
      <c r="Z283" s="141"/>
    </row>
    <row r="284" spans="24:26" x14ac:dyDescent="0.25">
      <c r="X284" s="137" t="s">
        <v>595</v>
      </c>
      <c r="Y284" s="140">
        <v>1</v>
      </c>
      <c r="Z284" s="141"/>
    </row>
    <row r="285" spans="24:26" x14ac:dyDescent="0.25">
      <c r="X285" s="137" t="s">
        <v>596</v>
      </c>
      <c r="Y285" s="140">
        <v>1</v>
      </c>
      <c r="Z285" s="141"/>
    </row>
    <row r="286" spans="24:26" x14ac:dyDescent="0.25">
      <c r="X286" s="137" t="s">
        <v>597</v>
      </c>
      <c r="Y286" s="140">
        <v>1</v>
      </c>
      <c r="Z286" s="141"/>
    </row>
    <row r="287" spans="24:26" x14ac:dyDescent="0.25">
      <c r="X287" s="137" t="s">
        <v>598</v>
      </c>
      <c r="Y287" s="140">
        <v>1</v>
      </c>
      <c r="Z287" s="141"/>
    </row>
    <row r="288" spans="24:26" x14ac:dyDescent="0.25">
      <c r="X288" s="137" t="s">
        <v>599</v>
      </c>
      <c r="Y288" s="140">
        <v>1</v>
      </c>
      <c r="Z288" s="141"/>
    </row>
    <row r="289" spans="24:26" x14ac:dyDescent="0.25">
      <c r="X289" s="137" t="s">
        <v>600</v>
      </c>
      <c r="Y289" s="140">
        <v>1</v>
      </c>
      <c r="Z289" s="141"/>
    </row>
    <row r="290" spans="24:26" x14ac:dyDescent="0.25">
      <c r="X290" s="137" t="s">
        <v>601</v>
      </c>
      <c r="Y290" s="140">
        <v>1</v>
      </c>
      <c r="Z290" s="141"/>
    </row>
    <row r="291" spans="24:26" x14ac:dyDescent="0.25">
      <c r="X291" s="137" t="s">
        <v>602</v>
      </c>
      <c r="Y291" s="140">
        <v>1</v>
      </c>
      <c r="Z291" s="141"/>
    </row>
    <row r="292" spans="24:26" x14ac:dyDescent="0.25">
      <c r="X292" s="137" t="s">
        <v>603</v>
      </c>
      <c r="Y292" s="140">
        <v>1</v>
      </c>
      <c r="Z292" s="141"/>
    </row>
    <row r="293" spans="24:26" x14ac:dyDescent="0.25">
      <c r="X293" s="137" t="s">
        <v>604</v>
      </c>
      <c r="Y293" s="140">
        <v>1</v>
      </c>
      <c r="Z293" s="141"/>
    </row>
    <row r="294" spans="24:26" x14ac:dyDescent="0.25">
      <c r="X294" s="137" t="s">
        <v>605</v>
      </c>
      <c r="Y294" s="140">
        <v>1</v>
      </c>
      <c r="Z294" s="141"/>
    </row>
    <row r="295" spans="24:26" x14ac:dyDescent="0.25">
      <c r="X295" s="137" t="s">
        <v>606</v>
      </c>
      <c r="Y295" s="140">
        <v>1</v>
      </c>
      <c r="Z295" s="141"/>
    </row>
    <row r="296" spans="24:26" x14ac:dyDescent="0.25">
      <c r="X296" s="137" t="s">
        <v>607</v>
      </c>
      <c r="Y296" s="140">
        <v>1</v>
      </c>
      <c r="Z296" s="141"/>
    </row>
    <row r="297" spans="24:26" x14ac:dyDescent="0.25">
      <c r="X297" s="137" t="s">
        <v>608</v>
      </c>
      <c r="Y297" s="140">
        <v>1</v>
      </c>
      <c r="Z297" s="141"/>
    </row>
    <row r="298" spans="24:26" x14ac:dyDescent="0.25">
      <c r="X298" s="137" t="s">
        <v>609</v>
      </c>
      <c r="Y298" s="140">
        <v>1</v>
      </c>
      <c r="Z298" s="141"/>
    </row>
    <row r="299" spans="24:26" x14ac:dyDescent="0.25">
      <c r="X299" s="137" t="s">
        <v>610</v>
      </c>
      <c r="Y299" s="140">
        <v>1</v>
      </c>
      <c r="Z299" s="141"/>
    </row>
    <row r="300" spans="24:26" x14ac:dyDescent="0.25">
      <c r="X300" s="137" t="s">
        <v>611</v>
      </c>
      <c r="Y300" s="140">
        <v>1</v>
      </c>
      <c r="Z300" s="141"/>
    </row>
    <row r="301" spans="24:26" x14ac:dyDescent="0.25">
      <c r="X301" s="137" t="s">
        <v>612</v>
      </c>
      <c r="Y301" s="140">
        <v>1</v>
      </c>
      <c r="Z301" s="141"/>
    </row>
    <row r="302" spans="24:26" x14ac:dyDescent="0.25">
      <c r="X302" s="137" t="s">
        <v>613</v>
      </c>
      <c r="Y302" s="140">
        <v>1</v>
      </c>
      <c r="Z302" s="141"/>
    </row>
    <row r="303" spans="24:26" x14ac:dyDescent="0.25">
      <c r="X303" s="137" t="s">
        <v>614</v>
      </c>
      <c r="Y303" s="140">
        <v>1</v>
      </c>
      <c r="Z303" s="141"/>
    </row>
    <row r="304" spans="24:26" x14ac:dyDescent="0.25">
      <c r="X304" s="137" t="s">
        <v>615</v>
      </c>
      <c r="Y304" s="140">
        <v>1</v>
      </c>
      <c r="Z304" s="141"/>
    </row>
    <row r="305" spans="24:26" x14ac:dyDescent="0.25">
      <c r="X305" s="137" t="s">
        <v>616</v>
      </c>
      <c r="Y305" s="140">
        <v>1</v>
      </c>
      <c r="Z305" s="141"/>
    </row>
    <row r="306" spans="24:26" x14ac:dyDescent="0.25">
      <c r="X306" s="137" t="s">
        <v>654</v>
      </c>
      <c r="Y306" s="140">
        <v>1</v>
      </c>
      <c r="Z306" s="141"/>
    </row>
    <row r="307" spans="24:26" x14ac:dyDescent="0.25">
      <c r="X307" s="137" t="s">
        <v>655</v>
      </c>
      <c r="Y307" s="140">
        <v>1</v>
      </c>
      <c r="Z307" s="141"/>
    </row>
    <row r="308" spans="24:26" x14ac:dyDescent="0.25">
      <c r="X308" s="137" t="s">
        <v>656</v>
      </c>
      <c r="Y308" s="140">
        <v>1</v>
      </c>
      <c r="Z308" s="141"/>
    </row>
    <row r="309" spans="24:26" x14ac:dyDescent="0.25">
      <c r="X309" s="137" t="s">
        <v>657</v>
      </c>
      <c r="Y309" s="140">
        <v>1</v>
      </c>
      <c r="Z309" s="141"/>
    </row>
    <row r="310" spans="24:26" x14ac:dyDescent="0.25">
      <c r="X310" s="137" t="s">
        <v>658</v>
      </c>
      <c r="Y310" s="140">
        <v>1</v>
      </c>
      <c r="Z310" s="141"/>
    </row>
    <row r="311" spans="24:26" x14ac:dyDescent="0.25">
      <c r="X311" s="137" t="s">
        <v>659</v>
      </c>
      <c r="Y311" s="140">
        <v>1</v>
      </c>
      <c r="Z311" s="141"/>
    </row>
    <row r="312" spans="24:26" x14ac:dyDescent="0.25">
      <c r="X312" s="137" t="s">
        <v>660</v>
      </c>
      <c r="Y312" s="140">
        <v>1</v>
      </c>
      <c r="Z312" s="141"/>
    </row>
    <row r="313" spans="24:26" x14ac:dyDescent="0.25">
      <c r="X313" s="137" t="s">
        <v>661</v>
      </c>
      <c r="Y313" s="140">
        <v>1</v>
      </c>
      <c r="Z313" s="141"/>
    </row>
    <row r="314" spans="24:26" x14ac:dyDescent="0.25">
      <c r="X314" s="137" t="s">
        <v>662</v>
      </c>
      <c r="Y314" s="140">
        <v>1</v>
      </c>
      <c r="Z314" s="141"/>
    </row>
    <row r="315" spans="24:26" x14ac:dyDescent="0.25">
      <c r="X315" s="137" t="s">
        <v>663</v>
      </c>
      <c r="Y315" s="140">
        <v>1</v>
      </c>
      <c r="Z315" s="141"/>
    </row>
    <row r="316" spans="24:26" x14ac:dyDescent="0.25">
      <c r="X316" s="137" t="s">
        <v>664</v>
      </c>
      <c r="Y316" s="140">
        <v>1</v>
      </c>
      <c r="Z316" s="141"/>
    </row>
    <row r="317" spans="24:26" x14ac:dyDescent="0.25">
      <c r="X317" s="137" t="s">
        <v>665</v>
      </c>
      <c r="Y317" s="140">
        <v>1</v>
      </c>
      <c r="Z317" s="141"/>
    </row>
    <row r="318" spans="24:26" x14ac:dyDescent="0.25">
      <c r="X318" s="137" t="s">
        <v>666</v>
      </c>
      <c r="Y318" s="140">
        <v>1</v>
      </c>
      <c r="Z318" s="141"/>
    </row>
    <row r="319" spans="24:26" x14ac:dyDescent="0.25">
      <c r="X319" s="137" t="s">
        <v>667</v>
      </c>
      <c r="Y319" s="140">
        <v>1</v>
      </c>
      <c r="Z319" s="141"/>
    </row>
    <row r="320" spans="24:26" x14ac:dyDescent="0.25">
      <c r="X320" s="137" t="s">
        <v>668</v>
      </c>
      <c r="Y320" s="140">
        <v>1</v>
      </c>
      <c r="Z320" s="141"/>
    </row>
    <row r="321" spans="24:26" x14ac:dyDescent="0.25">
      <c r="X321" s="137" t="s">
        <v>669</v>
      </c>
      <c r="Y321" s="140">
        <v>1</v>
      </c>
      <c r="Z321" s="141"/>
    </row>
    <row r="322" spans="24:26" x14ac:dyDescent="0.25">
      <c r="X322" s="137" t="s">
        <v>670</v>
      </c>
      <c r="Y322" s="140">
        <v>1</v>
      </c>
      <c r="Z322" s="141"/>
    </row>
    <row r="323" spans="24:26" x14ac:dyDescent="0.25">
      <c r="X323" s="137" t="s">
        <v>671</v>
      </c>
      <c r="Y323" s="140">
        <v>1</v>
      </c>
      <c r="Z323" s="141"/>
    </row>
    <row r="324" spans="24:26" x14ac:dyDescent="0.25">
      <c r="X324" s="137" t="s">
        <v>672</v>
      </c>
      <c r="Y324" s="140">
        <v>1</v>
      </c>
      <c r="Z324" s="141"/>
    </row>
    <row r="325" spans="24:26" x14ac:dyDescent="0.25">
      <c r="X325" s="137" t="s">
        <v>673</v>
      </c>
      <c r="Y325" s="140">
        <v>1</v>
      </c>
      <c r="Z325" s="141"/>
    </row>
    <row r="326" spans="24:26" x14ac:dyDescent="0.25">
      <c r="X326" s="137" t="s">
        <v>674</v>
      </c>
      <c r="Y326" s="140">
        <v>1</v>
      </c>
      <c r="Z326" s="141"/>
    </row>
    <row r="327" spans="24:26" x14ac:dyDescent="0.25">
      <c r="X327" s="137" t="s">
        <v>675</v>
      </c>
      <c r="Y327" s="140">
        <v>1</v>
      </c>
      <c r="Z327" s="141"/>
    </row>
    <row r="328" spans="24:26" x14ac:dyDescent="0.25">
      <c r="X328" s="137" t="s">
        <v>676</v>
      </c>
      <c r="Y328" s="140">
        <v>1</v>
      </c>
      <c r="Z328" s="141"/>
    </row>
    <row r="329" spans="24:26" x14ac:dyDescent="0.25">
      <c r="X329" s="137" t="s">
        <v>677</v>
      </c>
      <c r="Y329" s="140">
        <v>1</v>
      </c>
      <c r="Z329" s="141"/>
    </row>
    <row r="330" spans="24:26" x14ac:dyDescent="0.25">
      <c r="X330" s="137" t="s">
        <v>678</v>
      </c>
      <c r="Y330" s="140">
        <v>1</v>
      </c>
      <c r="Z330" s="141"/>
    </row>
    <row r="331" spans="24:26" x14ac:dyDescent="0.25">
      <c r="X331" s="137" t="s">
        <v>679</v>
      </c>
      <c r="Y331" s="140">
        <v>1</v>
      </c>
      <c r="Z331" s="141"/>
    </row>
    <row r="332" spans="24:26" x14ac:dyDescent="0.25">
      <c r="X332" s="137" t="s">
        <v>680</v>
      </c>
      <c r="Y332" s="140">
        <v>1</v>
      </c>
      <c r="Z332" s="141"/>
    </row>
    <row r="333" spans="24:26" x14ac:dyDescent="0.25">
      <c r="X333" s="137" t="s">
        <v>681</v>
      </c>
      <c r="Y333" s="140">
        <v>1</v>
      </c>
      <c r="Z333" s="141"/>
    </row>
    <row r="334" spans="24:26" x14ac:dyDescent="0.25">
      <c r="X334" s="137" t="s">
        <v>682</v>
      </c>
      <c r="Y334" s="140">
        <v>1</v>
      </c>
      <c r="Z334" s="141"/>
    </row>
    <row r="335" spans="24:26" x14ac:dyDescent="0.25">
      <c r="X335" s="137" t="s">
        <v>683</v>
      </c>
      <c r="Y335" s="140">
        <v>1</v>
      </c>
      <c r="Z335" s="141"/>
    </row>
    <row r="336" spans="24:26" x14ac:dyDescent="0.25">
      <c r="X336" s="137" t="s">
        <v>684</v>
      </c>
      <c r="Y336" s="140">
        <v>1</v>
      </c>
      <c r="Z336" s="141"/>
    </row>
    <row r="337" spans="24:26" x14ac:dyDescent="0.25">
      <c r="X337" s="137" t="s">
        <v>685</v>
      </c>
      <c r="Y337" s="140">
        <v>1</v>
      </c>
      <c r="Z337" s="141"/>
    </row>
    <row r="338" spans="24:26" x14ac:dyDescent="0.25">
      <c r="X338" s="137" t="s">
        <v>686</v>
      </c>
      <c r="Y338" s="140">
        <v>1</v>
      </c>
      <c r="Z338" s="141"/>
    </row>
    <row r="339" spans="24:26" x14ac:dyDescent="0.25">
      <c r="X339" s="137" t="s">
        <v>687</v>
      </c>
      <c r="Y339" s="140">
        <v>1</v>
      </c>
      <c r="Z339" s="141"/>
    </row>
    <row r="340" spans="24:26" x14ac:dyDescent="0.25">
      <c r="X340" s="137" t="s">
        <v>688</v>
      </c>
      <c r="Y340" s="140">
        <v>1</v>
      </c>
      <c r="Z340" s="141"/>
    </row>
    <row r="341" spans="24:26" x14ac:dyDescent="0.25">
      <c r="X341" s="137" t="s">
        <v>689</v>
      </c>
      <c r="Y341" s="140">
        <v>1</v>
      </c>
      <c r="Z341" s="141"/>
    </row>
    <row r="342" spans="24:26" x14ac:dyDescent="0.25">
      <c r="X342" s="137" t="s">
        <v>690</v>
      </c>
      <c r="Y342" s="140">
        <v>1</v>
      </c>
      <c r="Z342" s="141"/>
    </row>
    <row r="343" spans="24:26" x14ac:dyDescent="0.25">
      <c r="X343" s="137" t="s">
        <v>691</v>
      </c>
      <c r="Y343" s="140">
        <v>1</v>
      </c>
      <c r="Z343" s="141"/>
    </row>
    <row r="344" spans="24:26" x14ac:dyDescent="0.25">
      <c r="X344" s="137" t="s">
        <v>692</v>
      </c>
      <c r="Y344" s="140">
        <v>1</v>
      </c>
      <c r="Z344" s="141"/>
    </row>
    <row r="345" spans="24:26" x14ac:dyDescent="0.25">
      <c r="X345" s="137" t="s">
        <v>693</v>
      </c>
      <c r="Y345" s="140">
        <v>1</v>
      </c>
      <c r="Z345" s="141"/>
    </row>
    <row r="346" spans="24:26" x14ac:dyDescent="0.25">
      <c r="X346" s="137" t="s">
        <v>694</v>
      </c>
      <c r="Y346" s="140">
        <v>1</v>
      </c>
      <c r="Z346" s="141"/>
    </row>
    <row r="347" spans="24:26" x14ac:dyDescent="0.25">
      <c r="X347" s="137" t="s">
        <v>695</v>
      </c>
      <c r="Y347" s="140">
        <v>1</v>
      </c>
      <c r="Z347" s="141"/>
    </row>
    <row r="348" spans="24:26" x14ac:dyDescent="0.25">
      <c r="X348" s="137" t="s">
        <v>696</v>
      </c>
      <c r="Y348" s="140">
        <v>1</v>
      </c>
      <c r="Z348" s="141"/>
    </row>
    <row r="349" spans="24:26" x14ac:dyDescent="0.25">
      <c r="X349" s="137" t="s">
        <v>697</v>
      </c>
      <c r="Y349" s="140">
        <v>1</v>
      </c>
      <c r="Z349" s="141"/>
    </row>
    <row r="350" spans="24:26" x14ac:dyDescent="0.25">
      <c r="X350" s="137" t="s">
        <v>698</v>
      </c>
      <c r="Y350" s="140">
        <v>1</v>
      </c>
      <c r="Z350" s="141"/>
    </row>
    <row r="351" spans="24:26" x14ac:dyDescent="0.25">
      <c r="X351" s="137" t="s">
        <v>699</v>
      </c>
      <c r="Y351" s="140">
        <v>1</v>
      </c>
      <c r="Z351" s="141"/>
    </row>
    <row r="352" spans="24:26" x14ac:dyDescent="0.25">
      <c r="X352" s="137" t="s">
        <v>700</v>
      </c>
      <c r="Y352" s="140">
        <v>1</v>
      </c>
      <c r="Z352" s="141"/>
    </row>
    <row r="353" spans="24:26" x14ac:dyDescent="0.25">
      <c r="X353" s="137" t="s">
        <v>701</v>
      </c>
      <c r="Y353" s="140">
        <v>1</v>
      </c>
      <c r="Z353" s="141"/>
    </row>
    <row r="354" spans="24:26" x14ac:dyDescent="0.25">
      <c r="X354" s="137" t="s">
        <v>702</v>
      </c>
      <c r="Y354" s="140">
        <v>1</v>
      </c>
      <c r="Z354" s="141"/>
    </row>
    <row r="355" spans="24:26" x14ac:dyDescent="0.25">
      <c r="X355" s="137" t="s">
        <v>703</v>
      </c>
      <c r="Y355" s="140">
        <v>1</v>
      </c>
      <c r="Z355" s="141"/>
    </row>
    <row r="356" spans="24:26" x14ac:dyDescent="0.25">
      <c r="X356" s="137" t="s">
        <v>704</v>
      </c>
      <c r="Y356" s="140">
        <v>1</v>
      </c>
      <c r="Z356" s="141"/>
    </row>
    <row r="357" spans="24:26" x14ac:dyDescent="0.25">
      <c r="X357" s="137" t="s">
        <v>705</v>
      </c>
      <c r="Y357" s="140">
        <v>1</v>
      </c>
      <c r="Z357" s="141"/>
    </row>
    <row r="358" spans="24:26" x14ac:dyDescent="0.25">
      <c r="X358" s="137" t="s">
        <v>706</v>
      </c>
      <c r="Y358" s="140">
        <v>1</v>
      </c>
      <c r="Z358" s="141"/>
    </row>
    <row r="359" spans="24:26" x14ac:dyDescent="0.25">
      <c r="X359" s="137" t="s">
        <v>707</v>
      </c>
      <c r="Y359" s="140">
        <v>1</v>
      </c>
      <c r="Z359" s="141"/>
    </row>
    <row r="360" spans="24:26" x14ac:dyDescent="0.25">
      <c r="X360" s="137" t="s">
        <v>708</v>
      </c>
      <c r="Y360" s="140">
        <v>1</v>
      </c>
      <c r="Z360" s="141"/>
    </row>
    <row r="361" spans="24:26" x14ac:dyDescent="0.25">
      <c r="X361" s="137" t="s">
        <v>709</v>
      </c>
      <c r="Y361" s="140">
        <v>1</v>
      </c>
      <c r="Z361" s="141"/>
    </row>
    <row r="362" spans="24:26" x14ac:dyDescent="0.25">
      <c r="X362" s="137" t="s">
        <v>710</v>
      </c>
      <c r="Y362" s="140">
        <v>1</v>
      </c>
      <c r="Z362" s="141"/>
    </row>
    <row r="363" spans="24:26" x14ac:dyDescent="0.25">
      <c r="X363" s="137" t="s">
        <v>711</v>
      </c>
      <c r="Y363" s="140">
        <v>1</v>
      </c>
      <c r="Z363" s="141"/>
    </row>
    <row r="364" spans="24:26" x14ac:dyDescent="0.25">
      <c r="X364" s="137" t="s">
        <v>712</v>
      </c>
      <c r="Y364" s="140">
        <v>1</v>
      </c>
      <c r="Z364" s="141"/>
    </row>
    <row r="365" spans="24:26" x14ac:dyDescent="0.25">
      <c r="X365" s="137" t="s">
        <v>713</v>
      </c>
      <c r="Y365" s="140">
        <v>1</v>
      </c>
      <c r="Z365" s="141"/>
    </row>
    <row r="366" spans="24:26" x14ac:dyDescent="0.25">
      <c r="X366" s="137" t="s">
        <v>714</v>
      </c>
      <c r="Y366" s="140">
        <v>1</v>
      </c>
      <c r="Z366" s="141"/>
    </row>
    <row r="367" spans="24:26" x14ac:dyDescent="0.25">
      <c r="X367" s="137" t="s">
        <v>715</v>
      </c>
      <c r="Y367" s="140">
        <v>1</v>
      </c>
      <c r="Z367" s="141"/>
    </row>
    <row r="368" spans="24:26" x14ac:dyDescent="0.25">
      <c r="X368" s="137" t="s">
        <v>716</v>
      </c>
      <c r="Y368" s="140">
        <v>1</v>
      </c>
      <c r="Z368" s="141"/>
    </row>
    <row r="369" spans="24:26" x14ac:dyDescent="0.25">
      <c r="X369" s="137" t="s">
        <v>717</v>
      </c>
      <c r="Y369" s="140">
        <v>1</v>
      </c>
      <c r="Z369" s="141"/>
    </row>
    <row r="370" spans="24:26" x14ac:dyDescent="0.25">
      <c r="X370" s="137" t="s">
        <v>718</v>
      </c>
      <c r="Y370" s="140">
        <v>1</v>
      </c>
      <c r="Z370" s="141"/>
    </row>
    <row r="371" spans="24:26" x14ac:dyDescent="0.25">
      <c r="X371" s="137" t="s">
        <v>719</v>
      </c>
      <c r="Y371" s="140">
        <v>1</v>
      </c>
      <c r="Z371" s="141"/>
    </row>
    <row r="372" spans="24:26" x14ac:dyDescent="0.25">
      <c r="X372" s="137" t="s">
        <v>720</v>
      </c>
      <c r="Y372" s="140">
        <v>1</v>
      </c>
      <c r="Z372" s="141"/>
    </row>
    <row r="373" spans="24:26" x14ac:dyDescent="0.25">
      <c r="X373" s="137" t="s">
        <v>721</v>
      </c>
      <c r="Y373" s="140">
        <v>1</v>
      </c>
      <c r="Z373" s="141"/>
    </row>
    <row r="374" spans="24:26" x14ac:dyDescent="0.25">
      <c r="X374" s="137" t="s">
        <v>722</v>
      </c>
      <c r="Y374" s="140">
        <v>1</v>
      </c>
      <c r="Z374" s="141"/>
    </row>
    <row r="375" spans="24:26" x14ac:dyDescent="0.25">
      <c r="X375" s="137" t="s">
        <v>723</v>
      </c>
      <c r="Y375" s="140">
        <v>1</v>
      </c>
      <c r="Z375" s="141"/>
    </row>
    <row r="376" spans="24:26" x14ac:dyDescent="0.25">
      <c r="X376" s="137" t="s">
        <v>724</v>
      </c>
      <c r="Y376" s="140">
        <v>1</v>
      </c>
      <c r="Z376" s="141"/>
    </row>
    <row r="377" spans="24:26" x14ac:dyDescent="0.25">
      <c r="X377" s="137" t="s">
        <v>725</v>
      </c>
      <c r="Y377" s="140">
        <v>1</v>
      </c>
      <c r="Z377" s="141"/>
    </row>
    <row r="378" spans="24:26" x14ac:dyDescent="0.25">
      <c r="X378" s="137" t="s">
        <v>726</v>
      </c>
      <c r="Y378" s="140">
        <v>1</v>
      </c>
      <c r="Z378" s="141"/>
    </row>
    <row r="379" spans="24:26" x14ac:dyDescent="0.25">
      <c r="X379" s="137" t="s">
        <v>727</v>
      </c>
      <c r="Y379" s="140">
        <v>1</v>
      </c>
      <c r="Z379" s="141"/>
    </row>
    <row r="380" spans="24:26" x14ac:dyDescent="0.25">
      <c r="X380" s="137" t="s">
        <v>728</v>
      </c>
      <c r="Y380" s="140">
        <v>1</v>
      </c>
      <c r="Z380" s="141"/>
    </row>
    <row r="381" spans="24:26" x14ac:dyDescent="0.25">
      <c r="X381" s="137" t="s">
        <v>729</v>
      </c>
      <c r="Y381" s="140">
        <v>1</v>
      </c>
      <c r="Z381" s="141"/>
    </row>
    <row r="382" spans="24:26" x14ac:dyDescent="0.25">
      <c r="X382" s="137" t="s">
        <v>974</v>
      </c>
      <c r="Y382" s="140">
        <v>1</v>
      </c>
      <c r="Z382" s="141"/>
    </row>
    <row r="383" spans="24:26" x14ac:dyDescent="0.25">
      <c r="X383" s="137" t="s">
        <v>975</v>
      </c>
      <c r="Y383" s="140">
        <v>1</v>
      </c>
      <c r="Z383" s="141"/>
    </row>
    <row r="384" spans="24:26" x14ac:dyDescent="0.25">
      <c r="X384" s="137" t="s">
        <v>976</v>
      </c>
      <c r="Y384" s="140">
        <v>1</v>
      </c>
      <c r="Z384" s="141"/>
    </row>
    <row r="385" spans="24:26" x14ac:dyDescent="0.25">
      <c r="X385" s="137" t="s">
        <v>977</v>
      </c>
      <c r="Y385" s="140">
        <v>1</v>
      </c>
      <c r="Z385" s="141"/>
    </row>
    <row r="386" spans="24:26" x14ac:dyDescent="0.25">
      <c r="X386" s="137" t="s">
        <v>978</v>
      </c>
      <c r="Y386" s="140">
        <v>1</v>
      </c>
      <c r="Z386" s="141"/>
    </row>
    <row r="387" spans="24:26" x14ac:dyDescent="0.25">
      <c r="X387" s="137" t="s">
        <v>979</v>
      </c>
      <c r="Y387" s="140">
        <v>1</v>
      </c>
      <c r="Z387" s="141"/>
    </row>
    <row r="388" spans="24:26" x14ac:dyDescent="0.25">
      <c r="X388" s="137" t="s">
        <v>980</v>
      </c>
      <c r="Y388" s="140">
        <v>1</v>
      </c>
      <c r="Z388" s="141"/>
    </row>
    <row r="389" spans="24:26" x14ac:dyDescent="0.25">
      <c r="X389" s="137" t="s">
        <v>981</v>
      </c>
      <c r="Y389" s="140">
        <v>1</v>
      </c>
      <c r="Z389" s="141"/>
    </row>
    <row r="390" spans="24:26" x14ac:dyDescent="0.25">
      <c r="X390" s="137" t="s">
        <v>982</v>
      </c>
      <c r="Y390" s="140">
        <v>1</v>
      </c>
      <c r="Z390" s="141"/>
    </row>
    <row r="391" spans="24:26" x14ac:dyDescent="0.25">
      <c r="X391" s="137" t="s">
        <v>983</v>
      </c>
      <c r="Y391" s="140">
        <v>1</v>
      </c>
      <c r="Z391" s="141"/>
    </row>
    <row r="392" spans="24:26" x14ac:dyDescent="0.25">
      <c r="X392" s="137" t="s">
        <v>984</v>
      </c>
      <c r="Y392" s="140">
        <v>1</v>
      </c>
      <c r="Z392" s="141"/>
    </row>
    <row r="393" spans="24:26" x14ac:dyDescent="0.25">
      <c r="X393" s="137" t="s">
        <v>985</v>
      </c>
      <c r="Y393" s="140">
        <v>1</v>
      </c>
      <c r="Z393" s="141"/>
    </row>
    <row r="394" spans="24:26" x14ac:dyDescent="0.25">
      <c r="X394" s="137" t="s">
        <v>986</v>
      </c>
      <c r="Y394" s="140">
        <v>1</v>
      </c>
      <c r="Z394" s="141"/>
    </row>
    <row r="395" spans="24:26" x14ac:dyDescent="0.25">
      <c r="X395" s="137" t="s">
        <v>987</v>
      </c>
      <c r="Y395" s="140">
        <v>1</v>
      </c>
      <c r="Z395" s="141"/>
    </row>
    <row r="396" spans="24:26" x14ac:dyDescent="0.25">
      <c r="X396" s="137" t="s">
        <v>988</v>
      </c>
      <c r="Y396" s="140">
        <v>1</v>
      </c>
      <c r="Z396" s="141"/>
    </row>
    <row r="397" spans="24:26" x14ac:dyDescent="0.25">
      <c r="X397" s="137" t="s">
        <v>989</v>
      </c>
      <c r="Y397" s="140">
        <v>1</v>
      </c>
      <c r="Z397" s="141"/>
    </row>
    <row r="398" spans="24:26" x14ac:dyDescent="0.25">
      <c r="X398" s="137" t="s">
        <v>990</v>
      </c>
      <c r="Y398" s="140">
        <v>1</v>
      </c>
      <c r="Z398" s="141"/>
    </row>
    <row r="399" spans="24:26" x14ac:dyDescent="0.25">
      <c r="X399" s="137" t="s">
        <v>991</v>
      </c>
      <c r="Y399" s="140">
        <v>1</v>
      </c>
      <c r="Z399" s="141"/>
    </row>
    <row r="400" spans="24:26" x14ac:dyDescent="0.25">
      <c r="X400" s="137" t="s">
        <v>992</v>
      </c>
      <c r="Y400" s="140">
        <v>1</v>
      </c>
      <c r="Z400" s="141"/>
    </row>
    <row r="401" spans="24:26" x14ac:dyDescent="0.25">
      <c r="X401" s="137" t="s">
        <v>993</v>
      </c>
      <c r="Y401" s="140">
        <v>1</v>
      </c>
      <c r="Z401" s="141"/>
    </row>
    <row r="402" spans="24:26" x14ac:dyDescent="0.25">
      <c r="X402" s="137" t="s">
        <v>994</v>
      </c>
      <c r="Y402" s="140">
        <v>1</v>
      </c>
      <c r="Z402" s="141"/>
    </row>
    <row r="403" spans="24:26" x14ac:dyDescent="0.25">
      <c r="X403" s="137" t="s">
        <v>995</v>
      </c>
      <c r="Y403" s="140">
        <v>1</v>
      </c>
      <c r="Z403" s="141"/>
    </row>
    <row r="404" spans="24:26" x14ac:dyDescent="0.25">
      <c r="X404" s="137" t="s">
        <v>996</v>
      </c>
      <c r="Y404" s="140">
        <v>1</v>
      </c>
      <c r="Z404" s="141"/>
    </row>
    <row r="405" spans="24:26" x14ac:dyDescent="0.25">
      <c r="X405" s="137" t="s">
        <v>997</v>
      </c>
      <c r="Y405" s="140">
        <v>1</v>
      </c>
      <c r="Z405" s="141"/>
    </row>
    <row r="406" spans="24:26" x14ac:dyDescent="0.25">
      <c r="X406" s="137" t="s">
        <v>998</v>
      </c>
      <c r="Y406" s="140">
        <v>1</v>
      </c>
      <c r="Z406" s="141"/>
    </row>
    <row r="407" spans="24:26" x14ac:dyDescent="0.25">
      <c r="X407" s="137" t="s">
        <v>999</v>
      </c>
      <c r="Y407" s="140">
        <v>1</v>
      </c>
      <c r="Z407" s="141"/>
    </row>
    <row r="408" spans="24:26" x14ac:dyDescent="0.25">
      <c r="X408" s="137" t="s">
        <v>1000</v>
      </c>
      <c r="Y408" s="140">
        <v>1</v>
      </c>
      <c r="Z408" s="141"/>
    </row>
    <row r="409" spans="24:26" x14ac:dyDescent="0.25">
      <c r="X409" s="137" t="s">
        <v>1001</v>
      </c>
      <c r="Y409" s="140">
        <v>1</v>
      </c>
      <c r="Z409" s="141"/>
    </row>
    <row r="410" spans="24:26" x14ac:dyDescent="0.25">
      <c r="X410" s="137" t="s">
        <v>1002</v>
      </c>
      <c r="Y410" s="140">
        <v>1</v>
      </c>
      <c r="Z410" s="141"/>
    </row>
    <row r="411" spans="24:26" x14ac:dyDescent="0.25">
      <c r="X411" s="137" t="s">
        <v>1003</v>
      </c>
      <c r="Y411" s="140">
        <v>1</v>
      </c>
      <c r="Z411" s="141"/>
    </row>
    <row r="412" spans="24:26" x14ac:dyDescent="0.25">
      <c r="X412" s="137" t="s">
        <v>1004</v>
      </c>
      <c r="Y412" s="140">
        <v>1</v>
      </c>
      <c r="Z412" s="141"/>
    </row>
    <row r="413" spans="24:26" x14ac:dyDescent="0.25">
      <c r="X413" s="137" t="s">
        <v>1005</v>
      </c>
      <c r="Y413" s="140">
        <v>1</v>
      </c>
      <c r="Z413" s="141"/>
    </row>
    <row r="414" spans="24:26" x14ac:dyDescent="0.25">
      <c r="X414" s="137" t="s">
        <v>1006</v>
      </c>
      <c r="Y414" s="140">
        <v>1</v>
      </c>
      <c r="Z414" s="141"/>
    </row>
    <row r="415" spans="24:26" x14ac:dyDescent="0.25">
      <c r="X415" s="137" t="s">
        <v>1007</v>
      </c>
      <c r="Y415" s="140">
        <v>1</v>
      </c>
      <c r="Z415" s="141"/>
    </row>
    <row r="416" spans="24:26" x14ac:dyDescent="0.25">
      <c r="X416" s="137" t="s">
        <v>1008</v>
      </c>
      <c r="Y416" s="140">
        <v>1</v>
      </c>
      <c r="Z416" s="141"/>
    </row>
    <row r="417" spans="24:26" x14ac:dyDescent="0.25">
      <c r="X417" s="137" t="s">
        <v>1009</v>
      </c>
      <c r="Y417" s="140">
        <v>1</v>
      </c>
      <c r="Z417" s="141"/>
    </row>
    <row r="418" spans="24:26" x14ac:dyDescent="0.25">
      <c r="X418" s="137" t="s">
        <v>1010</v>
      </c>
      <c r="Y418" s="140">
        <v>1</v>
      </c>
      <c r="Z418" s="141"/>
    </row>
    <row r="419" spans="24:26" x14ac:dyDescent="0.25">
      <c r="X419" s="137" t="s">
        <v>1011</v>
      </c>
      <c r="Y419" s="140">
        <v>1</v>
      </c>
      <c r="Z419" s="141"/>
    </row>
    <row r="420" spans="24:26" x14ac:dyDescent="0.25">
      <c r="X420" s="137" t="s">
        <v>1012</v>
      </c>
      <c r="Y420" s="140">
        <v>1</v>
      </c>
      <c r="Z420" s="141"/>
    </row>
    <row r="421" spans="24:26" x14ac:dyDescent="0.25">
      <c r="X421" s="137" t="s">
        <v>1013</v>
      </c>
      <c r="Y421" s="140">
        <v>1</v>
      </c>
      <c r="Z421" s="141"/>
    </row>
    <row r="422" spans="24:26" x14ac:dyDescent="0.25">
      <c r="X422" s="137" t="s">
        <v>1014</v>
      </c>
      <c r="Y422" s="140">
        <v>1</v>
      </c>
      <c r="Z422" s="141"/>
    </row>
    <row r="423" spans="24:26" x14ac:dyDescent="0.25">
      <c r="X423" s="137" t="s">
        <v>1015</v>
      </c>
      <c r="Y423" s="140">
        <v>1</v>
      </c>
      <c r="Z423" s="141"/>
    </row>
    <row r="424" spans="24:26" x14ac:dyDescent="0.25">
      <c r="X424" s="137" t="s">
        <v>1016</v>
      </c>
      <c r="Y424" s="140">
        <v>1</v>
      </c>
      <c r="Z424" s="141"/>
    </row>
    <row r="425" spans="24:26" x14ac:dyDescent="0.25">
      <c r="X425" s="137" t="s">
        <v>1017</v>
      </c>
      <c r="Y425" s="140">
        <v>1</v>
      </c>
      <c r="Z425" s="141"/>
    </row>
    <row r="426" spans="24:26" x14ac:dyDescent="0.25">
      <c r="X426" s="137" t="s">
        <v>1018</v>
      </c>
      <c r="Y426" s="140">
        <v>1</v>
      </c>
      <c r="Z426" s="141"/>
    </row>
    <row r="427" spans="24:26" x14ac:dyDescent="0.25">
      <c r="X427" s="137" t="s">
        <v>1019</v>
      </c>
      <c r="Y427" s="140">
        <v>1</v>
      </c>
      <c r="Z427" s="141"/>
    </row>
    <row r="428" spans="24:26" x14ac:dyDescent="0.25">
      <c r="X428" s="137" t="s">
        <v>1020</v>
      </c>
      <c r="Y428" s="140">
        <v>1</v>
      </c>
      <c r="Z428" s="141"/>
    </row>
    <row r="429" spans="24:26" x14ac:dyDescent="0.25">
      <c r="X429" s="137" t="s">
        <v>1021</v>
      </c>
      <c r="Y429" s="140">
        <v>1</v>
      </c>
      <c r="Z429" s="141"/>
    </row>
    <row r="430" spans="24:26" x14ac:dyDescent="0.25">
      <c r="X430" s="137" t="s">
        <v>1022</v>
      </c>
      <c r="Y430" s="140">
        <v>1</v>
      </c>
      <c r="Z430" s="141"/>
    </row>
    <row r="431" spans="24:26" x14ac:dyDescent="0.25">
      <c r="X431" s="137" t="s">
        <v>1023</v>
      </c>
      <c r="Y431" s="140">
        <v>1</v>
      </c>
      <c r="Z431" s="141"/>
    </row>
    <row r="432" spans="24:26" x14ac:dyDescent="0.25">
      <c r="X432" s="137" t="s">
        <v>1024</v>
      </c>
      <c r="Y432" s="140">
        <v>1</v>
      </c>
      <c r="Z432" s="141"/>
    </row>
    <row r="433" spans="24:26" x14ac:dyDescent="0.25">
      <c r="X433" s="137" t="s">
        <v>1025</v>
      </c>
      <c r="Y433" s="140">
        <v>1</v>
      </c>
      <c r="Z433" s="141"/>
    </row>
    <row r="434" spans="24:26" x14ac:dyDescent="0.25">
      <c r="X434" s="137" t="s">
        <v>1026</v>
      </c>
      <c r="Y434" s="140">
        <v>1</v>
      </c>
      <c r="Z434" s="141"/>
    </row>
    <row r="435" spans="24:26" x14ac:dyDescent="0.25">
      <c r="X435" s="137" t="s">
        <v>1027</v>
      </c>
      <c r="Y435" s="140">
        <v>1</v>
      </c>
      <c r="Z435" s="141"/>
    </row>
    <row r="436" spans="24:26" x14ac:dyDescent="0.25">
      <c r="X436" s="137" t="s">
        <v>1028</v>
      </c>
      <c r="Y436" s="140">
        <v>1</v>
      </c>
      <c r="Z436" s="141"/>
    </row>
    <row r="437" spans="24:26" x14ac:dyDescent="0.25">
      <c r="X437" s="137" t="s">
        <v>1029</v>
      </c>
      <c r="Y437" s="140">
        <v>1</v>
      </c>
      <c r="Z437" s="141"/>
    </row>
    <row r="438" spans="24:26" x14ac:dyDescent="0.25">
      <c r="X438" s="137" t="s">
        <v>1030</v>
      </c>
      <c r="Y438" s="140">
        <v>1</v>
      </c>
      <c r="Z438" s="141"/>
    </row>
    <row r="439" spans="24:26" x14ac:dyDescent="0.25">
      <c r="X439" s="137" t="s">
        <v>1031</v>
      </c>
      <c r="Y439" s="140">
        <v>1</v>
      </c>
      <c r="Z439" s="141"/>
    </row>
    <row r="440" spans="24:26" x14ac:dyDescent="0.25">
      <c r="X440" s="137" t="s">
        <v>1032</v>
      </c>
      <c r="Y440" s="140">
        <v>1</v>
      </c>
      <c r="Z440" s="141"/>
    </row>
    <row r="441" spans="24:26" x14ac:dyDescent="0.25">
      <c r="X441" s="137" t="s">
        <v>1033</v>
      </c>
      <c r="Y441" s="140">
        <v>1</v>
      </c>
      <c r="Z441" s="141"/>
    </row>
    <row r="442" spans="24:26" x14ac:dyDescent="0.25">
      <c r="X442" s="137" t="s">
        <v>1034</v>
      </c>
      <c r="Y442" s="140">
        <v>1</v>
      </c>
      <c r="Z442" s="141"/>
    </row>
    <row r="443" spans="24:26" x14ac:dyDescent="0.25">
      <c r="X443" s="137" t="s">
        <v>1035</v>
      </c>
      <c r="Y443" s="140">
        <v>1</v>
      </c>
      <c r="Z443" s="141"/>
    </row>
    <row r="444" spans="24:26" x14ac:dyDescent="0.25">
      <c r="X444" s="137" t="s">
        <v>1036</v>
      </c>
      <c r="Y444" s="140">
        <v>1</v>
      </c>
      <c r="Z444" s="141"/>
    </row>
    <row r="445" spans="24:26" x14ac:dyDescent="0.25">
      <c r="X445" s="137" t="s">
        <v>1037</v>
      </c>
      <c r="Y445" s="140">
        <v>1</v>
      </c>
      <c r="Z445" s="141"/>
    </row>
    <row r="446" spans="24:26" x14ac:dyDescent="0.25">
      <c r="X446" s="137" t="s">
        <v>1038</v>
      </c>
      <c r="Y446" s="140">
        <v>1</v>
      </c>
      <c r="Z446" s="141"/>
    </row>
    <row r="447" spans="24:26" x14ac:dyDescent="0.25">
      <c r="X447" s="137" t="s">
        <v>1039</v>
      </c>
      <c r="Y447" s="140">
        <v>1</v>
      </c>
      <c r="Z447" s="141"/>
    </row>
    <row r="448" spans="24:26" x14ac:dyDescent="0.25">
      <c r="X448" s="137" t="s">
        <v>1040</v>
      </c>
      <c r="Y448" s="140">
        <v>1</v>
      </c>
      <c r="Z448" s="141"/>
    </row>
    <row r="449" spans="24:26" x14ac:dyDescent="0.25">
      <c r="X449" s="137" t="s">
        <v>1041</v>
      </c>
      <c r="Y449" s="140">
        <v>1</v>
      </c>
      <c r="Z449" s="141"/>
    </row>
    <row r="450" spans="24:26" x14ac:dyDescent="0.25">
      <c r="X450" s="137" t="s">
        <v>1042</v>
      </c>
      <c r="Y450" s="140">
        <v>1</v>
      </c>
      <c r="Z450" s="141"/>
    </row>
    <row r="451" spans="24:26" x14ac:dyDescent="0.25">
      <c r="X451" s="137" t="s">
        <v>1043</v>
      </c>
      <c r="Y451" s="140">
        <v>1</v>
      </c>
      <c r="Z451" s="141"/>
    </row>
    <row r="452" spans="24:26" x14ac:dyDescent="0.25">
      <c r="X452" s="137" t="s">
        <v>1044</v>
      </c>
      <c r="Y452" s="140">
        <v>1</v>
      </c>
      <c r="Z452" s="141"/>
    </row>
    <row r="453" spans="24:26" x14ac:dyDescent="0.25">
      <c r="X453" s="137" t="s">
        <v>1045</v>
      </c>
      <c r="Y453" s="140">
        <v>1</v>
      </c>
      <c r="Z453" s="141"/>
    </row>
    <row r="454" spans="24:26" x14ac:dyDescent="0.25">
      <c r="X454" s="137" t="s">
        <v>1046</v>
      </c>
      <c r="Y454" s="140">
        <v>1</v>
      </c>
      <c r="Z454" s="141"/>
    </row>
    <row r="455" spans="24:26" x14ac:dyDescent="0.25">
      <c r="X455" s="137" t="s">
        <v>1047</v>
      </c>
      <c r="Y455" s="140">
        <v>1</v>
      </c>
      <c r="Z455" s="141"/>
    </row>
    <row r="456" spans="24:26" x14ac:dyDescent="0.25">
      <c r="X456" s="137" t="s">
        <v>1048</v>
      </c>
      <c r="Y456" s="140">
        <v>1</v>
      </c>
      <c r="Z456" s="141"/>
    </row>
    <row r="457" spans="24:26" x14ac:dyDescent="0.25">
      <c r="X457" s="137" t="s">
        <v>1049</v>
      </c>
      <c r="Y457" s="140">
        <v>1</v>
      </c>
      <c r="Z457" s="141"/>
    </row>
    <row r="458" spans="24:26" x14ac:dyDescent="0.25">
      <c r="X458" s="137" t="s">
        <v>1050</v>
      </c>
      <c r="Y458" s="140">
        <v>1</v>
      </c>
      <c r="Z458" s="141"/>
    </row>
    <row r="459" spans="24:26" x14ac:dyDescent="0.25">
      <c r="X459" s="137" t="s">
        <v>1051</v>
      </c>
      <c r="Y459" s="140">
        <v>1</v>
      </c>
      <c r="Z459" s="141"/>
    </row>
    <row r="460" spans="24:26" x14ac:dyDescent="0.25">
      <c r="X460" s="137" t="s">
        <v>1052</v>
      </c>
      <c r="Y460" s="140">
        <v>1</v>
      </c>
      <c r="Z460" s="141"/>
    </row>
    <row r="461" spans="24:26" x14ac:dyDescent="0.25">
      <c r="X461" s="137" t="s">
        <v>1053</v>
      </c>
      <c r="Y461" s="140">
        <v>1</v>
      </c>
      <c r="Z461" s="141"/>
    </row>
    <row r="462" spans="24:26" x14ac:dyDescent="0.25">
      <c r="X462" s="137" t="s">
        <v>1054</v>
      </c>
      <c r="Y462" s="140">
        <v>1</v>
      </c>
      <c r="Z462" s="141"/>
    </row>
    <row r="463" spans="24:26" x14ac:dyDescent="0.25">
      <c r="X463" s="137" t="s">
        <v>1055</v>
      </c>
      <c r="Y463" s="140">
        <v>1</v>
      </c>
      <c r="Z463" s="141"/>
    </row>
    <row r="464" spans="24:26" x14ac:dyDescent="0.25">
      <c r="X464" s="137" t="s">
        <v>1056</v>
      </c>
      <c r="Y464" s="140">
        <v>1</v>
      </c>
      <c r="Z464" s="141"/>
    </row>
    <row r="465" spans="24:26" x14ac:dyDescent="0.25">
      <c r="X465" s="137" t="s">
        <v>1057</v>
      </c>
      <c r="Y465" s="140">
        <v>1</v>
      </c>
      <c r="Z465" s="141"/>
    </row>
    <row r="466" spans="24:26" x14ac:dyDescent="0.25">
      <c r="X466" s="137" t="s">
        <v>1058</v>
      </c>
      <c r="Y466" s="140">
        <v>1</v>
      </c>
      <c r="Z466" s="141"/>
    </row>
    <row r="467" spans="24:26" x14ac:dyDescent="0.25">
      <c r="X467" s="137" t="s">
        <v>1059</v>
      </c>
      <c r="Y467" s="140">
        <v>1</v>
      </c>
      <c r="Z467" s="141"/>
    </row>
    <row r="468" spans="24:26" x14ac:dyDescent="0.25">
      <c r="X468" s="137" t="s">
        <v>1060</v>
      </c>
      <c r="Y468" s="140">
        <v>1</v>
      </c>
      <c r="Z468" s="141"/>
    </row>
    <row r="469" spans="24:26" x14ac:dyDescent="0.25">
      <c r="X469" s="137" t="s">
        <v>1061</v>
      </c>
      <c r="Y469" s="140">
        <v>1</v>
      </c>
      <c r="Z469" s="141"/>
    </row>
    <row r="470" spans="24:26" x14ac:dyDescent="0.25">
      <c r="X470" s="137" t="s">
        <v>1062</v>
      </c>
      <c r="Y470" s="140">
        <v>1</v>
      </c>
      <c r="Z470" s="141"/>
    </row>
    <row r="471" spans="24:26" x14ac:dyDescent="0.25">
      <c r="X471" s="137" t="s">
        <v>1063</v>
      </c>
      <c r="Y471" s="140">
        <v>1</v>
      </c>
      <c r="Z471" s="141"/>
    </row>
    <row r="472" spans="24:26" x14ac:dyDescent="0.25">
      <c r="X472" s="137" t="s">
        <v>1064</v>
      </c>
      <c r="Y472" s="140">
        <v>1</v>
      </c>
      <c r="Z472" s="141"/>
    </row>
    <row r="473" spans="24:26" x14ac:dyDescent="0.25">
      <c r="X473" s="137" t="s">
        <v>1065</v>
      </c>
      <c r="Y473" s="140">
        <v>1</v>
      </c>
      <c r="Z473" s="141"/>
    </row>
    <row r="474" spans="24:26" x14ac:dyDescent="0.25">
      <c r="X474" s="137" t="s">
        <v>1066</v>
      </c>
      <c r="Y474" s="140">
        <v>1</v>
      </c>
      <c r="Z474" s="141"/>
    </row>
    <row r="475" spans="24:26" x14ac:dyDescent="0.25">
      <c r="X475" s="137" t="s">
        <v>1067</v>
      </c>
      <c r="Y475" s="140">
        <v>1</v>
      </c>
      <c r="Z475" s="141"/>
    </row>
    <row r="476" spans="24:26" x14ac:dyDescent="0.25">
      <c r="X476" s="137" t="s">
        <v>1068</v>
      </c>
      <c r="Y476" s="140">
        <v>1</v>
      </c>
      <c r="Z476" s="141"/>
    </row>
    <row r="477" spans="24:26" x14ac:dyDescent="0.25">
      <c r="X477" s="137" t="s">
        <v>1069</v>
      </c>
      <c r="Y477" s="140">
        <v>1</v>
      </c>
      <c r="Z477" s="141"/>
    </row>
    <row r="478" spans="24:26" x14ac:dyDescent="0.25">
      <c r="X478" s="137" t="s">
        <v>1070</v>
      </c>
      <c r="Y478" s="140">
        <v>1</v>
      </c>
      <c r="Z478" s="141"/>
    </row>
    <row r="479" spans="24:26" x14ac:dyDescent="0.25">
      <c r="X479" s="137" t="s">
        <v>1071</v>
      </c>
      <c r="Y479" s="140">
        <v>1</v>
      </c>
      <c r="Z479" s="141"/>
    </row>
    <row r="480" spans="24:26" x14ac:dyDescent="0.25">
      <c r="X480" s="137" t="s">
        <v>1072</v>
      </c>
      <c r="Y480" s="140">
        <v>1</v>
      </c>
      <c r="Z480" s="141"/>
    </row>
    <row r="481" spans="24:26" x14ac:dyDescent="0.25">
      <c r="X481" s="137" t="s">
        <v>1073</v>
      </c>
      <c r="Y481" s="140">
        <v>1</v>
      </c>
      <c r="Z481" s="141"/>
    </row>
    <row r="482" spans="24:26" x14ac:dyDescent="0.25">
      <c r="X482" s="137" t="s">
        <v>1074</v>
      </c>
      <c r="Y482" s="140">
        <v>1</v>
      </c>
      <c r="Z482" s="141"/>
    </row>
    <row r="483" spans="24:26" x14ac:dyDescent="0.25">
      <c r="X483" s="137" t="s">
        <v>1075</v>
      </c>
      <c r="Y483" s="140">
        <v>1</v>
      </c>
      <c r="Z483" s="141"/>
    </row>
    <row r="484" spans="24:26" x14ac:dyDescent="0.25">
      <c r="X484" s="137" t="s">
        <v>1076</v>
      </c>
      <c r="Y484" s="140">
        <v>1</v>
      </c>
      <c r="Z484" s="141"/>
    </row>
    <row r="485" spans="24:26" x14ac:dyDescent="0.25">
      <c r="X485" s="137" t="s">
        <v>1077</v>
      </c>
      <c r="Y485" s="140">
        <v>1</v>
      </c>
      <c r="Z485" s="141"/>
    </row>
    <row r="486" spans="24:26" x14ac:dyDescent="0.25">
      <c r="X486" s="137" t="s">
        <v>1078</v>
      </c>
      <c r="Y486" s="140">
        <v>1</v>
      </c>
      <c r="Z486" s="141"/>
    </row>
    <row r="487" spans="24:26" x14ac:dyDescent="0.25">
      <c r="X487" s="137" t="s">
        <v>1079</v>
      </c>
      <c r="Y487" s="140">
        <v>1</v>
      </c>
      <c r="Z487" s="141"/>
    </row>
    <row r="488" spans="24:26" x14ac:dyDescent="0.25">
      <c r="X488" s="137" t="s">
        <v>1080</v>
      </c>
      <c r="Y488" s="140">
        <v>1</v>
      </c>
      <c r="Z488" s="141"/>
    </row>
    <row r="489" spans="24:26" x14ac:dyDescent="0.25">
      <c r="X489" s="137" t="s">
        <v>1081</v>
      </c>
      <c r="Y489" s="140">
        <v>1</v>
      </c>
      <c r="Z489" s="141"/>
    </row>
    <row r="490" spans="24:26" x14ac:dyDescent="0.25">
      <c r="X490" s="137" t="s">
        <v>1082</v>
      </c>
      <c r="Y490" s="140">
        <v>1</v>
      </c>
      <c r="Z490" s="141"/>
    </row>
    <row r="491" spans="24:26" x14ac:dyDescent="0.25">
      <c r="X491" s="137" t="s">
        <v>1083</v>
      </c>
      <c r="Y491" s="140">
        <v>1</v>
      </c>
      <c r="Z491" s="141"/>
    </row>
    <row r="492" spans="24:26" x14ac:dyDescent="0.25">
      <c r="X492" s="137" t="s">
        <v>1084</v>
      </c>
      <c r="Y492" s="140">
        <v>1</v>
      </c>
      <c r="Z492" s="141"/>
    </row>
    <row r="493" spans="24:26" x14ac:dyDescent="0.25">
      <c r="X493" s="137" t="s">
        <v>1085</v>
      </c>
      <c r="Y493" s="140">
        <v>1</v>
      </c>
      <c r="Z493" s="141"/>
    </row>
    <row r="494" spans="24:26" x14ac:dyDescent="0.25">
      <c r="X494" s="137" t="s">
        <v>1086</v>
      </c>
      <c r="Y494" s="140">
        <v>1</v>
      </c>
      <c r="Z494" s="141"/>
    </row>
    <row r="495" spans="24:26" x14ac:dyDescent="0.25">
      <c r="X495" s="137" t="s">
        <v>1087</v>
      </c>
      <c r="Y495" s="140">
        <v>1</v>
      </c>
      <c r="Z495" s="141"/>
    </row>
    <row r="496" spans="24:26" x14ac:dyDescent="0.25">
      <c r="X496" s="137" t="s">
        <v>1088</v>
      </c>
      <c r="Y496" s="140">
        <v>1</v>
      </c>
      <c r="Z496" s="141"/>
    </row>
    <row r="497" spans="24:26" x14ac:dyDescent="0.25">
      <c r="X497" s="137" t="s">
        <v>1089</v>
      </c>
      <c r="Y497" s="140">
        <v>1</v>
      </c>
      <c r="Z497" s="141"/>
    </row>
    <row r="498" spans="24:26" x14ac:dyDescent="0.25">
      <c r="X498" s="137" t="s">
        <v>1090</v>
      </c>
      <c r="Y498" s="140">
        <v>1</v>
      </c>
      <c r="Z498" s="141"/>
    </row>
    <row r="499" spans="24:26" x14ac:dyDescent="0.25">
      <c r="X499" s="137" t="s">
        <v>1091</v>
      </c>
      <c r="Y499" s="140">
        <v>1</v>
      </c>
      <c r="Z499" s="141"/>
    </row>
    <row r="500" spans="24:26" x14ac:dyDescent="0.25">
      <c r="X500" s="137" t="s">
        <v>1092</v>
      </c>
      <c r="Y500" s="140">
        <v>1</v>
      </c>
      <c r="Z500" s="141"/>
    </row>
    <row r="501" spans="24:26" x14ac:dyDescent="0.25">
      <c r="X501" s="137" t="s">
        <v>1093</v>
      </c>
      <c r="Y501" s="140">
        <v>1</v>
      </c>
      <c r="Z501" s="141"/>
    </row>
    <row r="502" spans="24:26" x14ac:dyDescent="0.25">
      <c r="X502" s="137" t="s">
        <v>1094</v>
      </c>
      <c r="Y502" s="140">
        <v>1</v>
      </c>
      <c r="Z502" s="141"/>
    </row>
    <row r="503" spans="24:26" x14ac:dyDescent="0.25">
      <c r="X503" s="137" t="s">
        <v>1095</v>
      </c>
      <c r="Y503" s="140">
        <v>1</v>
      </c>
      <c r="Z503" s="141"/>
    </row>
    <row r="504" spans="24:26" x14ac:dyDescent="0.25">
      <c r="X504" s="137" t="s">
        <v>1096</v>
      </c>
      <c r="Y504" s="140">
        <v>1</v>
      </c>
      <c r="Z504" s="141"/>
    </row>
    <row r="505" spans="24:26" x14ac:dyDescent="0.25">
      <c r="X505" s="137" t="s">
        <v>1097</v>
      </c>
      <c r="Y505" s="140">
        <v>1</v>
      </c>
      <c r="Z505" s="141"/>
    </row>
    <row r="506" spans="24:26" x14ac:dyDescent="0.25">
      <c r="X506" s="137" t="s">
        <v>1098</v>
      </c>
      <c r="Y506" s="140">
        <v>1</v>
      </c>
      <c r="Z506" s="141"/>
    </row>
    <row r="507" spans="24:26" x14ac:dyDescent="0.25">
      <c r="X507" s="137" t="s">
        <v>1099</v>
      </c>
      <c r="Y507" s="140">
        <v>1</v>
      </c>
      <c r="Z507" s="141"/>
    </row>
    <row r="508" spans="24:26" x14ac:dyDescent="0.25">
      <c r="X508" s="137" t="s">
        <v>1100</v>
      </c>
      <c r="Y508" s="140">
        <v>1</v>
      </c>
      <c r="Z508" s="141"/>
    </row>
    <row r="509" spans="24:26" x14ac:dyDescent="0.25">
      <c r="X509" s="136" t="s">
        <v>618</v>
      </c>
      <c r="Y509" s="140">
        <v>182</v>
      </c>
      <c r="Z509" s="141"/>
    </row>
    <row r="510" spans="24:26" x14ac:dyDescent="0.25">
      <c r="X510" s="137" t="s">
        <v>617</v>
      </c>
      <c r="Y510" s="140">
        <v>1</v>
      </c>
      <c r="Z510" s="141"/>
    </row>
    <row r="511" spans="24:26" x14ac:dyDescent="0.25">
      <c r="X511" s="137" t="s">
        <v>619</v>
      </c>
      <c r="Y511" s="140">
        <v>1</v>
      </c>
      <c r="Z511" s="141"/>
    </row>
    <row r="512" spans="24:26" x14ac:dyDescent="0.25">
      <c r="X512" s="137" t="s">
        <v>620</v>
      </c>
      <c r="Y512" s="140">
        <v>1</v>
      </c>
      <c r="Z512" s="141"/>
    </row>
    <row r="513" spans="24:26" x14ac:dyDescent="0.25">
      <c r="X513" s="137" t="s">
        <v>621</v>
      </c>
      <c r="Y513" s="140">
        <v>1</v>
      </c>
      <c r="Z513" s="141"/>
    </row>
    <row r="514" spans="24:26" x14ac:dyDescent="0.25">
      <c r="X514" s="137" t="s">
        <v>622</v>
      </c>
      <c r="Y514" s="140">
        <v>1</v>
      </c>
      <c r="Z514" s="141"/>
    </row>
    <row r="515" spans="24:26" x14ac:dyDescent="0.25">
      <c r="X515" s="137" t="s">
        <v>623</v>
      </c>
      <c r="Y515" s="140">
        <v>1</v>
      </c>
      <c r="Z515" s="141"/>
    </row>
    <row r="516" spans="24:26" x14ac:dyDescent="0.25">
      <c r="X516" s="137" t="s">
        <v>624</v>
      </c>
      <c r="Y516" s="140">
        <v>1</v>
      </c>
      <c r="Z516" s="141"/>
    </row>
    <row r="517" spans="24:26" x14ac:dyDescent="0.25">
      <c r="X517" s="137" t="s">
        <v>625</v>
      </c>
      <c r="Y517" s="140">
        <v>1</v>
      </c>
      <c r="Z517" s="141"/>
    </row>
    <row r="518" spans="24:26" x14ac:dyDescent="0.25">
      <c r="X518" s="137" t="s">
        <v>626</v>
      </c>
      <c r="Y518" s="140">
        <v>1</v>
      </c>
      <c r="Z518" s="141"/>
    </row>
    <row r="519" spans="24:26" x14ac:dyDescent="0.25">
      <c r="X519" s="137" t="s">
        <v>627</v>
      </c>
      <c r="Y519" s="140">
        <v>1</v>
      </c>
      <c r="Z519" s="141"/>
    </row>
    <row r="520" spans="24:26" x14ac:dyDescent="0.25">
      <c r="X520" s="137" t="s">
        <v>628</v>
      </c>
      <c r="Y520" s="140">
        <v>1</v>
      </c>
      <c r="Z520" s="141"/>
    </row>
    <row r="521" spans="24:26" x14ac:dyDescent="0.25">
      <c r="X521" s="137" t="s">
        <v>629</v>
      </c>
      <c r="Y521" s="140">
        <v>1</v>
      </c>
      <c r="Z521" s="141"/>
    </row>
    <row r="522" spans="24:26" x14ac:dyDescent="0.25">
      <c r="X522" s="137" t="s">
        <v>630</v>
      </c>
      <c r="Y522" s="140">
        <v>1</v>
      </c>
      <c r="Z522" s="141"/>
    </row>
    <row r="523" spans="24:26" x14ac:dyDescent="0.25">
      <c r="X523" s="137" t="s">
        <v>631</v>
      </c>
      <c r="Y523" s="140">
        <v>1</v>
      </c>
      <c r="Z523" s="141"/>
    </row>
    <row r="524" spans="24:26" x14ac:dyDescent="0.25">
      <c r="X524" s="137" t="s">
        <v>632</v>
      </c>
      <c r="Y524" s="140">
        <v>1</v>
      </c>
      <c r="Z524" s="141"/>
    </row>
    <row r="525" spans="24:26" x14ac:dyDescent="0.25">
      <c r="X525" s="137" t="s">
        <v>633</v>
      </c>
      <c r="Y525" s="140">
        <v>1</v>
      </c>
      <c r="Z525" s="141"/>
    </row>
    <row r="526" spans="24:26" x14ac:dyDescent="0.25">
      <c r="X526" s="137" t="s">
        <v>634</v>
      </c>
      <c r="Y526" s="140">
        <v>1</v>
      </c>
      <c r="Z526" s="141"/>
    </row>
    <row r="527" spans="24:26" x14ac:dyDescent="0.25">
      <c r="X527" s="137" t="s">
        <v>635</v>
      </c>
      <c r="Y527" s="140">
        <v>1</v>
      </c>
      <c r="Z527" s="141"/>
    </row>
    <row r="528" spans="24:26" x14ac:dyDescent="0.25">
      <c r="X528" s="137" t="s">
        <v>636</v>
      </c>
      <c r="Y528" s="140">
        <v>1</v>
      </c>
      <c r="Z528" s="141"/>
    </row>
    <row r="529" spans="24:26" x14ac:dyDescent="0.25">
      <c r="X529" s="137" t="s">
        <v>637</v>
      </c>
      <c r="Y529" s="140">
        <v>1</v>
      </c>
      <c r="Z529" s="141"/>
    </row>
    <row r="530" spans="24:26" x14ac:dyDescent="0.25">
      <c r="X530" s="137" t="s">
        <v>638</v>
      </c>
      <c r="Y530" s="140">
        <v>1</v>
      </c>
      <c r="Z530" s="141"/>
    </row>
    <row r="531" spans="24:26" x14ac:dyDescent="0.25">
      <c r="X531" s="137" t="s">
        <v>639</v>
      </c>
      <c r="Y531" s="140">
        <v>1</v>
      </c>
      <c r="Z531" s="141"/>
    </row>
    <row r="532" spans="24:26" x14ac:dyDescent="0.25">
      <c r="X532" s="137" t="s">
        <v>640</v>
      </c>
      <c r="Y532" s="140">
        <v>1</v>
      </c>
      <c r="Z532" s="141"/>
    </row>
    <row r="533" spans="24:26" x14ac:dyDescent="0.25">
      <c r="X533" s="137" t="s">
        <v>641</v>
      </c>
      <c r="Y533" s="140">
        <v>1</v>
      </c>
      <c r="Z533" s="141"/>
    </row>
    <row r="534" spans="24:26" x14ac:dyDescent="0.25">
      <c r="X534" s="137" t="s">
        <v>642</v>
      </c>
      <c r="Y534" s="140">
        <v>1</v>
      </c>
      <c r="Z534" s="141"/>
    </row>
    <row r="535" spans="24:26" x14ac:dyDescent="0.25">
      <c r="X535" s="137" t="s">
        <v>643</v>
      </c>
      <c r="Y535" s="140">
        <v>1</v>
      </c>
      <c r="Z535" s="141"/>
    </row>
    <row r="536" spans="24:26" x14ac:dyDescent="0.25">
      <c r="X536" s="137" t="s">
        <v>644</v>
      </c>
      <c r="Y536" s="140">
        <v>1</v>
      </c>
      <c r="Z536" s="141"/>
    </row>
    <row r="537" spans="24:26" x14ac:dyDescent="0.25">
      <c r="X537" s="137" t="s">
        <v>645</v>
      </c>
      <c r="Y537" s="140">
        <v>1</v>
      </c>
      <c r="Z537" s="141"/>
    </row>
    <row r="538" spans="24:26" x14ac:dyDescent="0.25">
      <c r="X538" s="137" t="s">
        <v>646</v>
      </c>
      <c r="Y538" s="140">
        <v>1</v>
      </c>
      <c r="Z538" s="141"/>
    </row>
    <row r="539" spans="24:26" x14ac:dyDescent="0.25">
      <c r="X539" s="137" t="s">
        <v>647</v>
      </c>
      <c r="Y539" s="140">
        <v>1</v>
      </c>
      <c r="Z539" s="141"/>
    </row>
    <row r="540" spans="24:26" x14ac:dyDescent="0.25">
      <c r="X540" s="137" t="s">
        <v>648</v>
      </c>
      <c r="Y540" s="140">
        <v>1</v>
      </c>
      <c r="Z540" s="141"/>
    </row>
    <row r="541" spans="24:26" x14ac:dyDescent="0.25">
      <c r="X541" s="137" t="s">
        <v>649</v>
      </c>
      <c r="Y541" s="140">
        <v>1</v>
      </c>
      <c r="Z541" s="141"/>
    </row>
    <row r="542" spans="24:26" x14ac:dyDescent="0.25">
      <c r="X542" s="137" t="s">
        <v>650</v>
      </c>
      <c r="Y542" s="140">
        <v>1</v>
      </c>
      <c r="Z542" s="141"/>
    </row>
    <row r="543" spans="24:26" x14ac:dyDescent="0.25">
      <c r="X543" s="137" t="s">
        <v>651</v>
      </c>
      <c r="Y543" s="140">
        <v>1</v>
      </c>
      <c r="Z543" s="141"/>
    </row>
    <row r="544" spans="24:26" x14ac:dyDescent="0.25">
      <c r="X544" s="137" t="s">
        <v>652</v>
      </c>
      <c r="Y544" s="140">
        <v>1</v>
      </c>
      <c r="Z544" s="141"/>
    </row>
    <row r="545" spans="24:26" x14ac:dyDescent="0.25">
      <c r="X545" s="137" t="s">
        <v>653</v>
      </c>
      <c r="Y545" s="140">
        <v>1</v>
      </c>
      <c r="Z545" s="141"/>
    </row>
    <row r="546" spans="24:26" x14ac:dyDescent="0.25">
      <c r="X546" s="137" t="s">
        <v>730</v>
      </c>
      <c r="Y546" s="140">
        <v>1</v>
      </c>
      <c r="Z546" s="141"/>
    </row>
    <row r="547" spans="24:26" x14ac:dyDescent="0.25">
      <c r="X547" s="137" t="s">
        <v>731</v>
      </c>
      <c r="Y547" s="140">
        <v>1</v>
      </c>
      <c r="Z547" s="141"/>
    </row>
    <row r="548" spans="24:26" x14ac:dyDescent="0.25">
      <c r="X548" s="137" t="s">
        <v>732</v>
      </c>
      <c r="Y548" s="140">
        <v>1</v>
      </c>
      <c r="Z548" s="141"/>
    </row>
    <row r="549" spans="24:26" x14ac:dyDescent="0.25">
      <c r="X549" s="137" t="s">
        <v>733</v>
      </c>
      <c r="Y549" s="140">
        <v>1</v>
      </c>
      <c r="Z549" s="141"/>
    </row>
    <row r="550" spans="24:26" x14ac:dyDescent="0.25">
      <c r="X550" s="137" t="s">
        <v>734</v>
      </c>
      <c r="Y550" s="140">
        <v>1</v>
      </c>
      <c r="Z550" s="141"/>
    </row>
    <row r="551" spans="24:26" x14ac:dyDescent="0.25">
      <c r="X551" s="137" t="s">
        <v>735</v>
      </c>
      <c r="Y551" s="140">
        <v>1</v>
      </c>
      <c r="Z551" s="141"/>
    </row>
    <row r="552" spans="24:26" x14ac:dyDescent="0.25">
      <c r="X552" s="137" t="s">
        <v>736</v>
      </c>
      <c r="Y552" s="140">
        <v>1</v>
      </c>
      <c r="Z552" s="141"/>
    </row>
    <row r="553" spans="24:26" x14ac:dyDescent="0.25">
      <c r="X553" s="137" t="s">
        <v>737</v>
      </c>
      <c r="Y553" s="140">
        <v>1</v>
      </c>
      <c r="Z553" s="141"/>
    </row>
    <row r="554" spans="24:26" x14ac:dyDescent="0.25">
      <c r="X554" s="137" t="s">
        <v>738</v>
      </c>
      <c r="Y554" s="140">
        <v>1</v>
      </c>
      <c r="Z554" s="141"/>
    </row>
    <row r="555" spans="24:26" x14ac:dyDescent="0.25">
      <c r="X555" s="137" t="s">
        <v>739</v>
      </c>
      <c r="Y555" s="140">
        <v>1</v>
      </c>
      <c r="Z555" s="141"/>
    </row>
    <row r="556" spans="24:26" x14ac:dyDescent="0.25">
      <c r="X556" s="137" t="s">
        <v>740</v>
      </c>
      <c r="Y556" s="140">
        <v>1</v>
      </c>
      <c r="Z556" s="141"/>
    </row>
    <row r="557" spans="24:26" x14ac:dyDescent="0.25">
      <c r="X557" s="137" t="s">
        <v>741</v>
      </c>
      <c r="Y557" s="140">
        <v>1</v>
      </c>
      <c r="Z557" s="141"/>
    </row>
    <row r="558" spans="24:26" x14ac:dyDescent="0.25">
      <c r="X558" s="137" t="s">
        <v>742</v>
      </c>
      <c r="Y558" s="140">
        <v>1</v>
      </c>
      <c r="Z558" s="141"/>
    </row>
    <row r="559" spans="24:26" x14ac:dyDescent="0.25">
      <c r="X559" s="137" t="s">
        <v>743</v>
      </c>
      <c r="Y559" s="140">
        <v>1</v>
      </c>
      <c r="Z559" s="141"/>
    </row>
    <row r="560" spans="24:26" x14ac:dyDescent="0.25">
      <c r="X560" s="137" t="s">
        <v>744</v>
      </c>
      <c r="Y560" s="140">
        <v>1</v>
      </c>
      <c r="Z560" s="141"/>
    </row>
    <row r="561" spans="24:26" x14ac:dyDescent="0.25">
      <c r="X561" s="137" t="s">
        <v>745</v>
      </c>
      <c r="Y561" s="140">
        <v>1</v>
      </c>
      <c r="Z561" s="141"/>
    </row>
    <row r="562" spans="24:26" x14ac:dyDescent="0.25">
      <c r="X562" s="137" t="s">
        <v>746</v>
      </c>
      <c r="Y562" s="140">
        <v>1</v>
      </c>
      <c r="Z562" s="141"/>
    </row>
    <row r="563" spans="24:26" x14ac:dyDescent="0.25">
      <c r="X563" s="137" t="s">
        <v>747</v>
      </c>
      <c r="Y563" s="140">
        <v>1</v>
      </c>
      <c r="Z563" s="141"/>
    </row>
    <row r="564" spans="24:26" x14ac:dyDescent="0.25">
      <c r="X564" s="137" t="s">
        <v>748</v>
      </c>
      <c r="Y564" s="140">
        <v>1</v>
      </c>
      <c r="Z564" s="141"/>
    </row>
    <row r="565" spans="24:26" x14ac:dyDescent="0.25">
      <c r="X565" s="137" t="s">
        <v>749</v>
      </c>
      <c r="Y565" s="140">
        <v>1</v>
      </c>
      <c r="Z565" s="141"/>
    </row>
    <row r="566" spans="24:26" x14ac:dyDescent="0.25">
      <c r="X566" s="137" t="s">
        <v>750</v>
      </c>
      <c r="Y566" s="140">
        <v>1</v>
      </c>
      <c r="Z566" s="141"/>
    </row>
    <row r="567" spans="24:26" x14ac:dyDescent="0.25">
      <c r="X567" s="137" t="s">
        <v>751</v>
      </c>
      <c r="Y567" s="140">
        <v>1</v>
      </c>
      <c r="Z567" s="141"/>
    </row>
    <row r="568" spans="24:26" x14ac:dyDescent="0.25">
      <c r="X568" s="137" t="s">
        <v>752</v>
      </c>
      <c r="Y568" s="140">
        <v>1</v>
      </c>
      <c r="Z568" s="141"/>
    </row>
    <row r="569" spans="24:26" x14ac:dyDescent="0.25">
      <c r="X569" s="137" t="s">
        <v>753</v>
      </c>
      <c r="Y569" s="140">
        <v>1</v>
      </c>
      <c r="Z569" s="141"/>
    </row>
    <row r="570" spans="24:26" x14ac:dyDescent="0.25">
      <c r="X570" s="137" t="s">
        <v>754</v>
      </c>
      <c r="Y570" s="140">
        <v>1</v>
      </c>
      <c r="Z570" s="141"/>
    </row>
    <row r="571" spans="24:26" x14ac:dyDescent="0.25">
      <c r="X571" s="137" t="s">
        <v>755</v>
      </c>
      <c r="Y571" s="140">
        <v>1</v>
      </c>
      <c r="Z571" s="141"/>
    </row>
    <row r="572" spans="24:26" x14ac:dyDescent="0.25">
      <c r="X572" s="137" t="s">
        <v>756</v>
      </c>
      <c r="Y572" s="140">
        <v>1</v>
      </c>
      <c r="Z572" s="141"/>
    </row>
    <row r="573" spans="24:26" x14ac:dyDescent="0.25">
      <c r="X573" s="137" t="s">
        <v>757</v>
      </c>
      <c r="Y573" s="140">
        <v>1</v>
      </c>
      <c r="Z573" s="141"/>
    </row>
    <row r="574" spans="24:26" x14ac:dyDescent="0.25">
      <c r="X574" s="137" t="s">
        <v>758</v>
      </c>
      <c r="Y574" s="140">
        <v>1</v>
      </c>
      <c r="Z574" s="141"/>
    </row>
    <row r="575" spans="24:26" x14ac:dyDescent="0.25">
      <c r="X575" s="137" t="s">
        <v>759</v>
      </c>
      <c r="Y575" s="140">
        <v>1</v>
      </c>
      <c r="Z575" s="141"/>
    </row>
    <row r="576" spans="24:26" x14ac:dyDescent="0.25">
      <c r="X576" s="137" t="s">
        <v>760</v>
      </c>
      <c r="Y576" s="140">
        <v>1</v>
      </c>
      <c r="Z576" s="141"/>
    </row>
    <row r="577" spans="24:26" x14ac:dyDescent="0.25">
      <c r="X577" s="137" t="s">
        <v>761</v>
      </c>
      <c r="Y577" s="140">
        <v>1</v>
      </c>
      <c r="Z577" s="141"/>
    </row>
    <row r="578" spans="24:26" x14ac:dyDescent="0.25">
      <c r="X578" s="137" t="s">
        <v>762</v>
      </c>
      <c r="Y578" s="140">
        <v>1</v>
      </c>
      <c r="Z578" s="141"/>
    </row>
    <row r="579" spans="24:26" x14ac:dyDescent="0.25">
      <c r="X579" s="137" t="s">
        <v>763</v>
      </c>
      <c r="Y579" s="140">
        <v>1</v>
      </c>
      <c r="Z579" s="141"/>
    </row>
    <row r="580" spans="24:26" x14ac:dyDescent="0.25">
      <c r="X580" s="137" t="s">
        <v>764</v>
      </c>
      <c r="Y580" s="140">
        <v>1</v>
      </c>
      <c r="Z580" s="141"/>
    </row>
    <row r="581" spans="24:26" x14ac:dyDescent="0.25">
      <c r="X581" s="137" t="s">
        <v>765</v>
      </c>
      <c r="Y581" s="140">
        <v>1</v>
      </c>
      <c r="Z581" s="141"/>
    </row>
    <row r="582" spans="24:26" x14ac:dyDescent="0.25">
      <c r="X582" s="137" t="s">
        <v>766</v>
      </c>
      <c r="Y582" s="140">
        <v>1</v>
      </c>
      <c r="Z582" s="141"/>
    </row>
    <row r="583" spans="24:26" x14ac:dyDescent="0.25">
      <c r="X583" s="137" t="s">
        <v>767</v>
      </c>
      <c r="Y583" s="140">
        <v>1</v>
      </c>
      <c r="Z583" s="141"/>
    </row>
    <row r="584" spans="24:26" x14ac:dyDescent="0.25">
      <c r="X584" s="137" t="s">
        <v>768</v>
      </c>
      <c r="Y584" s="140">
        <v>1</v>
      </c>
      <c r="Z584" s="141"/>
    </row>
    <row r="585" spans="24:26" x14ac:dyDescent="0.25">
      <c r="X585" s="137" t="s">
        <v>769</v>
      </c>
      <c r="Y585" s="140">
        <v>1</v>
      </c>
      <c r="Z585" s="141"/>
    </row>
    <row r="586" spans="24:26" x14ac:dyDescent="0.25">
      <c r="X586" s="137" t="s">
        <v>770</v>
      </c>
      <c r="Y586" s="140">
        <v>1</v>
      </c>
      <c r="Z586" s="141"/>
    </row>
    <row r="587" spans="24:26" x14ac:dyDescent="0.25">
      <c r="X587" s="137" t="s">
        <v>771</v>
      </c>
      <c r="Y587" s="140">
        <v>1</v>
      </c>
      <c r="Z587" s="141"/>
    </row>
    <row r="588" spans="24:26" x14ac:dyDescent="0.25">
      <c r="X588" s="137" t="s">
        <v>772</v>
      </c>
      <c r="Y588" s="140">
        <v>1</v>
      </c>
      <c r="Z588" s="141"/>
    </row>
    <row r="589" spans="24:26" x14ac:dyDescent="0.25">
      <c r="X589" s="137" t="s">
        <v>773</v>
      </c>
      <c r="Y589" s="140">
        <v>1</v>
      </c>
      <c r="Z589" s="141"/>
    </row>
    <row r="590" spans="24:26" x14ac:dyDescent="0.25">
      <c r="X590" s="137" t="s">
        <v>774</v>
      </c>
      <c r="Y590" s="140">
        <v>1</v>
      </c>
      <c r="Z590" s="141"/>
    </row>
    <row r="591" spans="24:26" x14ac:dyDescent="0.25">
      <c r="X591" s="137" t="s">
        <v>775</v>
      </c>
      <c r="Y591" s="140">
        <v>1</v>
      </c>
      <c r="Z591" s="141"/>
    </row>
    <row r="592" spans="24:26" x14ac:dyDescent="0.25">
      <c r="X592" s="137" t="s">
        <v>776</v>
      </c>
      <c r="Y592" s="140">
        <v>1</v>
      </c>
      <c r="Z592" s="141"/>
    </row>
    <row r="593" spans="24:26" x14ac:dyDescent="0.25">
      <c r="X593" s="137" t="s">
        <v>777</v>
      </c>
      <c r="Y593" s="140">
        <v>1</v>
      </c>
      <c r="Z593" s="141"/>
    </row>
    <row r="594" spans="24:26" x14ac:dyDescent="0.25">
      <c r="X594" s="137" t="s">
        <v>778</v>
      </c>
      <c r="Y594" s="140">
        <v>1</v>
      </c>
      <c r="Z594" s="141"/>
    </row>
    <row r="595" spans="24:26" x14ac:dyDescent="0.25">
      <c r="X595" s="137" t="s">
        <v>779</v>
      </c>
      <c r="Y595" s="140">
        <v>1</v>
      </c>
      <c r="Z595" s="141"/>
    </row>
    <row r="596" spans="24:26" x14ac:dyDescent="0.25">
      <c r="X596" s="137" t="s">
        <v>780</v>
      </c>
      <c r="Y596" s="140">
        <v>1</v>
      </c>
      <c r="Z596" s="141"/>
    </row>
    <row r="597" spans="24:26" x14ac:dyDescent="0.25">
      <c r="X597" s="137" t="s">
        <v>781</v>
      </c>
      <c r="Y597" s="140">
        <v>1</v>
      </c>
      <c r="Z597" s="141"/>
    </row>
    <row r="598" spans="24:26" x14ac:dyDescent="0.25">
      <c r="X598" s="137" t="s">
        <v>782</v>
      </c>
      <c r="Y598" s="140">
        <v>1</v>
      </c>
      <c r="Z598" s="141"/>
    </row>
    <row r="599" spans="24:26" x14ac:dyDescent="0.25">
      <c r="X599" s="137" t="s">
        <v>783</v>
      </c>
      <c r="Y599" s="140">
        <v>1</v>
      </c>
      <c r="Z599" s="141"/>
    </row>
    <row r="600" spans="24:26" x14ac:dyDescent="0.25">
      <c r="X600" s="137" t="s">
        <v>784</v>
      </c>
      <c r="Y600" s="140">
        <v>1</v>
      </c>
      <c r="Z600" s="141"/>
    </row>
    <row r="601" spans="24:26" x14ac:dyDescent="0.25">
      <c r="X601" s="137" t="s">
        <v>785</v>
      </c>
      <c r="Y601" s="140">
        <v>1</v>
      </c>
      <c r="Z601" s="141"/>
    </row>
    <row r="602" spans="24:26" x14ac:dyDescent="0.25">
      <c r="X602" s="137" t="s">
        <v>786</v>
      </c>
      <c r="Y602" s="140">
        <v>1</v>
      </c>
      <c r="Z602" s="141"/>
    </row>
    <row r="603" spans="24:26" x14ac:dyDescent="0.25">
      <c r="X603" s="137" t="s">
        <v>787</v>
      </c>
      <c r="Y603" s="140">
        <v>1</v>
      </c>
      <c r="Z603" s="141"/>
    </row>
    <row r="604" spans="24:26" x14ac:dyDescent="0.25">
      <c r="X604" s="137" t="s">
        <v>788</v>
      </c>
      <c r="Y604" s="140">
        <v>1</v>
      </c>
      <c r="Z604" s="141"/>
    </row>
    <row r="605" spans="24:26" x14ac:dyDescent="0.25">
      <c r="X605" s="137" t="s">
        <v>789</v>
      </c>
      <c r="Y605" s="140">
        <v>1</v>
      </c>
      <c r="Z605" s="141"/>
    </row>
    <row r="606" spans="24:26" x14ac:dyDescent="0.25">
      <c r="X606" s="137" t="s">
        <v>790</v>
      </c>
      <c r="Y606" s="140">
        <v>1</v>
      </c>
      <c r="Z606" s="141"/>
    </row>
    <row r="607" spans="24:26" x14ac:dyDescent="0.25">
      <c r="X607" s="137" t="s">
        <v>791</v>
      </c>
      <c r="Y607" s="140">
        <v>1</v>
      </c>
      <c r="Z607" s="141"/>
    </row>
    <row r="608" spans="24:26" x14ac:dyDescent="0.25">
      <c r="X608" s="137" t="s">
        <v>792</v>
      </c>
      <c r="Y608" s="140">
        <v>1</v>
      </c>
      <c r="Z608" s="141"/>
    </row>
    <row r="609" spans="24:26" x14ac:dyDescent="0.25">
      <c r="X609" s="137" t="s">
        <v>793</v>
      </c>
      <c r="Y609" s="140">
        <v>1</v>
      </c>
      <c r="Z609" s="141"/>
    </row>
    <row r="610" spans="24:26" x14ac:dyDescent="0.25">
      <c r="X610" s="137" t="s">
        <v>794</v>
      </c>
      <c r="Y610" s="140">
        <v>1</v>
      </c>
      <c r="Z610" s="141"/>
    </row>
    <row r="611" spans="24:26" x14ac:dyDescent="0.25">
      <c r="X611" s="137" t="s">
        <v>795</v>
      </c>
      <c r="Y611" s="140">
        <v>1</v>
      </c>
      <c r="Z611" s="141"/>
    </row>
    <row r="612" spans="24:26" x14ac:dyDescent="0.25">
      <c r="X612" s="137" t="s">
        <v>796</v>
      </c>
      <c r="Y612" s="140">
        <v>1</v>
      </c>
      <c r="Z612" s="141"/>
    </row>
    <row r="613" spans="24:26" x14ac:dyDescent="0.25">
      <c r="X613" s="137" t="s">
        <v>797</v>
      </c>
      <c r="Y613" s="140">
        <v>1</v>
      </c>
      <c r="Z613" s="141"/>
    </row>
    <row r="614" spans="24:26" x14ac:dyDescent="0.25">
      <c r="X614" s="137" t="s">
        <v>798</v>
      </c>
      <c r="Y614" s="140">
        <v>1</v>
      </c>
      <c r="Z614" s="141"/>
    </row>
    <row r="615" spans="24:26" x14ac:dyDescent="0.25">
      <c r="X615" s="137" t="s">
        <v>799</v>
      </c>
      <c r="Y615" s="140">
        <v>1</v>
      </c>
      <c r="Z615" s="141"/>
    </row>
    <row r="616" spans="24:26" x14ac:dyDescent="0.25">
      <c r="X616" s="137" t="s">
        <v>800</v>
      </c>
      <c r="Y616" s="140">
        <v>1</v>
      </c>
      <c r="Z616" s="141"/>
    </row>
    <row r="617" spans="24:26" x14ac:dyDescent="0.25">
      <c r="X617" s="137" t="s">
        <v>801</v>
      </c>
      <c r="Y617" s="140">
        <v>1</v>
      </c>
      <c r="Z617" s="141"/>
    </row>
    <row r="618" spans="24:26" x14ac:dyDescent="0.25">
      <c r="X618" s="137" t="s">
        <v>802</v>
      </c>
      <c r="Y618" s="140">
        <v>1</v>
      </c>
      <c r="Z618" s="141"/>
    </row>
    <row r="619" spans="24:26" x14ac:dyDescent="0.25">
      <c r="X619" s="137" t="s">
        <v>803</v>
      </c>
      <c r="Y619" s="140">
        <v>1</v>
      </c>
      <c r="Z619" s="141"/>
    </row>
    <row r="620" spans="24:26" x14ac:dyDescent="0.25">
      <c r="X620" s="137" t="s">
        <v>804</v>
      </c>
      <c r="Y620" s="140">
        <v>1</v>
      </c>
      <c r="Z620" s="141"/>
    </row>
    <row r="621" spans="24:26" x14ac:dyDescent="0.25">
      <c r="X621" s="137" t="s">
        <v>805</v>
      </c>
      <c r="Y621" s="140">
        <v>1</v>
      </c>
      <c r="Z621" s="141"/>
    </row>
    <row r="622" spans="24:26" x14ac:dyDescent="0.25">
      <c r="X622" s="137" t="s">
        <v>806</v>
      </c>
      <c r="Y622" s="140">
        <v>1</v>
      </c>
      <c r="Z622" s="141"/>
    </row>
    <row r="623" spans="24:26" x14ac:dyDescent="0.25">
      <c r="X623" s="137" t="s">
        <v>807</v>
      </c>
      <c r="Y623" s="140">
        <v>1</v>
      </c>
      <c r="Z623" s="141"/>
    </row>
    <row r="624" spans="24:26" x14ac:dyDescent="0.25">
      <c r="X624" s="137" t="s">
        <v>808</v>
      </c>
      <c r="Y624" s="140">
        <v>1</v>
      </c>
      <c r="Z624" s="141"/>
    </row>
    <row r="625" spans="24:26" x14ac:dyDescent="0.25">
      <c r="X625" s="137" t="s">
        <v>809</v>
      </c>
      <c r="Y625" s="140">
        <v>1</v>
      </c>
      <c r="Z625" s="141"/>
    </row>
    <row r="626" spans="24:26" x14ac:dyDescent="0.25">
      <c r="X626" s="137" t="s">
        <v>810</v>
      </c>
      <c r="Y626" s="140">
        <v>1</v>
      </c>
      <c r="Z626" s="141"/>
    </row>
    <row r="627" spans="24:26" x14ac:dyDescent="0.25">
      <c r="X627" s="137" t="s">
        <v>811</v>
      </c>
      <c r="Y627" s="140">
        <v>1</v>
      </c>
      <c r="Z627" s="141"/>
    </row>
    <row r="628" spans="24:26" x14ac:dyDescent="0.25">
      <c r="X628" s="137" t="s">
        <v>812</v>
      </c>
      <c r="Y628" s="140">
        <v>1</v>
      </c>
      <c r="Z628" s="141"/>
    </row>
    <row r="629" spans="24:26" x14ac:dyDescent="0.25">
      <c r="X629" s="137" t="s">
        <v>813</v>
      </c>
      <c r="Y629" s="140">
        <v>1</v>
      </c>
      <c r="Z629" s="141"/>
    </row>
    <row r="630" spans="24:26" x14ac:dyDescent="0.25">
      <c r="X630" s="137" t="s">
        <v>814</v>
      </c>
      <c r="Y630" s="140">
        <v>1</v>
      </c>
      <c r="Z630" s="141"/>
    </row>
    <row r="631" spans="24:26" x14ac:dyDescent="0.25">
      <c r="X631" s="137" t="s">
        <v>815</v>
      </c>
      <c r="Y631" s="140">
        <v>1</v>
      </c>
      <c r="Z631" s="141"/>
    </row>
    <row r="632" spans="24:26" x14ac:dyDescent="0.25">
      <c r="X632" s="137" t="s">
        <v>816</v>
      </c>
      <c r="Y632" s="140">
        <v>1</v>
      </c>
      <c r="Z632" s="141"/>
    </row>
    <row r="633" spans="24:26" x14ac:dyDescent="0.25">
      <c r="X633" s="137" t="s">
        <v>817</v>
      </c>
      <c r="Y633" s="140">
        <v>1</v>
      </c>
      <c r="Z633" s="141"/>
    </row>
    <row r="634" spans="24:26" x14ac:dyDescent="0.25">
      <c r="X634" s="137" t="s">
        <v>818</v>
      </c>
      <c r="Y634" s="140">
        <v>1</v>
      </c>
      <c r="Z634" s="141"/>
    </row>
    <row r="635" spans="24:26" x14ac:dyDescent="0.25">
      <c r="X635" s="137" t="s">
        <v>819</v>
      </c>
      <c r="Y635" s="140">
        <v>1</v>
      </c>
      <c r="Z635" s="141"/>
    </row>
    <row r="636" spans="24:26" x14ac:dyDescent="0.25">
      <c r="X636" s="137" t="s">
        <v>820</v>
      </c>
      <c r="Y636" s="140">
        <v>1</v>
      </c>
      <c r="Z636" s="141"/>
    </row>
    <row r="637" spans="24:26" x14ac:dyDescent="0.25">
      <c r="X637" s="137" t="s">
        <v>821</v>
      </c>
      <c r="Y637" s="140">
        <v>1</v>
      </c>
      <c r="Z637" s="141"/>
    </row>
    <row r="638" spans="24:26" x14ac:dyDescent="0.25">
      <c r="X638" s="137" t="s">
        <v>822</v>
      </c>
      <c r="Y638" s="140">
        <v>1</v>
      </c>
      <c r="Z638" s="141"/>
    </row>
    <row r="639" spans="24:26" x14ac:dyDescent="0.25">
      <c r="X639" s="137" t="s">
        <v>823</v>
      </c>
      <c r="Y639" s="140">
        <v>1</v>
      </c>
      <c r="Z639" s="141"/>
    </row>
    <row r="640" spans="24:26" x14ac:dyDescent="0.25">
      <c r="X640" s="137" t="s">
        <v>824</v>
      </c>
      <c r="Y640" s="140">
        <v>1</v>
      </c>
      <c r="Z640" s="141"/>
    </row>
    <row r="641" spans="24:26" x14ac:dyDescent="0.25">
      <c r="X641" s="137" t="s">
        <v>825</v>
      </c>
      <c r="Y641" s="140">
        <v>1</v>
      </c>
      <c r="Z641" s="141"/>
    </row>
    <row r="642" spans="24:26" x14ac:dyDescent="0.25">
      <c r="X642" s="137" t="s">
        <v>826</v>
      </c>
      <c r="Y642" s="140">
        <v>1</v>
      </c>
      <c r="Z642" s="141"/>
    </row>
    <row r="643" spans="24:26" x14ac:dyDescent="0.25">
      <c r="X643" s="137" t="s">
        <v>827</v>
      </c>
      <c r="Y643" s="140">
        <v>1</v>
      </c>
      <c r="Z643" s="141"/>
    </row>
    <row r="644" spans="24:26" x14ac:dyDescent="0.25">
      <c r="X644" s="137" t="s">
        <v>828</v>
      </c>
      <c r="Y644" s="140">
        <v>1</v>
      </c>
      <c r="Z644" s="141"/>
    </row>
    <row r="645" spans="24:26" x14ac:dyDescent="0.25">
      <c r="X645" s="137" t="s">
        <v>829</v>
      </c>
      <c r="Y645" s="140">
        <v>1</v>
      </c>
      <c r="Z645" s="141"/>
    </row>
    <row r="646" spans="24:26" x14ac:dyDescent="0.25">
      <c r="X646" s="137" t="s">
        <v>830</v>
      </c>
      <c r="Y646" s="140">
        <v>1</v>
      </c>
      <c r="Z646" s="141"/>
    </row>
    <row r="647" spans="24:26" x14ac:dyDescent="0.25">
      <c r="X647" s="137" t="s">
        <v>831</v>
      </c>
      <c r="Y647" s="140">
        <v>1</v>
      </c>
      <c r="Z647" s="141"/>
    </row>
    <row r="648" spans="24:26" x14ac:dyDescent="0.25">
      <c r="X648" s="137" t="s">
        <v>832</v>
      </c>
      <c r="Y648" s="140">
        <v>1</v>
      </c>
      <c r="Z648" s="141"/>
    </row>
    <row r="649" spans="24:26" x14ac:dyDescent="0.25">
      <c r="X649" s="137" t="s">
        <v>833</v>
      </c>
      <c r="Y649" s="140">
        <v>1</v>
      </c>
      <c r="Z649" s="141"/>
    </row>
    <row r="650" spans="24:26" x14ac:dyDescent="0.25">
      <c r="X650" s="137" t="s">
        <v>834</v>
      </c>
      <c r="Y650" s="140">
        <v>1</v>
      </c>
      <c r="Z650" s="141"/>
    </row>
    <row r="651" spans="24:26" x14ac:dyDescent="0.25">
      <c r="X651" s="137" t="s">
        <v>835</v>
      </c>
      <c r="Y651" s="140">
        <v>1</v>
      </c>
      <c r="Z651" s="141"/>
    </row>
    <row r="652" spans="24:26" x14ac:dyDescent="0.25">
      <c r="X652" s="137" t="s">
        <v>836</v>
      </c>
      <c r="Y652" s="140">
        <v>1</v>
      </c>
      <c r="Z652" s="141"/>
    </row>
    <row r="653" spans="24:26" x14ac:dyDescent="0.25">
      <c r="X653" s="137" t="s">
        <v>837</v>
      </c>
      <c r="Y653" s="140">
        <v>1</v>
      </c>
      <c r="Z653" s="141"/>
    </row>
    <row r="654" spans="24:26" x14ac:dyDescent="0.25">
      <c r="X654" s="137" t="s">
        <v>838</v>
      </c>
      <c r="Y654" s="140">
        <v>1</v>
      </c>
      <c r="Z654" s="141"/>
    </row>
    <row r="655" spans="24:26" x14ac:dyDescent="0.25">
      <c r="X655" s="137" t="s">
        <v>839</v>
      </c>
      <c r="Y655" s="140">
        <v>1</v>
      </c>
      <c r="Z655" s="141"/>
    </row>
    <row r="656" spans="24:26" x14ac:dyDescent="0.25">
      <c r="X656" s="137" t="s">
        <v>840</v>
      </c>
      <c r="Y656" s="140">
        <v>1</v>
      </c>
      <c r="Z656" s="141"/>
    </row>
    <row r="657" spans="24:26" x14ac:dyDescent="0.25">
      <c r="X657" s="137" t="s">
        <v>841</v>
      </c>
      <c r="Y657" s="140">
        <v>1</v>
      </c>
      <c r="Z657" s="141"/>
    </row>
    <row r="658" spans="24:26" x14ac:dyDescent="0.25">
      <c r="X658" s="137" t="s">
        <v>842</v>
      </c>
      <c r="Y658" s="140">
        <v>1</v>
      </c>
      <c r="Z658" s="141"/>
    </row>
    <row r="659" spans="24:26" x14ac:dyDescent="0.25">
      <c r="X659" s="137" t="s">
        <v>843</v>
      </c>
      <c r="Y659" s="140">
        <v>1</v>
      </c>
      <c r="Z659" s="141"/>
    </row>
    <row r="660" spans="24:26" x14ac:dyDescent="0.25">
      <c r="X660" s="137" t="s">
        <v>844</v>
      </c>
      <c r="Y660" s="140">
        <v>1</v>
      </c>
      <c r="Z660" s="141"/>
    </row>
    <row r="661" spans="24:26" x14ac:dyDescent="0.25">
      <c r="X661" s="137" t="s">
        <v>845</v>
      </c>
      <c r="Y661" s="140">
        <v>1</v>
      </c>
      <c r="Z661" s="141"/>
    </row>
    <row r="662" spans="24:26" x14ac:dyDescent="0.25">
      <c r="X662" s="137" t="s">
        <v>846</v>
      </c>
      <c r="Y662" s="140">
        <v>1</v>
      </c>
      <c r="Z662" s="141"/>
    </row>
    <row r="663" spans="24:26" x14ac:dyDescent="0.25">
      <c r="X663" s="137" t="s">
        <v>847</v>
      </c>
      <c r="Y663" s="140">
        <v>1</v>
      </c>
      <c r="Z663" s="141"/>
    </row>
    <row r="664" spans="24:26" x14ac:dyDescent="0.25">
      <c r="X664" s="137" t="s">
        <v>848</v>
      </c>
      <c r="Y664" s="140">
        <v>1</v>
      </c>
      <c r="Z664" s="141"/>
    </row>
    <row r="665" spans="24:26" x14ac:dyDescent="0.25">
      <c r="X665" s="137" t="s">
        <v>849</v>
      </c>
      <c r="Y665" s="140">
        <v>1</v>
      </c>
      <c r="Z665" s="141"/>
    </row>
    <row r="666" spans="24:26" x14ac:dyDescent="0.25">
      <c r="X666" s="137" t="s">
        <v>850</v>
      </c>
      <c r="Y666" s="140">
        <v>1</v>
      </c>
      <c r="Z666" s="141"/>
    </row>
    <row r="667" spans="24:26" x14ac:dyDescent="0.25">
      <c r="X667" s="137" t="s">
        <v>851</v>
      </c>
      <c r="Y667" s="140">
        <v>1</v>
      </c>
      <c r="Z667" s="141"/>
    </row>
    <row r="668" spans="24:26" x14ac:dyDescent="0.25">
      <c r="X668" s="137" t="s">
        <v>852</v>
      </c>
      <c r="Y668" s="140">
        <v>1</v>
      </c>
      <c r="Z668" s="141"/>
    </row>
    <row r="669" spans="24:26" x14ac:dyDescent="0.25">
      <c r="X669" s="137" t="s">
        <v>853</v>
      </c>
      <c r="Y669" s="140">
        <v>1</v>
      </c>
      <c r="Z669" s="141"/>
    </row>
    <row r="670" spans="24:26" x14ac:dyDescent="0.25">
      <c r="X670" s="137" t="s">
        <v>854</v>
      </c>
      <c r="Y670" s="140">
        <v>1</v>
      </c>
      <c r="Z670" s="141"/>
    </row>
    <row r="671" spans="24:26" x14ac:dyDescent="0.25">
      <c r="X671" s="137" t="s">
        <v>855</v>
      </c>
      <c r="Y671" s="140">
        <v>1</v>
      </c>
      <c r="Z671" s="141"/>
    </row>
    <row r="672" spans="24:26" x14ac:dyDescent="0.25">
      <c r="X672" s="137" t="s">
        <v>856</v>
      </c>
      <c r="Y672" s="140">
        <v>1</v>
      </c>
      <c r="Z672" s="141"/>
    </row>
    <row r="673" spans="24:26" x14ac:dyDescent="0.25">
      <c r="X673" s="137" t="s">
        <v>857</v>
      </c>
      <c r="Y673" s="140">
        <v>1</v>
      </c>
      <c r="Z673" s="141"/>
    </row>
    <row r="674" spans="24:26" x14ac:dyDescent="0.25">
      <c r="X674" s="137" t="s">
        <v>858</v>
      </c>
      <c r="Y674" s="140">
        <v>1</v>
      </c>
      <c r="Z674" s="141"/>
    </row>
    <row r="675" spans="24:26" x14ac:dyDescent="0.25">
      <c r="X675" s="137" t="s">
        <v>859</v>
      </c>
      <c r="Y675" s="140">
        <v>1</v>
      </c>
      <c r="Z675" s="141"/>
    </row>
    <row r="676" spans="24:26" x14ac:dyDescent="0.25">
      <c r="X676" s="137" t="s">
        <v>860</v>
      </c>
      <c r="Y676" s="140">
        <v>1</v>
      </c>
      <c r="Z676" s="141"/>
    </row>
    <row r="677" spans="24:26" x14ac:dyDescent="0.25">
      <c r="X677" s="137" t="s">
        <v>861</v>
      </c>
      <c r="Y677" s="140">
        <v>1</v>
      </c>
      <c r="Z677" s="141"/>
    </row>
    <row r="678" spans="24:26" x14ac:dyDescent="0.25">
      <c r="X678" s="137" t="s">
        <v>862</v>
      </c>
      <c r="Y678" s="140">
        <v>1</v>
      </c>
      <c r="Z678" s="141"/>
    </row>
    <row r="679" spans="24:26" x14ac:dyDescent="0.25">
      <c r="X679" s="137" t="s">
        <v>863</v>
      </c>
      <c r="Y679" s="140">
        <v>1</v>
      </c>
      <c r="Z679" s="141"/>
    </row>
    <row r="680" spans="24:26" x14ac:dyDescent="0.25">
      <c r="X680" s="137" t="s">
        <v>864</v>
      </c>
      <c r="Y680" s="140">
        <v>1</v>
      </c>
      <c r="Z680" s="141"/>
    </row>
    <row r="681" spans="24:26" x14ac:dyDescent="0.25">
      <c r="X681" s="137" t="s">
        <v>865</v>
      </c>
      <c r="Y681" s="140">
        <v>1</v>
      </c>
      <c r="Z681" s="141"/>
    </row>
    <row r="682" spans="24:26" x14ac:dyDescent="0.25">
      <c r="X682" s="137" t="s">
        <v>866</v>
      </c>
      <c r="Y682" s="140">
        <v>1</v>
      </c>
      <c r="Z682" s="141"/>
    </row>
    <row r="683" spans="24:26" x14ac:dyDescent="0.25">
      <c r="X683" s="137" t="s">
        <v>867</v>
      </c>
      <c r="Y683" s="140">
        <v>1</v>
      </c>
      <c r="Z683" s="141"/>
    </row>
    <row r="684" spans="24:26" x14ac:dyDescent="0.25">
      <c r="X684" s="137" t="s">
        <v>868</v>
      </c>
      <c r="Y684" s="140">
        <v>1</v>
      </c>
      <c r="Z684" s="141"/>
    </row>
    <row r="685" spans="24:26" x14ac:dyDescent="0.25">
      <c r="X685" s="137" t="s">
        <v>869</v>
      </c>
      <c r="Y685" s="140">
        <v>1</v>
      </c>
      <c r="Z685" s="141"/>
    </row>
    <row r="686" spans="24:26" x14ac:dyDescent="0.25">
      <c r="X686" s="137" t="s">
        <v>870</v>
      </c>
      <c r="Y686" s="140">
        <v>1</v>
      </c>
      <c r="Z686" s="141"/>
    </row>
    <row r="687" spans="24:26" x14ac:dyDescent="0.25">
      <c r="X687" s="137" t="s">
        <v>871</v>
      </c>
      <c r="Y687" s="140">
        <v>1</v>
      </c>
      <c r="Z687" s="141"/>
    </row>
    <row r="688" spans="24:26" x14ac:dyDescent="0.25">
      <c r="X688" s="137" t="s">
        <v>872</v>
      </c>
      <c r="Y688" s="140">
        <v>1</v>
      </c>
      <c r="Z688" s="141"/>
    </row>
    <row r="689" spans="24:26" x14ac:dyDescent="0.25">
      <c r="X689" s="137" t="s">
        <v>873</v>
      </c>
      <c r="Y689" s="140">
        <v>1</v>
      </c>
      <c r="Z689" s="141"/>
    </row>
    <row r="690" spans="24:26" x14ac:dyDescent="0.25">
      <c r="X690" s="137" t="s">
        <v>874</v>
      </c>
      <c r="Y690" s="140">
        <v>1</v>
      </c>
      <c r="Z690" s="141"/>
    </row>
    <row r="691" spans="24:26" x14ac:dyDescent="0.25">
      <c r="X691" s="137" t="s">
        <v>875</v>
      </c>
      <c r="Y691" s="140">
        <v>1</v>
      </c>
      <c r="Z691" s="141"/>
    </row>
    <row r="692" spans="24:26" x14ac:dyDescent="0.25">
      <c r="X692" s="136" t="s">
        <v>154</v>
      </c>
      <c r="Y692" s="140">
        <v>62</v>
      </c>
      <c r="Z692" s="141">
        <v>361.94787699956635</v>
      </c>
    </row>
    <row r="693" spans="24:26" x14ac:dyDescent="0.25">
      <c r="X693" s="137" t="s">
        <v>331</v>
      </c>
      <c r="Y693" s="140">
        <v>1</v>
      </c>
      <c r="Z693" s="141">
        <v>5.0981645626443131</v>
      </c>
    </row>
    <row r="694" spans="24:26" x14ac:dyDescent="0.25">
      <c r="X694" s="137" t="s">
        <v>922</v>
      </c>
      <c r="Y694" s="140">
        <v>1</v>
      </c>
      <c r="Z694" s="141">
        <v>7.6273327055244735</v>
      </c>
    </row>
    <row r="695" spans="24:26" x14ac:dyDescent="0.25">
      <c r="X695" s="137" t="s">
        <v>332</v>
      </c>
      <c r="Y695" s="140">
        <v>1</v>
      </c>
      <c r="Z695" s="141">
        <v>5.0981645624571623</v>
      </c>
    </row>
    <row r="696" spans="24:26" x14ac:dyDescent="0.25">
      <c r="X696" s="137" t="s">
        <v>333</v>
      </c>
      <c r="Y696" s="140">
        <v>1</v>
      </c>
      <c r="Z696" s="141">
        <v>5.9384680575307822</v>
      </c>
    </row>
    <row r="697" spans="24:26" x14ac:dyDescent="0.25">
      <c r="X697" s="137" t="s">
        <v>1290</v>
      </c>
      <c r="Y697" s="140">
        <v>1</v>
      </c>
      <c r="Z697" s="141">
        <v>5.098164562644028</v>
      </c>
    </row>
    <row r="698" spans="24:26" x14ac:dyDescent="0.25">
      <c r="X698" s="137" t="s">
        <v>315</v>
      </c>
      <c r="Y698" s="140">
        <v>1</v>
      </c>
      <c r="Z698" s="141">
        <v>7.597110812508256</v>
      </c>
    </row>
    <row r="699" spans="24:26" x14ac:dyDescent="0.25">
      <c r="X699" s="137" t="s">
        <v>316</v>
      </c>
      <c r="Y699" s="140">
        <v>1</v>
      </c>
      <c r="Z699" s="141">
        <v>5.098165984079464</v>
      </c>
    </row>
    <row r="700" spans="24:26" x14ac:dyDescent="0.25">
      <c r="X700" s="137" t="s">
        <v>368</v>
      </c>
      <c r="Y700" s="140">
        <v>1</v>
      </c>
      <c r="Z700" s="141">
        <v>5.9375455763289198</v>
      </c>
    </row>
    <row r="701" spans="24:26" x14ac:dyDescent="0.25">
      <c r="X701" s="137" t="s">
        <v>317</v>
      </c>
      <c r="Y701" s="140">
        <v>1</v>
      </c>
      <c r="Z701" s="141">
        <v>3.8406289565285672</v>
      </c>
    </row>
    <row r="702" spans="24:26" x14ac:dyDescent="0.25">
      <c r="X702" s="137" t="s">
        <v>350</v>
      </c>
      <c r="Y702" s="140">
        <v>1</v>
      </c>
      <c r="Z702" s="141">
        <v>4.1189270460209091</v>
      </c>
    </row>
    <row r="703" spans="24:26" x14ac:dyDescent="0.25">
      <c r="X703" s="137" t="s">
        <v>351</v>
      </c>
      <c r="Y703" s="140">
        <v>1</v>
      </c>
      <c r="Z703" s="141">
        <v>5.0981645626443131</v>
      </c>
    </row>
    <row r="704" spans="24:26" x14ac:dyDescent="0.25">
      <c r="X704" s="137" t="s">
        <v>449</v>
      </c>
      <c r="Y704" s="140">
        <v>1</v>
      </c>
      <c r="Z704" s="141">
        <v>7.6273327055244735</v>
      </c>
    </row>
    <row r="705" spans="24:26" x14ac:dyDescent="0.25">
      <c r="X705" s="137" t="s">
        <v>450</v>
      </c>
      <c r="Y705" s="140">
        <v>1</v>
      </c>
      <c r="Z705" s="141">
        <v>5.0981645624571623</v>
      </c>
    </row>
    <row r="706" spans="24:26" x14ac:dyDescent="0.25">
      <c r="X706" s="137" t="s">
        <v>425</v>
      </c>
      <c r="Y706" s="140">
        <v>1</v>
      </c>
      <c r="Z706" s="141">
        <v>5.9384680575307822</v>
      </c>
    </row>
    <row r="707" spans="24:26" x14ac:dyDescent="0.25">
      <c r="X707" s="137" t="s">
        <v>435</v>
      </c>
      <c r="Y707" s="140">
        <v>1</v>
      </c>
      <c r="Z707" s="141">
        <v>5.098164562644028</v>
      </c>
    </row>
    <row r="708" spans="24:26" x14ac:dyDescent="0.25">
      <c r="X708" s="137" t="s">
        <v>436</v>
      </c>
      <c r="Y708" s="140">
        <v>1</v>
      </c>
      <c r="Z708" s="141">
        <v>7.597110812508256</v>
      </c>
    </row>
    <row r="709" spans="24:26" x14ac:dyDescent="0.25">
      <c r="X709" s="137" t="s">
        <v>966</v>
      </c>
      <c r="Y709" s="140">
        <v>1</v>
      </c>
      <c r="Z709" s="141">
        <v>5.098165984079464</v>
      </c>
    </row>
    <row r="710" spans="24:26" x14ac:dyDescent="0.25">
      <c r="X710" s="137" t="s">
        <v>946</v>
      </c>
      <c r="Y710" s="140">
        <v>1</v>
      </c>
      <c r="Z710" s="141">
        <v>5.9375455763289198</v>
      </c>
    </row>
    <row r="711" spans="24:26" x14ac:dyDescent="0.25">
      <c r="X711" s="137" t="s">
        <v>965</v>
      </c>
      <c r="Y711" s="140">
        <v>1</v>
      </c>
      <c r="Z711" s="141">
        <v>3.8406289565285672</v>
      </c>
    </row>
    <row r="712" spans="24:26" x14ac:dyDescent="0.25">
      <c r="X712" s="137" t="s">
        <v>964</v>
      </c>
      <c r="Y712" s="140">
        <v>1</v>
      </c>
      <c r="Z712" s="141">
        <v>4.1189270460209091</v>
      </c>
    </row>
    <row r="713" spans="24:26" x14ac:dyDescent="0.25">
      <c r="X713" s="137" t="s">
        <v>970</v>
      </c>
      <c r="Y713" s="140">
        <v>1</v>
      </c>
      <c r="Z713" s="141">
        <v>4.9368831072654382</v>
      </c>
    </row>
    <row r="714" spans="24:26" x14ac:dyDescent="0.25">
      <c r="X714" s="137" t="s">
        <v>951</v>
      </c>
      <c r="Y714" s="140">
        <v>1</v>
      </c>
      <c r="Z714" s="141">
        <v>5.7587072731289011</v>
      </c>
    </row>
    <row r="715" spans="24:26" x14ac:dyDescent="0.25">
      <c r="X715" s="137" t="s">
        <v>488</v>
      </c>
      <c r="Y715" s="140">
        <v>1</v>
      </c>
      <c r="Z715" s="141">
        <v>5.0981645626443131</v>
      </c>
    </row>
    <row r="716" spans="24:26" x14ac:dyDescent="0.25">
      <c r="X716" s="137" t="s">
        <v>969</v>
      </c>
      <c r="Y716" s="140">
        <v>1</v>
      </c>
      <c r="Z716" s="141">
        <v>7.6273327055244735</v>
      </c>
    </row>
    <row r="717" spans="24:26" x14ac:dyDescent="0.25">
      <c r="X717" s="137" t="s">
        <v>490</v>
      </c>
      <c r="Y717" s="140">
        <v>1</v>
      </c>
      <c r="Z717" s="141">
        <v>5.0981645624571623</v>
      </c>
    </row>
    <row r="718" spans="24:26" x14ac:dyDescent="0.25">
      <c r="X718" s="137" t="s">
        <v>489</v>
      </c>
      <c r="Y718" s="140">
        <v>1</v>
      </c>
      <c r="Z718" s="141">
        <v>5.9384680575307822</v>
      </c>
    </row>
    <row r="719" spans="24:26" x14ac:dyDescent="0.25">
      <c r="X719" s="137" t="s">
        <v>947</v>
      </c>
      <c r="Y719" s="140">
        <v>1</v>
      </c>
      <c r="Z719" s="141">
        <v>5.098164562644028</v>
      </c>
    </row>
    <row r="720" spans="24:26" x14ac:dyDescent="0.25">
      <c r="X720" s="137" t="s">
        <v>957</v>
      </c>
      <c r="Y720" s="140">
        <v>1</v>
      </c>
      <c r="Z720" s="141">
        <v>7.597110812508256</v>
      </c>
    </row>
    <row r="721" spans="24:26" x14ac:dyDescent="0.25">
      <c r="X721" s="137" t="s">
        <v>948</v>
      </c>
      <c r="Y721" s="140">
        <v>1</v>
      </c>
      <c r="Z721" s="141">
        <v>5.098165984079464</v>
      </c>
    </row>
    <row r="722" spans="24:26" x14ac:dyDescent="0.25">
      <c r="X722" s="137" t="s">
        <v>958</v>
      </c>
      <c r="Y722" s="140">
        <v>1</v>
      </c>
      <c r="Z722" s="141">
        <v>5.9375455763289198</v>
      </c>
    </row>
    <row r="723" spans="24:26" x14ac:dyDescent="0.25">
      <c r="X723" s="137" t="s">
        <v>448</v>
      </c>
      <c r="Y723" s="140">
        <v>1</v>
      </c>
      <c r="Z723" s="141">
        <v>3.8406289565285672</v>
      </c>
    </row>
    <row r="724" spans="24:26" x14ac:dyDescent="0.25">
      <c r="X724" s="137" t="s">
        <v>424</v>
      </c>
      <c r="Y724" s="140">
        <v>1</v>
      </c>
      <c r="Z724" s="141">
        <v>4.1189270460209091</v>
      </c>
    </row>
    <row r="725" spans="24:26" x14ac:dyDescent="0.25">
      <c r="X725" s="137" t="s">
        <v>935</v>
      </c>
      <c r="Y725" s="140">
        <v>1</v>
      </c>
      <c r="Z725" s="141">
        <v>5.4001635046641185</v>
      </c>
    </row>
    <row r="726" spans="24:26" x14ac:dyDescent="0.25">
      <c r="X726" s="137" t="s">
        <v>486</v>
      </c>
      <c r="Y726" s="140">
        <v>1</v>
      </c>
      <c r="Z726" s="141">
        <v>5.9343071339227036</v>
      </c>
    </row>
    <row r="727" spans="24:26" x14ac:dyDescent="0.25">
      <c r="X727" s="137" t="s">
        <v>485</v>
      </c>
      <c r="Y727" s="140">
        <v>1</v>
      </c>
      <c r="Z727" s="141">
        <v>5.391081536294597</v>
      </c>
    </row>
    <row r="728" spans="24:26" x14ac:dyDescent="0.25">
      <c r="X728" s="137" t="s">
        <v>484</v>
      </c>
      <c r="Y728" s="140">
        <v>1</v>
      </c>
      <c r="Z728" s="141">
        <v>7.1685079749788407</v>
      </c>
    </row>
    <row r="729" spans="24:26" x14ac:dyDescent="0.25">
      <c r="X729" s="137" t="s">
        <v>483</v>
      </c>
      <c r="Y729" s="140">
        <v>1</v>
      </c>
      <c r="Z729" s="141">
        <v>5.556005810648954</v>
      </c>
    </row>
    <row r="730" spans="24:26" x14ac:dyDescent="0.25">
      <c r="X730" s="137" t="s">
        <v>949</v>
      </c>
      <c r="Y730" s="140">
        <v>1</v>
      </c>
      <c r="Z730" s="141">
        <v>5.5443521028888076</v>
      </c>
    </row>
    <row r="731" spans="24:26" x14ac:dyDescent="0.25">
      <c r="X731" s="137" t="s">
        <v>933</v>
      </c>
      <c r="Y731" s="140">
        <v>1</v>
      </c>
      <c r="Z731" s="141">
        <v>7.0346290443482342</v>
      </c>
    </row>
    <row r="732" spans="24:26" x14ac:dyDescent="0.25">
      <c r="X732" s="137" t="s">
        <v>950</v>
      </c>
      <c r="Y732" s="140">
        <v>1</v>
      </c>
      <c r="Z732" s="141">
        <v>5.5491574798746246</v>
      </c>
    </row>
    <row r="733" spans="24:26" x14ac:dyDescent="0.25">
      <c r="X733" s="137" t="s">
        <v>967</v>
      </c>
      <c r="Y733" s="140">
        <v>1</v>
      </c>
      <c r="Z733" s="141">
        <v>5.9599925323719392</v>
      </c>
    </row>
    <row r="734" spans="24:26" x14ac:dyDescent="0.25">
      <c r="X734" s="137" t="s">
        <v>419</v>
      </c>
      <c r="Y734" s="140">
        <v>1</v>
      </c>
      <c r="Z734" s="141">
        <v>7.7638775451279667</v>
      </c>
    </row>
    <row r="735" spans="24:26" x14ac:dyDescent="0.25">
      <c r="X735" s="137" t="s">
        <v>971</v>
      </c>
      <c r="Y735" s="140">
        <v>1</v>
      </c>
      <c r="Z735" s="141">
        <v>5.4001635046699219</v>
      </c>
    </row>
    <row r="736" spans="24:26" x14ac:dyDescent="0.25">
      <c r="X736" s="137" t="s">
        <v>939</v>
      </c>
      <c r="Y736" s="140">
        <v>1</v>
      </c>
      <c r="Z736" s="141">
        <v>5.9343071339227036</v>
      </c>
    </row>
    <row r="737" spans="24:26" x14ac:dyDescent="0.25">
      <c r="X737" s="137" t="s">
        <v>972</v>
      </c>
      <c r="Y737" s="140">
        <v>1</v>
      </c>
      <c r="Z737" s="141">
        <v>5.3910815363509377</v>
      </c>
    </row>
    <row r="738" spans="24:26" x14ac:dyDescent="0.25">
      <c r="X738" s="137" t="s">
        <v>1287</v>
      </c>
      <c r="Y738" s="140">
        <v>1</v>
      </c>
      <c r="Z738" s="141">
        <v>7.1685079749788407</v>
      </c>
    </row>
    <row r="739" spans="24:26" x14ac:dyDescent="0.25">
      <c r="X739" s="137" t="s">
        <v>1284</v>
      </c>
      <c r="Y739" s="140">
        <v>1</v>
      </c>
      <c r="Z739" s="141">
        <v>5.556005810648954</v>
      </c>
    </row>
    <row r="740" spans="24:26" x14ac:dyDescent="0.25">
      <c r="X740" s="137" t="s">
        <v>917</v>
      </c>
      <c r="Y740" s="140">
        <v>1</v>
      </c>
      <c r="Z740" s="141">
        <v>5.544352102836223</v>
      </c>
    </row>
    <row r="741" spans="24:26" x14ac:dyDescent="0.25">
      <c r="X741" s="137" t="s">
        <v>941</v>
      </c>
      <c r="Y741" s="140">
        <v>1</v>
      </c>
      <c r="Z741" s="141">
        <v>7.0346290443482342</v>
      </c>
    </row>
    <row r="742" spans="24:26" x14ac:dyDescent="0.25">
      <c r="X742" s="137" t="s">
        <v>962</v>
      </c>
      <c r="Y742" s="140">
        <v>1</v>
      </c>
      <c r="Z742" s="141">
        <v>5.5491574798783336</v>
      </c>
    </row>
    <row r="743" spans="24:26" x14ac:dyDescent="0.25">
      <c r="X743" s="137" t="s">
        <v>942</v>
      </c>
      <c r="Y743" s="140">
        <v>1</v>
      </c>
      <c r="Z743" s="141">
        <v>5.9599925323719392</v>
      </c>
    </row>
    <row r="744" spans="24:26" x14ac:dyDescent="0.25">
      <c r="X744" s="137" t="s">
        <v>961</v>
      </c>
      <c r="Y744" s="140">
        <v>1</v>
      </c>
      <c r="Z744" s="141">
        <v>7.7638775451279667</v>
      </c>
    </row>
    <row r="745" spans="24:26" x14ac:dyDescent="0.25">
      <c r="X745" s="137" t="s">
        <v>439</v>
      </c>
      <c r="Y745" s="140">
        <v>1</v>
      </c>
      <c r="Z745" s="141">
        <v>5.4001634984373537</v>
      </c>
    </row>
    <row r="746" spans="24:26" x14ac:dyDescent="0.25">
      <c r="X746" s="137" t="s">
        <v>1281</v>
      </c>
      <c r="Y746" s="140">
        <v>1</v>
      </c>
      <c r="Z746" s="141">
        <v>5.7178670519682493</v>
      </c>
    </row>
    <row r="747" spans="24:26" x14ac:dyDescent="0.25">
      <c r="X747" s="137" t="s">
        <v>1303</v>
      </c>
      <c r="Y747" s="140">
        <v>1</v>
      </c>
      <c r="Z747" s="141">
        <v>5.9071879905725604</v>
      </c>
    </row>
    <row r="748" spans="24:26" x14ac:dyDescent="0.25">
      <c r="X748" s="137" t="s">
        <v>1781</v>
      </c>
      <c r="Y748" s="140">
        <v>1</v>
      </c>
      <c r="Z748" s="141">
        <v>7.1685079584880436</v>
      </c>
    </row>
    <row r="749" spans="24:26" x14ac:dyDescent="0.25">
      <c r="X749" s="137" t="s">
        <v>1297</v>
      </c>
      <c r="Y749" s="140">
        <v>1</v>
      </c>
      <c r="Z749" s="141">
        <v>5.2265253359925339</v>
      </c>
    </row>
    <row r="750" spans="24:26" x14ac:dyDescent="0.25">
      <c r="X750" s="137" t="s">
        <v>1288</v>
      </c>
      <c r="Y750" s="140">
        <v>1</v>
      </c>
      <c r="Z750" s="141">
        <v>6.3016032041639223</v>
      </c>
    </row>
    <row r="751" spans="24:26" x14ac:dyDescent="0.25">
      <c r="X751" s="137" t="s">
        <v>1291</v>
      </c>
      <c r="Y751" s="140">
        <v>1</v>
      </c>
      <c r="Z751" s="141">
        <v>7.0346290443796935</v>
      </c>
    </row>
    <row r="752" spans="24:26" x14ac:dyDescent="0.25">
      <c r="X752" s="137" t="s">
        <v>1289</v>
      </c>
      <c r="Y752" s="140">
        <v>1</v>
      </c>
      <c r="Z752" s="141">
        <v>5.2189363509116937</v>
      </c>
    </row>
    <row r="753" spans="24:26" x14ac:dyDescent="0.25">
      <c r="X753" s="137" t="s">
        <v>1285</v>
      </c>
      <c r="Y753" s="140">
        <v>1</v>
      </c>
      <c r="Z753" s="141">
        <v>6.5508208300746515</v>
      </c>
    </row>
    <row r="754" spans="24:26" x14ac:dyDescent="0.25">
      <c r="X754" s="137" t="s">
        <v>1283</v>
      </c>
      <c r="Y754" s="140">
        <v>1</v>
      </c>
      <c r="Z754" s="141">
        <v>7.7638775451279667</v>
      </c>
    </row>
    <row r="755" spans="24:26" x14ac:dyDescent="0.25">
      <c r="X755" s="136" t="s">
        <v>134</v>
      </c>
      <c r="Y755" s="140">
        <v>37</v>
      </c>
      <c r="Z755" s="141">
        <v>413.16608314425605</v>
      </c>
    </row>
    <row r="756" spans="24:26" x14ac:dyDescent="0.25">
      <c r="X756" s="137" t="s">
        <v>1250</v>
      </c>
      <c r="Y756" s="140">
        <v>1</v>
      </c>
      <c r="Z756" s="141">
        <v>11.303653479583108</v>
      </c>
    </row>
    <row r="757" spans="24:26" x14ac:dyDescent="0.25">
      <c r="X757" s="137" t="s">
        <v>1251</v>
      </c>
      <c r="Y757" s="140">
        <v>1</v>
      </c>
      <c r="Z757" s="141">
        <v>11.21720333456258</v>
      </c>
    </row>
    <row r="758" spans="24:26" x14ac:dyDescent="0.25">
      <c r="X758" s="137" t="s">
        <v>1252</v>
      </c>
      <c r="Y758" s="140">
        <v>1</v>
      </c>
      <c r="Z758" s="141">
        <v>12.948687542782693</v>
      </c>
    </row>
    <row r="759" spans="24:26" x14ac:dyDescent="0.25">
      <c r="X759" s="137" t="s">
        <v>1253</v>
      </c>
      <c r="Y759" s="140">
        <v>1</v>
      </c>
      <c r="Z759" s="141">
        <v>11.16274803648572</v>
      </c>
    </row>
    <row r="760" spans="24:26" x14ac:dyDescent="0.25">
      <c r="X760" s="137" t="s">
        <v>1254</v>
      </c>
      <c r="Y760" s="140">
        <v>1</v>
      </c>
      <c r="Z760" s="141">
        <v>15.889886000191614</v>
      </c>
    </row>
    <row r="761" spans="24:26" x14ac:dyDescent="0.25">
      <c r="X761" s="137" t="s">
        <v>1255</v>
      </c>
      <c r="Y761" s="140">
        <v>1</v>
      </c>
      <c r="Z761" s="141">
        <v>11.303653479583108</v>
      </c>
    </row>
    <row r="762" spans="24:26" x14ac:dyDescent="0.25">
      <c r="X762" s="137" t="s">
        <v>1256</v>
      </c>
      <c r="Y762" s="140">
        <v>1</v>
      </c>
      <c r="Z762" s="141">
        <v>11.21720333456258</v>
      </c>
    </row>
    <row r="763" spans="24:26" x14ac:dyDescent="0.25">
      <c r="X763" s="137" t="s">
        <v>1257</v>
      </c>
      <c r="Y763" s="140">
        <v>1</v>
      </c>
      <c r="Z763" s="141">
        <v>12.948687542782693</v>
      </c>
    </row>
    <row r="764" spans="24:26" x14ac:dyDescent="0.25">
      <c r="X764" s="137" t="s">
        <v>1258</v>
      </c>
      <c r="Y764" s="140">
        <v>1</v>
      </c>
      <c r="Z764" s="141">
        <v>11.16274803648572</v>
      </c>
    </row>
    <row r="765" spans="24:26" x14ac:dyDescent="0.25">
      <c r="X765" s="137" t="s">
        <v>1259</v>
      </c>
      <c r="Y765" s="140">
        <v>1</v>
      </c>
      <c r="Z765" s="141">
        <v>15.889889622667035</v>
      </c>
    </row>
    <row r="766" spans="24:26" x14ac:dyDescent="0.25">
      <c r="X766" s="137" t="s">
        <v>1260</v>
      </c>
      <c r="Y766" s="140">
        <v>1</v>
      </c>
      <c r="Z766" s="141">
        <v>4.6146845171300317</v>
      </c>
    </row>
    <row r="767" spans="24:26" x14ac:dyDescent="0.25">
      <c r="X767" s="137" t="s">
        <v>1261</v>
      </c>
      <c r="Y767" s="140">
        <v>1</v>
      </c>
      <c r="Z767" s="141">
        <v>11.303653479583108</v>
      </c>
    </row>
    <row r="768" spans="24:26" x14ac:dyDescent="0.25">
      <c r="X768" s="137" t="s">
        <v>1262</v>
      </c>
      <c r="Y768" s="140">
        <v>1</v>
      </c>
      <c r="Z768" s="141">
        <v>11.217203339255697</v>
      </c>
    </row>
    <row r="769" spans="24:26" x14ac:dyDescent="0.25">
      <c r="X769" s="137" t="s">
        <v>1263</v>
      </c>
      <c r="Y769" s="140">
        <v>1</v>
      </c>
      <c r="Z769" s="141">
        <v>12.948687542782693</v>
      </c>
    </row>
    <row r="770" spans="24:26" x14ac:dyDescent="0.25">
      <c r="X770" s="137" t="s">
        <v>1264</v>
      </c>
      <c r="Y770" s="140">
        <v>1</v>
      </c>
      <c r="Z770" s="141">
        <v>11.16274803648572</v>
      </c>
    </row>
    <row r="771" spans="24:26" x14ac:dyDescent="0.25">
      <c r="X771" s="137" t="s">
        <v>1265</v>
      </c>
      <c r="Y771" s="140">
        <v>1</v>
      </c>
      <c r="Z771" s="141">
        <v>15.889886000191614</v>
      </c>
    </row>
    <row r="772" spans="24:26" x14ac:dyDescent="0.25">
      <c r="X772" s="137" t="s">
        <v>1308</v>
      </c>
      <c r="Y772" s="140">
        <v>1</v>
      </c>
      <c r="Z772" s="141">
        <v>5.3063787396865649</v>
      </c>
    </row>
    <row r="773" spans="24:26" x14ac:dyDescent="0.25">
      <c r="X773" s="137" t="s">
        <v>1309</v>
      </c>
      <c r="Y773" s="140">
        <v>1</v>
      </c>
      <c r="Z773" s="141">
        <v>9.8803010642086679</v>
      </c>
    </row>
    <row r="774" spans="24:26" x14ac:dyDescent="0.25">
      <c r="X774" s="137" t="s">
        <v>1310</v>
      </c>
      <c r="Y774" s="140">
        <v>1</v>
      </c>
      <c r="Z774" s="141">
        <v>14.15266772234544</v>
      </c>
    </row>
    <row r="775" spans="24:26" x14ac:dyDescent="0.25">
      <c r="X775" s="137" t="s">
        <v>1311</v>
      </c>
      <c r="Y775" s="140">
        <v>1</v>
      </c>
      <c r="Z775" s="141">
        <v>11.151411112013292</v>
      </c>
    </row>
    <row r="776" spans="24:26" x14ac:dyDescent="0.25">
      <c r="X776" s="137" t="s">
        <v>1312</v>
      </c>
      <c r="Y776" s="140">
        <v>1</v>
      </c>
      <c r="Z776" s="141">
        <v>14.522402888092294</v>
      </c>
    </row>
    <row r="777" spans="24:26" x14ac:dyDescent="0.25">
      <c r="X777" s="137" t="s">
        <v>1313</v>
      </c>
      <c r="Y777" s="140">
        <v>1</v>
      </c>
      <c r="Z777" s="141">
        <v>5.6399586695630974</v>
      </c>
    </row>
    <row r="778" spans="24:26" x14ac:dyDescent="0.25">
      <c r="X778" s="137" t="s">
        <v>1314</v>
      </c>
      <c r="Y778" s="140">
        <v>1</v>
      </c>
      <c r="Z778" s="141">
        <v>13.008435679599842</v>
      </c>
    </row>
    <row r="779" spans="24:26" x14ac:dyDescent="0.25">
      <c r="X779" s="137" t="s">
        <v>1325</v>
      </c>
      <c r="Y779" s="140">
        <v>1</v>
      </c>
      <c r="Z779" s="141">
        <v>5.3063809385571492</v>
      </c>
    </row>
    <row r="780" spans="24:26" x14ac:dyDescent="0.25">
      <c r="X780" s="137" t="s">
        <v>1326</v>
      </c>
      <c r="Y780" s="140">
        <v>1</v>
      </c>
      <c r="Z780" s="141">
        <v>9.8803010642086679</v>
      </c>
    </row>
    <row r="781" spans="24:26" x14ac:dyDescent="0.25">
      <c r="X781" s="137" t="s">
        <v>1327</v>
      </c>
      <c r="Y781" s="140">
        <v>1</v>
      </c>
      <c r="Z781" s="141">
        <v>14.15266772234544</v>
      </c>
    </row>
    <row r="782" spans="24:26" x14ac:dyDescent="0.25">
      <c r="X782" s="137" t="s">
        <v>1328</v>
      </c>
      <c r="Y782" s="140">
        <v>1</v>
      </c>
      <c r="Z782" s="141">
        <v>11.151411112054276</v>
      </c>
    </row>
    <row r="783" spans="24:26" x14ac:dyDescent="0.25">
      <c r="X783" s="137" t="s">
        <v>1329</v>
      </c>
      <c r="Y783" s="140">
        <v>1</v>
      </c>
      <c r="Z783" s="141">
        <v>14.522402888092294</v>
      </c>
    </row>
    <row r="784" spans="24:26" x14ac:dyDescent="0.25">
      <c r="X784" s="137" t="s">
        <v>1330</v>
      </c>
      <c r="Y784" s="140">
        <v>1</v>
      </c>
      <c r="Z784" s="141">
        <v>5.6399586695782986</v>
      </c>
    </row>
    <row r="785" spans="24:26" x14ac:dyDescent="0.25">
      <c r="X785" s="137" t="s">
        <v>1331</v>
      </c>
      <c r="Y785" s="140">
        <v>1</v>
      </c>
      <c r="Z785" s="141">
        <v>13.008435679599842</v>
      </c>
    </row>
    <row r="786" spans="24:26" x14ac:dyDescent="0.25">
      <c r="X786" s="137" t="s">
        <v>1342</v>
      </c>
      <c r="Y786" s="140">
        <v>1</v>
      </c>
      <c r="Z786" s="141">
        <v>5.3065687332573273</v>
      </c>
    </row>
    <row r="787" spans="24:26" x14ac:dyDescent="0.25">
      <c r="X787" s="137" t="s">
        <v>1343</v>
      </c>
      <c r="Y787" s="140">
        <v>1</v>
      </c>
      <c r="Z787" s="141">
        <v>9.8803010642086679</v>
      </c>
    </row>
    <row r="788" spans="24:26" x14ac:dyDescent="0.25">
      <c r="X788" s="137" t="s">
        <v>1344</v>
      </c>
      <c r="Y788" s="140">
        <v>1</v>
      </c>
      <c r="Z788" s="141">
        <v>14.15266772234544</v>
      </c>
    </row>
    <row r="789" spans="24:26" x14ac:dyDescent="0.25">
      <c r="X789" s="137" t="s">
        <v>1345</v>
      </c>
      <c r="Y789" s="140">
        <v>1</v>
      </c>
      <c r="Z789" s="141">
        <v>11.151411112083649</v>
      </c>
    </row>
    <row r="790" spans="24:26" x14ac:dyDescent="0.25">
      <c r="X790" s="137" t="s">
        <v>1346</v>
      </c>
      <c r="Y790" s="140">
        <v>1</v>
      </c>
      <c r="Z790" s="141">
        <v>14.522402888092294</v>
      </c>
    </row>
    <row r="791" spans="24:26" x14ac:dyDescent="0.25">
      <c r="X791" s="137" t="s">
        <v>1347</v>
      </c>
      <c r="Y791" s="140">
        <v>1</v>
      </c>
      <c r="Z791" s="141">
        <v>5.63995866960801</v>
      </c>
    </row>
    <row r="792" spans="24:26" x14ac:dyDescent="0.25">
      <c r="X792" s="137" t="s">
        <v>1348</v>
      </c>
      <c r="Y792" s="140">
        <v>1</v>
      </c>
      <c r="Z792" s="141">
        <v>13.008435679599842</v>
      </c>
    </row>
    <row r="793" spans="24:26" x14ac:dyDescent="0.25">
      <c r="X793" s="136" t="s">
        <v>128</v>
      </c>
      <c r="Y793" s="140">
        <v>12</v>
      </c>
      <c r="Z793" s="141">
        <v>92.621374380854277</v>
      </c>
    </row>
    <row r="794" spans="24:26" x14ac:dyDescent="0.25">
      <c r="X794" s="137" t="s">
        <v>1273</v>
      </c>
      <c r="Y794" s="140">
        <v>1</v>
      </c>
      <c r="Z794" s="141">
        <v>9.0261440489029496</v>
      </c>
    </row>
    <row r="795" spans="24:26" x14ac:dyDescent="0.25">
      <c r="X795" s="137" t="s">
        <v>1274</v>
      </c>
      <c r="Y795" s="140">
        <v>1</v>
      </c>
      <c r="Z795" s="141">
        <v>10.039755996381118</v>
      </c>
    </row>
    <row r="796" spans="24:26" x14ac:dyDescent="0.25">
      <c r="X796" s="137" t="s">
        <v>1275</v>
      </c>
      <c r="Y796" s="140">
        <v>1</v>
      </c>
      <c r="Z796" s="141">
        <v>9.9756136402576416</v>
      </c>
    </row>
    <row r="797" spans="24:26" x14ac:dyDescent="0.25">
      <c r="X797" s="137" t="s">
        <v>1276</v>
      </c>
      <c r="Y797" s="140">
        <v>1</v>
      </c>
      <c r="Z797" s="141">
        <v>9.9757090124289949</v>
      </c>
    </row>
    <row r="798" spans="24:26" x14ac:dyDescent="0.25">
      <c r="X798" s="137" t="s">
        <v>1277</v>
      </c>
      <c r="Y798" s="140">
        <v>1</v>
      </c>
      <c r="Z798" s="141">
        <v>9.9328417488146599</v>
      </c>
    </row>
    <row r="799" spans="24:26" x14ac:dyDescent="0.25">
      <c r="X799" s="137" t="s">
        <v>1269</v>
      </c>
      <c r="Y799" s="140">
        <v>1</v>
      </c>
      <c r="Z799" s="141">
        <v>7.2283843296638626</v>
      </c>
    </row>
    <row r="800" spans="24:26" x14ac:dyDescent="0.25">
      <c r="X800" s="137" t="s">
        <v>1270</v>
      </c>
      <c r="Y800" s="140">
        <v>1</v>
      </c>
      <c r="Z800" s="141">
        <v>7.2283977267563824</v>
      </c>
    </row>
    <row r="801" spans="24:26" x14ac:dyDescent="0.25">
      <c r="X801" s="137" t="s">
        <v>1271</v>
      </c>
      <c r="Y801" s="140">
        <v>1</v>
      </c>
      <c r="Z801" s="141">
        <v>5.369903240613537</v>
      </c>
    </row>
    <row r="802" spans="24:26" x14ac:dyDescent="0.25">
      <c r="X802" s="137" t="s">
        <v>1272</v>
      </c>
      <c r="Y802" s="140">
        <v>1</v>
      </c>
      <c r="Z802" s="141">
        <v>5.2550342468644633</v>
      </c>
    </row>
    <row r="803" spans="24:26" x14ac:dyDescent="0.25">
      <c r="X803" s="137" t="s">
        <v>1266</v>
      </c>
      <c r="Y803" s="140">
        <v>1</v>
      </c>
      <c r="Z803" s="141">
        <v>6.4072847893589486</v>
      </c>
    </row>
    <row r="804" spans="24:26" x14ac:dyDescent="0.25">
      <c r="X804" s="137" t="s">
        <v>1267</v>
      </c>
      <c r="Y804" s="140">
        <v>1</v>
      </c>
      <c r="Z804" s="141">
        <v>5.6738158875450182</v>
      </c>
    </row>
    <row r="805" spans="24:26" x14ac:dyDescent="0.25">
      <c r="X805" s="137" t="s">
        <v>1268</v>
      </c>
      <c r="Y805" s="140">
        <v>1</v>
      </c>
      <c r="Z805" s="141">
        <v>6.5084897132667034</v>
      </c>
    </row>
    <row r="806" spans="24:26" x14ac:dyDescent="0.25">
      <c r="X806" s="136" t="s">
        <v>1360</v>
      </c>
      <c r="Y806" s="140">
        <v>14</v>
      </c>
      <c r="Z806" s="141"/>
    </row>
    <row r="807" spans="24:26" x14ac:dyDescent="0.25">
      <c r="X807" s="137" t="s">
        <v>1359</v>
      </c>
      <c r="Y807" s="140">
        <v>1</v>
      </c>
      <c r="Z807" s="141"/>
    </row>
    <row r="808" spans="24:26" x14ac:dyDescent="0.25">
      <c r="X808" s="137" t="s">
        <v>1361</v>
      </c>
      <c r="Y808" s="140">
        <v>1</v>
      </c>
      <c r="Z808" s="141"/>
    </row>
    <row r="809" spans="24:26" x14ac:dyDescent="0.25">
      <c r="X809" s="137" t="s">
        <v>1362</v>
      </c>
      <c r="Y809" s="140">
        <v>1</v>
      </c>
      <c r="Z809" s="141"/>
    </row>
    <row r="810" spans="24:26" x14ac:dyDescent="0.25">
      <c r="X810" s="137" t="s">
        <v>1646</v>
      </c>
      <c r="Y810" s="140">
        <v>1</v>
      </c>
      <c r="Z810" s="141"/>
    </row>
    <row r="811" spans="24:26" x14ac:dyDescent="0.25">
      <c r="X811" s="137" t="s">
        <v>1647</v>
      </c>
      <c r="Y811" s="140">
        <v>1</v>
      </c>
      <c r="Z811" s="141"/>
    </row>
    <row r="812" spans="24:26" x14ac:dyDescent="0.25">
      <c r="X812" s="137" t="s">
        <v>1648</v>
      </c>
      <c r="Y812" s="140">
        <v>1</v>
      </c>
      <c r="Z812" s="141"/>
    </row>
    <row r="813" spans="24:26" x14ac:dyDescent="0.25">
      <c r="X813" s="137" t="s">
        <v>1649</v>
      </c>
      <c r="Y813" s="140">
        <v>1</v>
      </c>
      <c r="Z813" s="141"/>
    </row>
    <row r="814" spans="24:26" x14ac:dyDescent="0.25">
      <c r="X814" s="137" t="s">
        <v>1650</v>
      </c>
      <c r="Y814" s="140">
        <v>1</v>
      </c>
      <c r="Z814" s="141"/>
    </row>
    <row r="815" spans="24:26" x14ac:dyDescent="0.25">
      <c r="X815" s="137" t="s">
        <v>1651</v>
      </c>
      <c r="Y815" s="140">
        <v>1</v>
      </c>
      <c r="Z815" s="141"/>
    </row>
    <row r="816" spans="24:26" x14ac:dyDescent="0.25">
      <c r="X816" s="137" t="s">
        <v>1652</v>
      </c>
      <c r="Y816" s="140">
        <v>1</v>
      </c>
      <c r="Z816" s="141"/>
    </row>
    <row r="817" spans="24:26" x14ac:dyDescent="0.25">
      <c r="X817" s="137" t="s">
        <v>1653</v>
      </c>
      <c r="Y817" s="140">
        <v>1</v>
      </c>
      <c r="Z817" s="141"/>
    </row>
    <row r="818" spans="24:26" x14ac:dyDescent="0.25">
      <c r="X818" s="137" t="s">
        <v>1654</v>
      </c>
      <c r="Y818" s="140">
        <v>1</v>
      </c>
      <c r="Z818" s="141"/>
    </row>
    <row r="819" spans="24:26" x14ac:dyDescent="0.25">
      <c r="X819" s="137" t="s">
        <v>1655</v>
      </c>
      <c r="Y819" s="140">
        <v>1</v>
      </c>
      <c r="Z819" s="141"/>
    </row>
    <row r="820" spans="24:26" x14ac:dyDescent="0.25">
      <c r="X820" s="137" t="s">
        <v>1656</v>
      </c>
      <c r="Y820" s="140">
        <v>1</v>
      </c>
      <c r="Z820" s="141"/>
    </row>
    <row r="821" spans="24:26" x14ac:dyDescent="0.25">
      <c r="X821" s="136" t="s">
        <v>1364</v>
      </c>
      <c r="Y821" s="140">
        <v>404</v>
      </c>
      <c r="Z821" s="141"/>
    </row>
    <row r="822" spans="24:26" x14ac:dyDescent="0.25">
      <c r="X822" s="137" t="s">
        <v>1363</v>
      </c>
      <c r="Y822" s="140">
        <v>1</v>
      </c>
      <c r="Z822" s="141"/>
    </row>
    <row r="823" spans="24:26" x14ac:dyDescent="0.25">
      <c r="X823" s="137" t="s">
        <v>1365</v>
      </c>
      <c r="Y823" s="140">
        <v>1</v>
      </c>
      <c r="Z823" s="141"/>
    </row>
    <row r="824" spans="24:26" x14ac:dyDescent="0.25">
      <c r="X824" s="137" t="s">
        <v>1366</v>
      </c>
      <c r="Y824" s="140">
        <v>1</v>
      </c>
      <c r="Z824" s="141"/>
    </row>
    <row r="825" spans="24:26" x14ac:dyDescent="0.25">
      <c r="X825" s="137" t="s">
        <v>1367</v>
      </c>
      <c r="Y825" s="140">
        <v>1</v>
      </c>
      <c r="Z825" s="141"/>
    </row>
    <row r="826" spans="24:26" x14ac:dyDescent="0.25">
      <c r="X826" s="137" t="s">
        <v>1368</v>
      </c>
      <c r="Y826" s="140">
        <v>1</v>
      </c>
      <c r="Z826" s="141"/>
    </row>
    <row r="827" spans="24:26" x14ac:dyDescent="0.25">
      <c r="X827" s="137" t="s">
        <v>1369</v>
      </c>
      <c r="Y827" s="140">
        <v>1</v>
      </c>
      <c r="Z827" s="141"/>
    </row>
    <row r="828" spans="24:26" x14ac:dyDescent="0.25">
      <c r="X828" s="137" t="s">
        <v>1370</v>
      </c>
      <c r="Y828" s="140">
        <v>1</v>
      </c>
      <c r="Z828" s="141"/>
    </row>
    <row r="829" spans="24:26" x14ac:dyDescent="0.25">
      <c r="X829" s="137" t="s">
        <v>1371</v>
      </c>
      <c r="Y829" s="140">
        <v>1</v>
      </c>
      <c r="Z829" s="141"/>
    </row>
    <row r="830" spans="24:26" x14ac:dyDescent="0.25">
      <c r="X830" s="137" t="s">
        <v>1372</v>
      </c>
      <c r="Y830" s="140">
        <v>1</v>
      </c>
      <c r="Z830" s="141"/>
    </row>
    <row r="831" spans="24:26" x14ac:dyDescent="0.25">
      <c r="X831" s="137" t="s">
        <v>1373</v>
      </c>
      <c r="Y831" s="140">
        <v>1</v>
      </c>
      <c r="Z831" s="141"/>
    </row>
    <row r="832" spans="24:26" x14ac:dyDescent="0.25">
      <c r="X832" s="137" t="s">
        <v>1374</v>
      </c>
      <c r="Y832" s="140">
        <v>1</v>
      </c>
      <c r="Z832" s="141"/>
    </row>
    <row r="833" spans="24:26" x14ac:dyDescent="0.25">
      <c r="X833" s="137" t="s">
        <v>1375</v>
      </c>
      <c r="Y833" s="140">
        <v>1</v>
      </c>
      <c r="Z833" s="141"/>
    </row>
    <row r="834" spans="24:26" x14ac:dyDescent="0.25">
      <c r="X834" s="137" t="s">
        <v>1376</v>
      </c>
      <c r="Y834" s="140">
        <v>1</v>
      </c>
      <c r="Z834" s="141"/>
    </row>
    <row r="835" spans="24:26" x14ac:dyDescent="0.25">
      <c r="X835" s="137" t="s">
        <v>1377</v>
      </c>
      <c r="Y835" s="140">
        <v>1</v>
      </c>
      <c r="Z835" s="141"/>
    </row>
    <row r="836" spans="24:26" x14ac:dyDescent="0.25">
      <c r="X836" s="137" t="s">
        <v>1378</v>
      </c>
      <c r="Y836" s="140">
        <v>1</v>
      </c>
      <c r="Z836" s="141"/>
    </row>
    <row r="837" spans="24:26" x14ac:dyDescent="0.25">
      <c r="X837" s="137" t="s">
        <v>1379</v>
      </c>
      <c r="Y837" s="140">
        <v>1</v>
      </c>
      <c r="Z837" s="141"/>
    </row>
    <row r="838" spans="24:26" x14ac:dyDescent="0.25">
      <c r="X838" s="137" t="s">
        <v>1380</v>
      </c>
      <c r="Y838" s="140">
        <v>1</v>
      </c>
      <c r="Z838" s="141"/>
    </row>
    <row r="839" spans="24:26" x14ac:dyDescent="0.25">
      <c r="X839" s="137" t="s">
        <v>1381</v>
      </c>
      <c r="Y839" s="140">
        <v>1</v>
      </c>
      <c r="Z839" s="141"/>
    </row>
    <row r="840" spans="24:26" x14ac:dyDescent="0.25">
      <c r="X840" s="137" t="s">
        <v>1382</v>
      </c>
      <c r="Y840" s="140">
        <v>1</v>
      </c>
      <c r="Z840" s="141"/>
    </row>
    <row r="841" spans="24:26" x14ac:dyDescent="0.25">
      <c r="X841" s="137" t="s">
        <v>1383</v>
      </c>
      <c r="Y841" s="140">
        <v>1</v>
      </c>
      <c r="Z841" s="141"/>
    </row>
    <row r="842" spans="24:26" x14ac:dyDescent="0.25">
      <c r="X842" s="137" t="s">
        <v>1384</v>
      </c>
      <c r="Y842" s="140">
        <v>1</v>
      </c>
      <c r="Z842" s="141"/>
    </row>
    <row r="843" spans="24:26" x14ac:dyDescent="0.25">
      <c r="X843" s="137" t="s">
        <v>1385</v>
      </c>
      <c r="Y843" s="140">
        <v>1</v>
      </c>
      <c r="Z843" s="141"/>
    </row>
    <row r="844" spans="24:26" x14ac:dyDescent="0.25">
      <c r="X844" s="137" t="s">
        <v>1386</v>
      </c>
      <c r="Y844" s="140">
        <v>1</v>
      </c>
      <c r="Z844" s="141"/>
    </row>
    <row r="845" spans="24:26" x14ac:dyDescent="0.25">
      <c r="X845" s="137" t="s">
        <v>1387</v>
      </c>
      <c r="Y845" s="140">
        <v>1</v>
      </c>
      <c r="Z845" s="141"/>
    </row>
    <row r="846" spans="24:26" x14ac:dyDescent="0.25">
      <c r="X846" s="137" t="s">
        <v>1388</v>
      </c>
      <c r="Y846" s="140">
        <v>1</v>
      </c>
      <c r="Z846" s="141"/>
    </row>
    <row r="847" spans="24:26" x14ac:dyDescent="0.25">
      <c r="X847" s="137" t="s">
        <v>1389</v>
      </c>
      <c r="Y847" s="140">
        <v>1</v>
      </c>
      <c r="Z847" s="141"/>
    </row>
    <row r="848" spans="24:26" x14ac:dyDescent="0.25">
      <c r="X848" s="137" t="s">
        <v>1390</v>
      </c>
      <c r="Y848" s="140">
        <v>1</v>
      </c>
      <c r="Z848" s="141"/>
    </row>
    <row r="849" spans="24:26" x14ac:dyDescent="0.25">
      <c r="X849" s="137" t="s">
        <v>1391</v>
      </c>
      <c r="Y849" s="140">
        <v>1</v>
      </c>
      <c r="Z849" s="141"/>
    </row>
    <row r="850" spans="24:26" x14ac:dyDescent="0.25">
      <c r="X850" s="137" t="s">
        <v>1392</v>
      </c>
      <c r="Y850" s="140">
        <v>1</v>
      </c>
      <c r="Z850" s="141"/>
    </row>
    <row r="851" spans="24:26" x14ac:dyDescent="0.25">
      <c r="X851" s="137" t="s">
        <v>1393</v>
      </c>
      <c r="Y851" s="140">
        <v>1</v>
      </c>
      <c r="Z851" s="141"/>
    </row>
    <row r="852" spans="24:26" x14ac:dyDescent="0.25">
      <c r="X852" s="137" t="s">
        <v>1394</v>
      </c>
      <c r="Y852" s="140">
        <v>1</v>
      </c>
      <c r="Z852" s="141"/>
    </row>
    <row r="853" spans="24:26" x14ac:dyDescent="0.25">
      <c r="X853" s="137" t="s">
        <v>1395</v>
      </c>
      <c r="Y853" s="140">
        <v>1</v>
      </c>
      <c r="Z853" s="141"/>
    </row>
    <row r="854" spans="24:26" x14ac:dyDescent="0.25">
      <c r="X854" s="137" t="s">
        <v>1396</v>
      </c>
      <c r="Y854" s="140">
        <v>1</v>
      </c>
      <c r="Z854" s="141"/>
    </row>
    <row r="855" spans="24:26" x14ac:dyDescent="0.25">
      <c r="X855" s="137" t="s">
        <v>1397</v>
      </c>
      <c r="Y855" s="140">
        <v>1</v>
      </c>
      <c r="Z855" s="141"/>
    </row>
    <row r="856" spans="24:26" x14ac:dyDescent="0.25">
      <c r="X856" s="137" t="s">
        <v>1398</v>
      </c>
      <c r="Y856" s="140">
        <v>1</v>
      </c>
      <c r="Z856" s="141"/>
    </row>
    <row r="857" spans="24:26" x14ac:dyDescent="0.25">
      <c r="X857" s="137" t="s">
        <v>1399</v>
      </c>
      <c r="Y857" s="140">
        <v>1</v>
      </c>
      <c r="Z857" s="141"/>
    </row>
    <row r="858" spans="24:26" x14ac:dyDescent="0.25">
      <c r="X858" s="137" t="s">
        <v>1400</v>
      </c>
      <c r="Y858" s="140">
        <v>1</v>
      </c>
      <c r="Z858" s="141"/>
    </row>
    <row r="859" spans="24:26" x14ac:dyDescent="0.25">
      <c r="X859" s="137" t="s">
        <v>1401</v>
      </c>
      <c r="Y859" s="140">
        <v>1</v>
      </c>
      <c r="Z859" s="141"/>
    </row>
    <row r="860" spans="24:26" x14ac:dyDescent="0.25">
      <c r="X860" s="137" t="s">
        <v>1402</v>
      </c>
      <c r="Y860" s="140">
        <v>1</v>
      </c>
      <c r="Z860" s="141"/>
    </row>
    <row r="861" spans="24:26" x14ac:dyDescent="0.25">
      <c r="X861" s="137" t="s">
        <v>1403</v>
      </c>
      <c r="Y861" s="140">
        <v>1</v>
      </c>
      <c r="Z861" s="141"/>
    </row>
    <row r="862" spans="24:26" x14ac:dyDescent="0.25">
      <c r="X862" s="137" t="s">
        <v>1404</v>
      </c>
      <c r="Y862" s="140">
        <v>1</v>
      </c>
      <c r="Z862" s="141"/>
    </row>
    <row r="863" spans="24:26" x14ac:dyDescent="0.25">
      <c r="X863" s="137" t="s">
        <v>1405</v>
      </c>
      <c r="Y863" s="140">
        <v>1</v>
      </c>
      <c r="Z863" s="141"/>
    </row>
    <row r="864" spans="24:26" x14ac:dyDescent="0.25">
      <c r="X864" s="137" t="s">
        <v>1406</v>
      </c>
      <c r="Y864" s="140">
        <v>1</v>
      </c>
      <c r="Z864" s="141"/>
    </row>
    <row r="865" spans="24:26" x14ac:dyDescent="0.25">
      <c r="X865" s="137" t="s">
        <v>1407</v>
      </c>
      <c r="Y865" s="140">
        <v>1</v>
      </c>
      <c r="Z865" s="141"/>
    </row>
    <row r="866" spans="24:26" x14ac:dyDescent="0.25">
      <c r="X866" s="137" t="s">
        <v>1408</v>
      </c>
      <c r="Y866" s="140">
        <v>1</v>
      </c>
      <c r="Z866" s="141"/>
    </row>
    <row r="867" spans="24:26" x14ac:dyDescent="0.25">
      <c r="X867" s="137" t="s">
        <v>1409</v>
      </c>
      <c r="Y867" s="140">
        <v>1</v>
      </c>
      <c r="Z867" s="141"/>
    </row>
    <row r="868" spans="24:26" x14ac:dyDescent="0.25">
      <c r="X868" s="137" t="s">
        <v>1410</v>
      </c>
      <c r="Y868" s="140">
        <v>1</v>
      </c>
      <c r="Z868" s="141"/>
    </row>
    <row r="869" spans="24:26" x14ac:dyDescent="0.25">
      <c r="X869" s="137" t="s">
        <v>1411</v>
      </c>
      <c r="Y869" s="140">
        <v>1</v>
      </c>
      <c r="Z869" s="141"/>
    </row>
    <row r="870" spans="24:26" x14ac:dyDescent="0.25">
      <c r="X870" s="137" t="s">
        <v>1412</v>
      </c>
      <c r="Y870" s="140">
        <v>1</v>
      </c>
      <c r="Z870" s="141"/>
    </row>
    <row r="871" spans="24:26" x14ac:dyDescent="0.25">
      <c r="X871" s="137" t="s">
        <v>1413</v>
      </c>
      <c r="Y871" s="140">
        <v>1</v>
      </c>
      <c r="Z871" s="141"/>
    </row>
    <row r="872" spans="24:26" x14ac:dyDescent="0.25">
      <c r="X872" s="137" t="s">
        <v>1414</v>
      </c>
      <c r="Y872" s="140">
        <v>1</v>
      </c>
      <c r="Z872" s="141"/>
    </row>
    <row r="873" spans="24:26" x14ac:dyDescent="0.25">
      <c r="X873" s="137" t="s">
        <v>1415</v>
      </c>
      <c r="Y873" s="140">
        <v>1</v>
      </c>
      <c r="Z873" s="141"/>
    </row>
    <row r="874" spans="24:26" x14ac:dyDescent="0.25">
      <c r="X874" s="137" t="s">
        <v>1416</v>
      </c>
      <c r="Y874" s="140">
        <v>1</v>
      </c>
      <c r="Z874" s="141"/>
    </row>
    <row r="875" spans="24:26" x14ac:dyDescent="0.25">
      <c r="X875" s="137" t="s">
        <v>1417</v>
      </c>
      <c r="Y875" s="140">
        <v>1</v>
      </c>
      <c r="Z875" s="141"/>
    </row>
    <row r="876" spans="24:26" x14ac:dyDescent="0.25">
      <c r="X876" s="137" t="s">
        <v>1418</v>
      </c>
      <c r="Y876" s="140">
        <v>1</v>
      </c>
      <c r="Z876" s="141"/>
    </row>
    <row r="877" spans="24:26" x14ac:dyDescent="0.25">
      <c r="X877" s="137" t="s">
        <v>1419</v>
      </c>
      <c r="Y877" s="140">
        <v>1</v>
      </c>
      <c r="Z877" s="141"/>
    </row>
    <row r="878" spans="24:26" x14ac:dyDescent="0.25">
      <c r="X878" s="137" t="s">
        <v>1420</v>
      </c>
      <c r="Y878" s="140">
        <v>1</v>
      </c>
      <c r="Z878" s="141"/>
    </row>
    <row r="879" spans="24:26" x14ac:dyDescent="0.25">
      <c r="X879" s="137" t="s">
        <v>1421</v>
      </c>
      <c r="Y879" s="140">
        <v>1</v>
      </c>
      <c r="Z879" s="141"/>
    </row>
    <row r="880" spans="24:26" x14ac:dyDescent="0.25">
      <c r="X880" s="137" t="s">
        <v>1422</v>
      </c>
      <c r="Y880" s="140">
        <v>1</v>
      </c>
      <c r="Z880" s="141"/>
    </row>
    <row r="881" spans="24:26" x14ac:dyDescent="0.25">
      <c r="X881" s="137" t="s">
        <v>1423</v>
      </c>
      <c r="Y881" s="140">
        <v>1</v>
      </c>
      <c r="Z881" s="141"/>
    </row>
    <row r="882" spans="24:26" x14ac:dyDescent="0.25">
      <c r="X882" s="137" t="s">
        <v>1424</v>
      </c>
      <c r="Y882" s="140">
        <v>1</v>
      </c>
      <c r="Z882" s="141"/>
    </row>
    <row r="883" spans="24:26" x14ac:dyDescent="0.25">
      <c r="X883" s="137" t="s">
        <v>1425</v>
      </c>
      <c r="Y883" s="140">
        <v>1</v>
      </c>
      <c r="Z883" s="141"/>
    </row>
    <row r="884" spans="24:26" x14ac:dyDescent="0.25">
      <c r="X884" s="137" t="s">
        <v>1426</v>
      </c>
      <c r="Y884" s="140">
        <v>1</v>
      </c>
      <c r="Z884" s="141"/>
    </row>
    <row r="885" spans="24:26" x14ac:dyDescent="0.25">
      <c r="X885" s="137" t="s">
        <v>1427</v>
      </c>
      <c r="Y885" s="140">
        <v>1</v>
      </c>
      <c r="Z885" s="141"/>
    </row>
    <row r="886" spans="24:26" x14ac:dyDescent="0.25">
      <c r="X886" s="137" t="s">
        <v>1428</v>
      </c>
      <c r="Y886" s="140">
        <v>1</v>
      </c>
      <c r="Z886" s="141"/>
    </row>
    <row r="887" spans="24:26" x14ac:dyDescent="0.25">
      <c r="X887" s="137" t="s">
        <v>1429</v>
      </c>
      <c r="Y887" s="140">
        <v>1</v>
      </c>
      <c r="Z887" s="141"/>
    </row>
    <row r="888" spans="24:26" x14ac:dyDescent="0.25">
      <c r="X888" s="137" t="s">
        <v>1430</v>
      </c>
      <c r="Y888" s="140">
        <v>1</v>
      </c>
      <c r="Z888" s="141"/>
    </row>
    <row r="889" spans="24:26" x14ac:dyDescent="0.25">
      <c r="X889" s="137" t="s">
        <v>1431</v>
      </c>
      <c r="Y889" s="140">
        <v>1</v>
      </c>
      <c r="Z889" s="141"/>
    </row>
    <row r="890" spans="24:26" x14ac:dyDescent="0.25">
      <c r="X890" s="137" t="s">
        <v>1432</v>
      </c>
      <c r="Y890" s="140">
        <v>1</v>
      </c>
      <c r="Z890" s="141"/>
    </row>
    <row r="891" spans="24:26" x14ac:dyDescent="0.25">
      <c r="X891" s="137" t="s">
        <v>1433</v>
      </c>
      <c r="Y891" s="140">
        <v>1</v>
      </c>
      <c r="Z891" s="141"/>
    </row>
    <row r="892" spans="24:26" x14ac:dyDescent="0.25">
      <c r="X892" s="137" t="s">
        <v>1434</v>
      </c>
      <c r="Y892" s="140">
        <v>1</v>
      </c>
      <c r="Z892" s="141"/>
    </row>
    <row r="893" spans="24:26" x14ac:dyDescent="0.25">
      <c r="X893" s="137" t="s">
        <v>1435</v>
      </c>
      <c r="Y893" s="140">
        <v>1</v>
      </c>
      <c r="Z893" s="141"/>
    </row>
    <row r="894" spans="24:26" x14ac:dyDescent="0.25">
      <c r="X894" s="137" t="s">
        <v>1436</v>
      </c>
      <c r="Y894" s="140">
        <v>1</v>
      </c>
      <c r="Z894" s="141"/>
    </row>
    <row r="895" spans="24:26" x14ac:dyDescent="0.25">
      <c r="X895" s="137" t="s">
        <v>1437</v>
      </c>
      <c r="Y895" s="140">
        <v>1</v>
      </c>
      <c r="Z895" s="141"/>
    </row>
    <row r="896" spans="24:26" x14ac:dyDescent="0.25">
      <c r="X896" s="137" t="s">
        <v>1438</v>
      </c>
      <c r="Y896" s="140">
        <v>1</v>
      </c>
      <c r="Z896" s="141"/>
    </row>
    <row r="897" spans="24:26" x14ac:dyDescent="0.25">
      <c r="X897" s="137" t="s">
        <v>1439</v>
      </c>
      <c r="Y897" s="140">
        <v>1</v>
      </c>
      <c r="Z897" s="141"/>
    </row>
    <row r="898" spans="24:26" x14ac:dyDescent="0.25">
      <c r="X898" s="137" t="s">
        <v>1440</v>
      </c>
      <c r="Y898" s="140">
        <v>1</v>
      </c>
      <c r="Z898" s="141"/>
    </row>
    <row r="899" spans="24:26" x14ac:dyDescent="0.25">
      <c r="X899" s="137" t="s">
        <v>1441</v>
      </c>
      <c r="Y899" s="140">
        <v>1</v>
      </c>
      <c r="Z899" s="141"/>
    </row>
    <row r="900" spans="24:26" x14ac:dyDescent="0.25">
      <c r="X900" s="137" t="s">
        <v>1442</v>
      </c>
      <c r="Y900" s="140">
        <v>1</v>
      </c>
      <c r="Z900" s="141"/>
    </row>
    <row r="901" spans="24:26" x14ac:dyDescent="0.25">
      <c r="X901" s="137" t="s">
        <v>1443</v>
      </c>
      <c r="Y901" s="140">
        <v>1</v>
      </c>
      <c r="Z901" s="141"/>
    </row>
    <row r="902" spans="24:26" x14ac:dyDescent="0.25">
      <c r="X902" s="137" t="s">
        <v>1444</v>
      </c>
      <c r="Y902" s="140">
        <v>1</v>
      </c>
      <c r="Z902" s="141"/>
    </row>
    <row r="903" spans="24:26" x14ac:dyDescent="0.25">
      <c r="X903" s="137" t="s">
        <v>1445</v>
      </c>
      <c r="Y903" s="140">
        <v>1</v>
      </c>
      <c r="Z903" s="141"/>
    </row>
    <row r="904" spans="24:26" x14ac:dyDescent="0.25">
      <c r="X904" s="137" t="s">
        <v>1446</v>
      </c>
      <c r="Y904" s="140">
        <v>1</v>
      </c>
      <c r="Z904" s="141"/>
    </row>
    <row r="905" spans="24:26" x14ac:dyDescent="0.25">
      <c r="X905" s="137" t="s">
        <v>1447</v>
      </c>
      <c r="Y905" s="140">
        <v>1</v>
      </c>
      <c r="Z905" s="141"/>
    </row>
    <row r="906" spans="24:26" x14ac:dyDescent="0.25">
      <c r="X906" s="137" t="s">
        <v>1448</v>
      </c>
      <c r="Y906" s="140">
        <v>1</v>
      </c>
      <c r="Z906" s="141"/>
    </row>
    <row r="907" spans="24:26" x14ac:dyDescent="0.25">
      <c r="X907" s="137" t="s">
        <v>1449</v>
      </c>
      <c r="Y907" s="140">
        <v>1</v>
      </c>
      <c r="Z907" s="141"/>
    </row>
    <row r="908" spans="24:26" x14ac:dyDescent="0.25">
      <c r="X908" s="137" t="s">
        <v>1450</v>
      </c>
      <c r="Y908" s="140">
        <v>1</v>
      </c>
      <c r="Z908" s="141"/>
    </row>
    <row r="909" spans="24:26" x14ac:dyDescent="0.25">
      <c r="X909" s="137" t="s">
        <v>1451</v>
      </c>
      <c r="Y909" s="140">
        <v>1</v>
      </c>
      <c r="Z909" s="141"/>
    </row>
    <row r="910" spans="24:26" x14ac:dyDescent="0.25">
      <c r="X910" s="137" t="s">
        <v>1452</v>
      </c>
      <c r="Y910" s="140">
        <v>1</v>
      </c>
      <c r="Z910" s="141"/>
    </row>
    <row r="911" spans="24:26" x14ac:dyDescent="0.25">
      <c r="X911" s="137" t="s">
        <v>1453</v>
      </c>
      <c r="Y911" s="140">
        <v>1</v>
      </c>
      <c r="Z911" s="141"/>
    </row>
    <row r="912" spans="24:26" x14ac:dyDescent="0.25">
      <c r="X912" s="137" t="s">
        <v>1454</v>
      </c>
      <c r="Y912" s="140">
        <v>1</v>
      </c>
      <c r="Z912" s="141"/>
    </row>
    <row r="913" spans="24:26" x14ac:dyDescent="0.25">
      <c r="X913" s="137" t="s">
        <v>1455</v>
      </c>
      <c r="Y913" s="140">
        <v>1</v>
      </c>
      <c r="Z913" s="141"/>
    </row>
    <row r="914" spans="24:26" x14ac:dyDescent="0.25">
      <c r="X914" s="137" t="s">
        <v>1456</v>
      </c>
      <c r="Y914" s="140">
        <v>1</v>
      </c>
      <c r="Z914" s="141"/>
    </row>
    <row r="915" spans="24:26" x14ac:dyDescent="0.25">
      <c r="X915" s="137" t="s">
        <v>1457</v>
      </c>
      <c r="Y915" s="140">
        <v>1</v>
      </c>
      <c r="Z915" s="141"/>
    </row>
    <row r="916" spans="24:26" x14ac:dyDescent="0.25">
      <c r="X916" s="137" t="s">
        <v>1458</v>
      </c>
      <c r="Y916" s="140">
        <v>1</v>
      </c>
      <c r="Z916" s="141"/>
    </row>
    <row r="917" spans="24:26" x14ac:dyDescent="0.25">
      <c r="X917" s="137" t="s">
        <v>1459</v>
      </c>
      <c r="Y917" s="140">
        <v>1</v>
      </c>
      <c r="Z917" s="141"/>
    </row>
    <row r="918" spans="24:26" x14ac:dyDescent="0.25">
      <c r="X918" s="137" t="s">
        <v>1460</v>
      </c>
      <c r="Y918" s="140">
        <v>1</v>
      </c>
      <c r="Z918" s="141"/>
    </row>
    <row r="919" spans="24:26" x14ac:dyDescent="0.25">
      <c r="X919" s="137" t="s">
        <v>1461</v>
      </c>
      <c r="Y919" s="140">
        <v>1</v>
      </c>
      <c r="Z919" s="141"/>
    </row>
    <row r="920" spans="24:26" x14ac:dyDescent="0.25">
      <c r="X920" s="137" t="s">
        <v>1462</v>
      </c>
      <c r="Y920" s="140">
        <v>1</v>
      </c>
      <c r="Z920" s="141"/>
    </row>
    <row r="921" spans="24:26" x14ac:dyDescent="0.25">
      <c r="X921" s="137" t="s">
        <v>1463</v>
      </c>
      <c r="Y921" s="140">
        <v>1</v>
      </c>
      <c r="Z921" s="141"/>
    </row>
    <row r="922" spans="24:26" x14ac:dyDescent="0.25">
      <c r="X922" s="137" t="s">
        <v>1464</v>
      </c>
      <c r="Y922" s="140">
        <v>1</v>
      </c>
      <c r="Z922" s="141"/>
    </row>
    <row r="923" spans="24:26" x14ac:dyDescent="0.25">
      <c r="X923" s="137" t="s">
        <v>1465</v>
      </c>
      <c r="Y923" s="140">
        <v>1</v>
      </c>
      <c r="Z923" s="141"/>
    </row>
    <row r="924" spans="24:26" x14ac:dyDescent="0.25">
      <c r="X924" s="137" t="s">
        <v>1466</v>
      </c>
      <c r="Y924" s="140">
        <v>1</v>
      </c>
      <c r="Z924" s="141"/>
    </row>
    <row r="925" spans="24:26" x14ac:dyDescent="0.25">
      <c r="X925" s="137" t="s">
        <v>1467</v>
      </c>
      <c r="Y925" s="140">
        <v>1</v>
      </c>
      <c r="Z925" s="141"/>
    </row>
    <row r="926" spans="24:26" x14ac:dyDescent="0.25">
      <c r="X926" s="137" t="s">
        <v>1468</v>
      </c>
      <c r="Y926" s="140">
        <v>1</v>
      </c>
      <c r="Z926" s="141"/>
    </row>
    <row r="927" spans="24:26" x14ac:dyDescent="0.25">
      <c r="X927" s="137" t="s">
        <v>1469</v>
      </c>
      <c r="Y927" s="140">
        <v>1</v>
      </c>
      <c r="Z927" s="141"/>
    </row>
    <row r="928" spans="24:26" x14ac:dyDescent="0.25">
      <c r="X928" s="137" t="s">
        <v>1470</v>
      </c>
      <c r="Y928" s="140">
        <v>1</v>
      </c>
      <c r="Z928" s="141"/>
    </row>
    <row r="929" spans="24:26" x14ac:dyDescent="0.25">
      <c r="X929" s="137" t="s">
        <v>1471</v>
      </c>
      <c r="Y929" s="140">
        <v>1</v>
      </c>
      <c r="Z929" s="141"/>
    </row>
    <row r="930" spans="24:26" x14ac:dyDescent="0.25">
      <c r="X930" s="137" t="s">
        <v>1472</v>
      </c>
      <c r="Y930" s="140">
        <v>1</v>
      </c>
      <c r="Z930" s="141"/>
    </row>
    <row r="931" spans="24:26" x14ac:dyDescent="0.25">
      <c r="X931" s="137" t="s">
        <v>1473</v>
      </c>
      <c r="Y931" s="140">
        <v>1</v>
      </c>
      <c r="Z931" s="141"/>
    </row>
    <row r="932" spans="24:26" x14ac:dyDescent="0.25">
      <c r="X932" s="137" t="s">
        <v>1474</v>
      </c>
      <c r="Y932" s="140">
        <v>1</v>
      </c>
      <c r="Z932" s="141"/>
    </row>
    <row r="933" spans="24:26" x14ac:dyDescent="0.25">
      <c r="X933" s="137" t="s">
        <v>1475</v>
      </c>
      <c r="Y933" s="140">
        <v>1</v>
      </c>
      <c r="Z933" s="141"/>
    </row>
    <row r="934" spans="24:26" x14ac:dyDescent="0.25">
      <c r="X934" s="137" t="s">
        <v>1476</v>
      </c>
      <c r="Y934" s="140">
        <v>1</v>
      </c>
      <c r="Z934" s="141"/>
    </row>
    <row r="935" spans="24:26" x14ac:dyDescent="0.25">
      <c r="X935" s="137" t="s">
        <v>1477</v>
      </c>
      <c r="Y935" s="140">
        <v>1</v>
      </c>
      <c r="Z935" s="141"/>
    </row>
    <row r="936" spans="24:26" x14ac:dyDescent="0.25">
      <c r="X936" s="137" t="s">
        <v>1478</v>
      </c>
      <c r="Y936" s="140">
        <v>1</v>
      </c>
      <c r="Z936" s="141"/>
    </row>
    <row r="937" spans="24:26" x14ac:dyDescent="0.25">
      <c r="X937" s="137" t="s">
        <v>1479</v>
      </c>
      <c r="Y937" s="140">
        <v>1</v>
      </c>
      <c r="Z937" s="141"/>
    </row>
    <row r="938" spans="24:26" x14ac:dyDescent="0.25">
      <c r="X938" s="137" t="s">
        <v>1480</v>
      </c>
      <c r="Y938" s="140">
        <v>1</v>
      </c>
      <c r="Z938" s="141"/>
    </row>
    <row r="939" spans="24:26" x14ac:dyDescent="0.25">
      <c r="X939" s="137" t="s">
        <v>1481</v>
      </c>
      <c r="Y939" s="140">
        <v>1</v>
      </c>
      <c r="Z939" s="141"/>
    </row>
    <row r="940" spans="24:26" x14ac:dyDescent="0.25">
      <c r="X940" s="137" t="s">
        <v>1482</v>
      </c>
      <c r="Y940" s="140">
        <v>1</v>
      </c>
      <c r="Z940" s="141"/>
    </row>
    <row r="941" spans="24:26" x14ac:dyDescent="0.25">
      <c r="X941" s="137" t="s">
        <v>1483</v>
      </c>
      <c r="Y941" s="140">
        <v>1</v>
      </c>
      <c r="Z941" s="141"/>
    </row>
    <row r="942" spans="24:26" x14ac:dyDescent="0.25">
      <c r="X942" s="137" t="s">
        <v>1484</v>
      </c>
      <c r="Y942" s="140">
        <v>1</v>
      </c>
      <c r="Z942" s="141"/>
    </row>
    <row r="943" spans="24:26" x14ac:dyDescent="0.25">
      <c r="X943" s="137" t="s">
        <v>1485</v>
      </c>
      <c r="Y943" s="140">
        <v>1</v>
      </c>
      <c r="Z943" s="141"/>
    </row>
    <row r="944" spans="24:26" x14ac:dyDescent="0.25">
      <c r="X944" s="137" t="s">
        <v>1486</v>
      </c>
      <c r="Y944" s="140">
        <v>1</v>
      </c>
      <c r="Z944" s="141"/>
    </row>
    <row r="945" spans="24:26" x14ac:dyDescent="0.25">
      <c r="X945" s="137" t="s">
        <v>1487</v>
      </c>
      <c r="Y945" s="140">
        <v>1</v>
      </c>
      <c r="Z945" s="141"/>
    </row>
    <row r="946" spans="24:26" x14ac:dyDescent="0.25">
      <c r="X946" s="137" t="s">
        <v>1488</v>
      </c>
      <c r="Y946" s="140">
        <v>1</v>
      </c>
      <c r="Z946" s="141"/>
    </row>
    <row r="947" spans="24:26" x14ac:dyDescent="0.25">
      <c r="X947" s="137" t="s">
        <v>1489</v>
      </c>
      <c r="Y947" s="140">
        <v>1</v>
      </c>
      <c r="Z947" s="141"/>
    </row>
    <row r="948" spans="24:26" x14ac:dyDescent="0.25">
      <c r="X948" s="137" t="s">
        <v>1490</v>
      </c>
      <c r="Y948" s="140">
        <v>1</v>
      </c>
      <c r="Z948" s="141"/>
    </row>
    <row r="949" spans="24:26" x14ac:dyDescent="0.25">
      <c r="X949" s="137" t="s">
        <v>1491</v>
      </c>
      <c r="Y949" s="140">
        <v>1</v>
      </c>
      <c r="Z949" s="141"/>
    </row>
    <row r="950" spans="24:26" x14ac:dyDescent="0.25">
      <c r="X950" s="137" t="s">
        <v>1492</v>
      </c>
      <c r="Y950" s="140">
        <v>1</v>
      </c>
      <c r="Z950" s="141"/>
    </row>
    <row r="951" spans="24:26" x14ac:dyDescent="0.25">
      <c r="X951" s="137" t="s">
        <v>1493</v>
      </c>
      <c r="Y951" s="140">
        <v>1</v>
      </c>
      <c r="Z951" s="141"/>
    </row>
    <row r="952" spans="24:26" x14ac:dyDescent="0.25">
      <c r="X952" s="137" t="s">
        <v>1494</v>
      </c>
      <c r="Y952" s="140">
        <v>1</v>
      </c>
      <c r="Z952" s="141"/>
    </row>
    <row r="953" spans="24:26" x14ac:dyDescent="0.25">
      <c r="X953" s="137" t="s">
        <v>1495</v>
      </c>
      <c r="Y953" s="140">
        <v>1</v>
      </c>
      <c r="Z953" s="141"/>
    </row>
    <row r="954" spans="24:26" x14ac:dyDescent="0.25">
      <c r="X954" s="137" t="s">
        <v>1496</v>
      </c>
      <c r="Y954" s="140">
        <v>1</v>
      </c>
      <c r="Z954" s="141"/>
    </row>
    <row r="955" spans="24:26" x14ac:dyDescent="0.25">
      <c r="X955" s="137" t="s">
        <v>1497</v>
      </c>
      <c r="Y955" s="140">
        <v>1</v>
      </c>
      <c r="Z955" s="141"/>
    </row>
    <row r="956" spans="24:26" x14ac:dyDescent="0.25">
      <c r="X956" s="137" t="s">
        <v>1498</v>
      </c>
      <c r="Y956" s="140">
        <v>1</v>
      </c>
      <c r="Z956" s="141"/>
    </row>
    <row r="957" spans="24:26" x14ac:dyDescent="0.25">
      <c r="X957" s="137" t="s">
        <v>1499</v>
      </c>
      <c r="Y957" s="140">
        <v>1</v>
      </c>
      <c r="Z957" s="141"/>
    </row>
    <row r="958" spans="24:26" x14ac:dyDescent="0.25">
      <c r="X958" s="137" t="s">
        <v>1500</v>
      </c>
      <c r="Y958" s="140">
        <v>1</v>
      </c>
      <c r="Z958" s="141"/>
    </row>
    <row r="959" spans="24:26" x14ac:dyDescent="0.25">
      <c r="X959" s="137" t="s">
        <v>1501</v>
      </c>
      <c r="Y959" s="140">
        <v>1</v>
      </c>
      <c r="Z959" s="141"/>
    </row>
    <row r="960" spans="24:26" x14ac:dyDescent="0.25">
      <c r="X960" s="137" t="s">
        <v>1502</v>
      </c>
      <c r="Y960" s="140">
        <v>1</v>
      </c>
      <c r="Z960" s="141"/>
    </row>
    <row r="961" spans="24:26" x14ac:dyDescent="0.25">
      <c r="X961" s="137" t="s">
        <v>1503</v>
      </c>
      <c r="Y961" s="140">
        <v>1</v>
      </c>
      <c r="Z961" s="141"/>
    </row>
    <row r="962" spans="24:26" x14ac:dyDescent="0.25">
      <c r="X962" s="137" t="s">
        <v>1504</v>
      </c>
      <c r="Y962" s="140">
        <v>1</v>
      </c>
      <c r="Z962" s="141"/>
    </row>
    <row r="963" spans="24:26" x14ac:dyDescent="0.25">
      <c r="X963" s="137" t="s">
        <v>1505</v>
      </c>
      <c r="Y963" s="140">
        <v>1</v>
      </c>
      <c r="Z963" s="141"/>
    </row>
    <row r="964" spans="24:26" x14ac:dyDescent="0.25">
      <c r="X964" s="137" t="s">
        <v>1506</v>
      </c>
      <c r="Y964" s="140">
        <v>1</v>
      </c>
      <c r="Z964" s="141"/>
    </row>
    <row r="965" spans="24:26" x14ac:dyDescent="0.25">
      <c r="X965" s="137" t="s">
        <v>1507</v>
      </c>
      <c r="Y965" s="140">
        <v>1</v>
      </c>
      <c r="Z965" s="141"/>
    </row>
    <row r="966" spans="24:26" x14ac:dyDescent="0.25">
      <c r="X966" s="137" t="s">
        <v>1508</v>
      </c>
      <c r="Y966" s="140">
        <v>1</v>
      </c>
      <c r="Z966" s="141"/>
    </row>
    <row r="967" spans="24:26" x14ac:dyDescent="0.25">
      <c r="X967" s="137" t="s">
        <v>1509</v>
      </c>
      <c r="Y967" s="140">
        <v>1</v>
      </c>
      <c r="Z967" s="141"/>
    </row>
    <row r="968" spans="24:26" x14ac:dyDescent="0.25">
      <c r="X968" s="137" t="s">
        <v>1510</v>
      </c>
      <c r="Y968" s="140">
        <v>1</v>
      </c>
      <c r="Z968" s="141"/>
    </row>
    <row r="969" spans="24:26" x14ac:dyDescent="0.25">
      <c r="X969" s="137" t="s">
        <v>1511</v>
      </c>
      <c r="Y969" s="140">
        <v>1</v>
      </c>
      <c r="Z969" s="141"/>
    </row>
    <row r="970" spans="24:26" x14ac:dyDescent="0.25">
      <c r="X970" s="137" t="s">
        <v>1512</v>
      </c>
      <c r="Y970" s="140">
        <v>1</v>
      </c>
      <c r="Z970" s="141"/>
    </row>
    <row r="971" spans="24:26" x14ac:dyDescent="0.25">
      <c r="X971" s="137" t="s">
        <v>1513</v>
      </c>
      <c r="Y971" s="140">
        <v>1</v>
      </c>
      <c r="Z971" s="141"/>
    </row>
    <row r="972" spans="24:26" x14ac:dyDescent="0.25">
      <c r="X972" s="137" t="s">
        <v>1514</v>
      </c>
      <c r="Y972" s="140">
        <v>1</v>
      </c>
      <c r="Z972" s="141"/>
    </row>
    <row r="973" spans="24:26" x14ac:dyDescent="0.25">
      <c r="X973" s="137" t="s">
        <v>1515</v>
      </c>
      <c r="Y973" s="140">
        <v>1</v>
      </c>
      <c r="Z973" s="141"/>
    </row>
    <row r="974" spans="24:26" x14ac:dyDescent="0.25">
      <c r="X974" s="137" t="s">
        <v>1516</v>
      </c>
      <c r="Y974" s="140">
        <v>1</v>
      </c>
      <c r="Z974" s="141"/>
    </row>
    <row r="975" spans="24:26" x14ac:dyDescent="0.25">
      <c r="X975" s="137" t="s">
        <v>1517</v>
      </c>
      <c r="Y975" s="140">
        <v>1</v>
      </c>
      <c r="Z975" s="141"/>
    </row>
    <row r="976" spans="24:26" x14ac:dyDescent="0.25">
      <c r="X976" s="137" t="s">
        <v>1518</v>
      </c>
      <c r="Y976" s="140">
        <v>1</v>
      </c>
      <c r="Z976" s="141"/>
    </row>
    <row r="977" spans="24:26" x14ac:dyDescent="0.25">
      <c r="X977" s="137" t="s">
        <v>1519</v>
      </c>
      <c r="Y977" s="140">
        <v>1</v>
      </c>
      <c r="Z977" s="141"/>
    </row>
    <row r="978" spans="24:26" x14ac:dyDescent="0.25">
      <c r="X978" s="137" t="s">
        <v>1520</v>
      </c>
      <c r="Y978" s="140">
        <v>1</v>
      </c>
      <c r="Z978" s="141"/>
    </row>
    <row r="979" spans="24:26" x14ac:dyDescent="0.25">
      <c r="X979" s="137" t="s">
        <v>1521</v>
      </c>
      <c r="Y979" s="140">
        <v>1</v>
      </c>
      <c r="Z979" s="141"/>
    </row>
    <row r="980" spans="24:26" x14ac:dyDescent="0.25">
      <c r="X980" s="137" t="s">
        <v>1522</v>
      </c>
      <c r="Y980" s="140">
        <v>1</v>
      </c>
      <c r="Z980" s="141"/>
    </row>
    <row r="981" spans="24:26" x14ac:dyDescent="0.25">
      <c r="X981" s="137" t="s">
        <v>1523</v>
      </c>
      <c r="Y981" s="140">
        <v>1</v>
      </c>
      <c r="Z981" s="141"/>
    </row>
    <row r="982" spans="24:26" x14ac:dyDescent="0.25">
      <c r="X982" s="137" t="s">
        <v>1524</v>
      </c>
      <c r="Y982" s="140">
        <v>1</v>
      </c>
      <c r="Z982" s="141"/>
    </row>
    <row r="983" spans="24:26" x14ac:dyDescent="0.25">
      <c r="X983" s="137" t="s">
        <v>1525</v>
      </c>
      <c r="Y983" s="140">
        <v>1</v>
      </c>
      <c r="Z983" s="141"/>
    </row>
    <row r="984" spans="24:26" x14ac:dyDescent="0.25">
      <c r="X984" s="137" t="s">
        <v>1526</v>
      </c>
      <c r="Y984" s="140">
        <v>1</v>
      </c>
      <c r="Z984" s="141"/>
    </row>
    <row r="985" spans="24:26" x14ac:dyDescent="0.25">
      <c r="X985" s="137" t="s">
        <v>1527</v>
      </c>
      <c r="Y985" s="140">
        <v>1</v>
      </c>
      <c r="Z985" s="141"/>
    </row>
    <row r="986" spans="24:26" x14ac:dyDescent="0.25">
      <c r="X986" s="137" t="s">
        <v>1528</v>
      </c>
      <c r="Y986" s="140">
        <v>1</v>
      </c>
      <c r="Z986" s="141"/>
    </row>
    <row r="987" spans="24:26" x14ac:dyDescent="0.25">
      <c r="X987" s="137" t="s">
        <v>1529</v>
      </c>
      <c r="Y987" s="140">
        <v>1</v>
      </c>
      <c r="Z987" s="141"/>
    </row>
    <row r="988" spans="24:26" x14ac:dyDescent="0.25">
      <c r="X988" s="137" t="s">
        <v>1530</v>
      </c>
      <c r="Y988" s="140">
        <v>1</v>
      </c>
      <c r="Z988" s="141"/>
    </row>
    <row r="989" spans="24:26" x14ac:dyDescent="0.25">
      <c r="X989" s="137" t="s">
        <v>1531</v>
      </c>
      <c r="Y989" s="140">
        <v>1</v>
      </c>
      <c r="Z989" s="141"/>
    </row>
    <row r="990" spans="24:26" x14ac:dyDescent="0.25">
      <c r="X990" s="137" t="s">
        <v>1532</v>
      </c>
      <c r="Y990" s="140">
        <v>1</v>
      </c>
      <c r="Z990" s="141"/>
    </row>
    <row r="991" spans="24:26" x14ac:dyDescent="0.25">
      <c r="X991" s="137" t="s">
        <v>1533</v>
      </c>
      <c r="Y991" s="140">
        <v>1</v>
      </c>
      <c r="Z991" s="141"/>
    </row>
    <row r="992" spans="24:26" x14ac:dyDescent="0.25">
      <c r="X992" s="137" t="s">
        <v>1534</v>
      </c>
      <c r="Y992" s="140">
        <v>1</v>
      </c>
      <c r="Z992" s="141"/>
    </row>
    <row r="993" spans="24:26" x14ac:dyDescent="0.25">
      <c r="X993" s="137" t="s">
        <v>1535</v>
      </c>
      <c r="Y993" s="140">
        <v>1</v>
      </c>
      <c r="Z993" s="141"/>
    </row>
    <row r="994" spans="24:26" x14ac:dyDescent="0.25">
      <c r="X994" s="137" t="s">
        <v>1536</v>
      </c>
      <c r="Y994" s="140">
        <v>1</v>
      </c>
      <c r="Z994" s="141"/>
    </row>
    <row r="995" spans="24:26" x14ac:dyDescent="0.25">
      <c r="X995" s="137" t="s">
        <v>1537</v>
      </c>
      <c r="Y995" s="140">
        <v>1</v>
      </c>
      <c r="Z995" s="141"/>
    </row>
    <row r="996" spans="24:26" x14ac:dyDescent="0.25">
      <c r="X996" s="137" t="s">
        <v>1538</v>
      </c>
      <c r="Y996" s="140">
        <v>1</v>
      </c>
      <c r="Z996" s="141"/>
    </row>
    <row r="997" spans="24:26" x14ac:dyDescent="0.25">
      <c r="X997" s="137" t="s">
        <v>1539</v>
      </c>
      <c r="Y997" s="140">
        <v>1</v>
      </c>
      <c r="Z997" s="141"/>
    </row>
    <row r="998" spans="24:26" x14ac:dyDescent="0.25">
      <c r="X998" s="137" t="s">
        <v>1540</v>
      </c>
      <c r="Y998" s="140">
        <v>1</v>
      </c>
      <c r="Z998" s="141"/>
    </row>
    <row r="999" spans="24:26" x14ac:dyDescent="0.25">
      <c r="X999" s="137" t="s">
        <v>1541</v>
      </c>
      <c r="Y999" s="140">
        <v>1</v>
      </c>
      <c r="Z999" s="141"/>
    </row>
    <row r="1000" spans="24:26" x14ac:dyDescent="0.25">
      <c r="X1000" s="137" t="s">
        <v>1542</v>
      </c>
      <c r="Y1000" s="140">
        <v>1</v>
      </c>
      <c r="Z1000" s="141"/>
    </row>
    <row r="1001" spans="24:26" x14ac:dyDescent="0.25">
      <c r="X1001" s="137" t="s">
        <v>1543</v>
      </c>
      <c r="Y1001" s="140">
        <v>1</v>
      </c>
      <c r="Z1001" s="141"/>
    </row>
    <row r="1002" spans="24:26" x14ac:dyDescent="0.25">
      <c r="X1002" s="137" t="s">
        <v>1544</v>
      </c>
      <c r="Y1002" s="140">
        <v>1</v>
      </c>
      <c r="Z1002" s="141"/>
    </row>
    <row r="1003" spans="24:26" x14ac:dyDescent="0.25">
      <c r="X1003" s="137" t="s">
        <v>1545</v>
      </c>
      <c r="Y1003" s="140">
        <v>1</v>
      </c>
      <c r="Z1003" s="141"/>
    </row>
    <row r="1004" spans="24:26" x14ac:dyDescent="0.25">
      <c r="X1004" s="137" t="s">
        <v>1546</v>
      </c>
      <c r="Y1004" s="140">
        <v>1</v>
      </c>
      <c r="Z1004" s="141"/>
    </row>
    <row r="1005" spans="24:26" x14ac:dyDescent="0.25">
      <c r="X1005" s="137" t="s">
        <v>1547</v>
      </c>
      <c r="Y1005" s="140">
        <v>1</v>
      </c>
      <c r="Z1005" s="141"/>
    </row>
    <row r="1006" spans="24:26" x14ac:dyDescent="0.25">
      <c r="X1006" s="137" t="s">
        <v>1548</v>
      </c>
      <c r="Y1006" s="140">
        <v>1</v>
      </c>
      <c r="Z1006" s="141"/>
    </row>
    <row r="1007" spans="24:26" x14ac:dyDescent="0.25">
      <c r="X1007" s="137" t="s">
        <v>1549</v>
      </c>
      <c r="Y1007" s="140">
        <v>1</v>
      </c>
      <c r="Z1007" s="141"/>
    </row>
    <row r="1008" spans="24:26" x14ac:dyDescent="0.25">
      <c r="X1008" s="137" t="s">
        <v>1550</v>
      </c>
      <c r="Y1008" s="140">
        <v>1</v>
      </c>
      <c r="Z1008" s="141"/>
    </row>
    <row r="1009" spans="24:26" x14ac:dyDescent="0.25">
      <c r="X1009" s="137" t="s">
        <v>1551</v>
      </c>
      <c r="Y1009" s="140">
        <v>1</v>
      </c>
      <c r="Z1009" s="141"/>
    </row>
    <row r="1010" spans="24:26" x14ac:dyDescent="0.25">
      <c r="X1010" s="137" t="s">
        <v>1552</v>
      </c>
      <c r="Y1010" s="140">
        <v>1</v>
      </c>
      <c r="Z1010" s="141"/>
    </row>
    <row r="1011" spans="24:26" x14ac:dyDescent="0.25">
      <c r="X1011" s="137" t="s">
        <v>1553</v>
      </c>
      <c r="Y1011" s="140">
        <v>1</v>
      </c>
      <c r="Z1011" s="141"/>
    </row>
    <row r="1012" spans="24:26" x14ac:dyDescent="0.25">
      <c r="X1012" s="137" t="s">
        <v>1554</v>
      </c>
      <c r="Y1012" s="140">
        <v>1</v>
      </c>
      <c r="Z1012" s="141"/>
    </row>
    <row r="1013" spans="24:26" x14ac:dyDescent="0.25">
      <c r="X1013" s="137" t="s">
        <v>1555</v>
      </c>
      <c r="Y1013" s="140">
        <v>1</v>
      </c>
      <c r="Z1013" s="141"/>
    </row>
    <row r="1014" spans="24:26" x14ac:dyDescent="0.25">
      <c r="X1014" s="137" t="s">
        <v>1556</v>
      </c>
      <c r="Y1014" s="140">
        <v>1</v>
      </c>
      <c r="Z1014" s="141"/>
    </row>
    <row r="1015" spans="24:26" x14ac:dyDescent="0.25">
      <c r="X1015" s="137" t="s">
        <v>1557</v>
      </c>
      <c r="Y1015" s="140">
        <v>1</v>
      </c>
      <c r="Z1015" s="141"/>
    </row>
    <row r="1016" spans="24:26" x14ac:dyDescent="0.25">
      <c r="X1016" s="137" t="s">
        <v>1558</v>
      </c>
      <c r="Y1016" s="140">
        <v>1</v>
      </c>
      <c r="Z1016" s="141"/>
    </row>
    <row r="1017" spans="24:26" x14ac:dyDescent="0.25">
      <c r="X1017" s="137" t="s">
        <v>1559</v>
      </c>
      <c r="Y1017" s="140">
        <v>1</v>
      </c>
      <c r="Z1017" s="141"/>
    </row>
    <row r="1018" spans="24:26" x14ac:dyDescent="0.25">
      <c r="X1018" s="137" t="s">
        <v>1560</v>
      </c>
      <c r="Y1018" s="140">
        <v>1</v>
      </c>
      <c r="Z1018" s="141"/>
    </row>
    <row r="1019" spans="24:26" x14ac:dyDescent="0.25">
      <c r="X1019" s="137" t="s">
        <v>1561</v>
      </c>
      <c r="Y1019" s="140">
        <v>1</v>
      </c>
      <c r="Z1019" s="141"/>
    </row>
    <row r="1020" spans="24:26" x14ac:dyDescent="0.25">
      <c r="X1020" s="137" t="s">
        <v>1562</v>
      </c>
      <c r="Y1020" s="140">
        <v>1</v>
      </c>
      <c r="Z1020" s="141"/>
    </row>
    <row r="1021" spans="24:26" x14ac:dyDescent="0.25">
      <c r="X1021" s="137" t="s">
        <v>1563</v>
      </c>
      <c r="Y1021" s="140">
        <v>1</v>
      </c>
      <c r="Z1021" s="141"/>
    </row>
    <row r="1022" spans="24:26" x14ac:dyDescent="0.25">
      <c r="X1022" s="137" t="s">
        <v>1564</v>
      </c>
      <c r="Y1022" s="140">
        <v>1</v>
      </c>
      <c r="Z1022" s="141"/>
    </row>
    <row r="1023" spans="24:26" x14ac:dyDescent="0.25">
      <c r="X1023" s="137" t="s">
        <v>1565</v>
      </c>
      <c r="Y1023" s="140">
        <v>1</v>
      </c>
      <c r="Z1023" s="141"/>
    </row>
    <row r="1024" spans="24:26" x14ac:dyDescent="0.25">
      <c r="X1024" s="137" t="s">
        <v>1566</v>
      </c>
      <c r="Y1024" s="140">
        <v>1</v>
      </c>
      <c r="Z1024" s="141"/>
    </row>
    <row r="1025" spans="24:26" x14ac:dyDescent="0.25">
      <c r="X1025" s="137" t="s">
        <v>1567</v>
      </c>
      <c r="Y1025" s="140">
        <v>1</v>
      </c>
      <c r="Z1025" s="141"/>
    </row>
    <row r="1026" spans="24:26" x14ac:dyDescent="0.25">
      <c r="X1026" s="137" t="s">
        <v>1568</v>
      </c>
      <c r="Y1026" s="140">
        <v>1</v>
      </c>
      <c r="Z1026" s="141"/>
    </row>
    <row r="1027" spans="24:26" x14ac:dyDescent="0.25">
      <c r="X1027" s="137" t="s">
        <v>1569</v>
      </c>
      <c r="Y1027" s="140">
        <v>1</v>
      </c>
      <c r="Z1027" s="141"/>
    </row>
    <row r="1028" spans="24:26" x14ac:dyDescent="0.25">
      <c r="X1028" s="137" t="s">
        <v>1570</v>
      </c>
      <c r="Y1028" s="140">
        <v>1</v>
      </c>
      <c r="Z1028" s="141"/>
    </row>
    <row r="1029" spans="24:26" x14ac:dyDescent="0.25">
      <c r="X1029" s="137" t="s">
        <v>1571</v>
      </c>
      <c r="Y1029" s="140">
        <v>1</v>
      </c>
      <c r="Z1029" s="141"/>
    </row>
    <row r="1030" spans="24:26" x14ac:dyDescent="0.25">
      <c r="X1030" s="137" t="s">
        <v>1572</v>
      </c>
      <c r="Y1030" s="140">
        <v>1</v>
      </c>
      <c r="Z1030" s="141"/>
    </row>
    <row r="1031" spans="24:26" x14ac:dyDescent="0.25">
      <c r="X1031" s="137" t="s">
        <v>1573</v>
      </c>
      <c r="Y1031" s="140">
        <v>1</v>
      </c>
      <c r="Z1031" s="141"/>
    </row>
    <row r="1032" spans="24:26" x14ac:dyDescent="0.25">
      <c r="X1032" s="137" t="s">
        <v>1574</v>
      </c>
      <c r="Y1032" s="140">
        <v>1</v>
      </c>
      <c r="Z1032" s="141"/>
    </row>
    <row r="1033" spans="24:26" x14ac:dyDescent="0.25">
      <c r="X1033" s="137" t="s">
        <v>1575</v>
      </c>
      <c r="Y1033" s="140">
        <v>1</v>
      </c>
      <c r="Z1033" s="141"/>
    </row>
    <row r="1034" spans="24:26" x14ac:dyDescent="0.25">
      <c r="X1034" s="137" t="s">
        <v>1576</v>
      </c>
      <c r="Y1034" s="140">
        <v>1</v>
      </c>
      <c r="Z1034" s="141"/>
    </row>
    <row r="1035" spans="24:26" x14ac:dyDescent="0.25">
      <c r="X1035" s="137" t="s">
        <v>1577</v>
      </c>
      <c r="Y1035" s="140">
        <v>1</v>
      </c>
      <c r="Z1035" s="141"/>
    </row>
    <row r="1036" spans="24:26" x14ac:dyDescent="0.25">
      <c r="X1036" s="137" t="s">
        <v>1578</v>
      </c>
      <c r="Y1036" s="140">
        <v>1</v>
      </c>
      <c r="Z1036" s="141"/>
    </row>
    <row r="1037" spans="24:26" x14ac:dyDescent="0.25">
      <c r="X1037" s="137" t="s">
        <v>1579</v>
      </c>
      <c r="Y1037" s="140">
        <v>1</v>
      </c>
      <c r="Z1037" s="141"/>
    </row>
    <row r="1038" spans="24:26" x14ac:dyDescent="0.25">
      <c r="X1038" s="137" t="s">
        <v>1580</v>
      </c>
      <c r="Y1038" s="140">
        <v>1</v>
      </c>
      <c r="Z1038" s="141"/>
    </row>
    <row r="1039" spans="24:26" x14ac:dyDescent="0.25">
      <c r="X1039" s="137" t="s">
        <v>1581</v>
      </c>
      <c r="Y1039" s="140">
        <v>1</v>
      </c>
      <c r="Z1039" s="141"/>
    </row>
    <row r="1040" spans="24:26" x14ac:dyDescent="0.25">
      <c r="X1040" s="137" t="s">
        <v>1582</v>
      </c>
      <c r="Y1040" s="140">
        <v>1</v>
      </c>
      <c r="Z1040" s="141"/>
    </row>
    <row r="1041" spans="24:26" x14ac:dyDescent="0.25">
      <c r="X1041" s="137" t="s">
        <v>1583</v>
      </c>
      <c r="Y1041" s="140">
        <v>1</v>
      </c>
      <c r="Z1041" s="141"/>
    </row>
    <row r="1042" spans="24:26" x14ac:dyDescent="0.25">
      <c r="X1042" s="137" t="s">
        <v>1584</v>
      </c>
      <c r="Y1042" s="140">
        <v>1</v>
      </c>
      <c r="Z1042" s="141"/>
    </row>
    <row r="1043" spans="24:26" x14ac:dyDescent="0.25">
      <c r="X1043" s="137" t="s">
        <v>1585</v>
      </c>
      <c r="Y1043" s="140">
        <v>1</v>
      </c>
      <c r="Z1043" s="141"/>
    </row>
    <row r="1044" spans="24:26" x14ac:dyDescent="0.25">
      <c r="X1044" s="137" t="s">
        <v>1586</v>
      </c>
      <c r="Y1044" s="140">
        <v>1</v>
      </c>
      <c r="Z1044" s="141"/>
    </row>
    <row r="1045" spans="24:26" x14ac:dyDescent="0.25">
      <c r="X1045" s="137" t="s">
        <v>1587</v>
      </c>
      <c r="Y1045" s="140">
        <v>1</v>
      </c>
      <c r="Z1045" s="141"/>
    </row>
    <row r="1046" spans="24:26" x14ac:dyDescent="0.25">
      <c r="X1046" s="137" t="s">
        <v>1588</v>
      </c>
      <c r="Y1046" s="140">
        <v>1</v>
      </c>
      <c r="Z1046" s="141"/>
    </row>
    <row r="1047" spans="24:26" x14ac:dyDescent="0.25">
      <c r="X1047" s="137" t="s">
        <v>1589</v>
      </c>
      <c r="Y1047" s="140">
        <v>1</v>
      </c>
      <c r="Z1047" s="141"/>
    </row>
    <row r="1048" spans="24:26" x14ac:dyDescent="0.25">
      <c r="X1048" s="137" t="s">
        <v>1590</v>
      </c>
      <c r="Y1048" s="140">
        <v>1</v>
      </c>
      <c r="Z1048" s="141"/>
    </row>
    <row r="1049" spans="24:26" x14ac:dyDescent="0.25">
      <c r="X1049" s="137" t="s">
        <v>1591</v>
      </c>
      <c r="Y1049" s="140">
        <v>1</v>
      </c>
      <c r="Z1049" s="141"/>
    </row>
    <row r="1050" spans="24:26" x14ac:dyDescent="0.25">
      <c r="X1050" s="137" t="s">
        <v>1592</v>
      </c>
      <c r="Y1050" s="140">
        <v>1</v>
      </c>
      <c r="Z1050" s="141"/>
    </row>
    <row r="1051" spans="24:26" x14ac:dyDescent="0.25">
      <c r="X1051" s="137" t="s">
        <v>1593</v>
      </c>
      <c r="Y1051" s="140">
        <v>1</v>
      </c>
      <c r="Z1051" s="141"/>
    </row>
    <row r="1052" spans="24:26" x14ac:dyDescent="0.25">
      <c r="X1052" s="137" t="s">
        <v>1594</v>
      </c>
      <c r="Y1052" s="140">
        <v>1</v>
      </c>
      <c r="Z1052" s="141"/>
    </row>
    <row r="1053" spans="24:26" x14ac:dyDescent="0.25">
      <c r="X1053" s="137" t="s">
        <v>1595</v>
      </c>
      <c r="Y1053" s="140">
        <v>1</v>
      </c>
      <c r="Z1053" s="141"/>
    </row>
    <row r="1054" spans="24:26" x14ac:dyDescent="0.25">
      <c r="X1054" s="137" t="s">
        <v>1596</v>
      </c>
      <c r="Y1054" s="140">
        <v>1</v>
      </c>
      <c r="Z1054" s="141"/>
    </row>
    <row r="1055" spans="24:26" x14ac:dyDescent="0.25">
      <c r="X1055" s="137" t="s">
        <v>1597</v>
      </c>
      <c r="Y1055" s="140">
        <v>1</v>
      </c>
      <c r="Z1055" s="141"/>
    </row>
    <row r="1056" spans="24:26" x14ac:dyDescent="0.25">
      <c r="X1056" s="137" t="s">
        <v>1598</v>
      </c>
      <c r="Y1056" s="140">
        <v>1</v>
      </c>
      <c r="Z1056" s="141"/>
    </row>
    <row r="1057" spans="24:26" x14ac:dyDescent="0.25">
      <c r="X1057" s="137" t="s">
        <v>1599</v>
      </c>
      <c r="Y1057" s="140">
        <v>1</v>
      </c>
      <c r="Z1057" s="141"/>
    </row>
    <row r="1058" spans="24:26" x14ac:dyDescent="0.25">
      <c r="X1058" s="137" t="s">
        <v>1600</v>
      </c>
      <c r="Y1058" s="140">
        <v>1</v>
      </c>
      <c r="Z1058" s="141"/>
    </row>
    <row r="1059" spans="24:26" x14ac:dyDescent="0.25">
      <c r="X1059" s="137" t="s">
        <v>1601</v>
      </c>
      <c r="Y1059" s="140">
        <v>1</v>
      </c>
      <c r="Z1059" s="141"/>
    </row>
    <row r="1060" spans="24:26" x14ac:dyDescent="0.25">
      <c r="X1060" s="137" t="s">
        <v>1602</v>
      </c>
      <c r="Y1060" s="140">
        <v>1</v>
      </c>
      <c r="Z1060" s="141"/>
    </row>
    <row r="1061" spans="24:26" x14ac:dyDescent="0.25">
      <c r="X1061" s="137" t="s">
        <v>1603</v>
      </c>
      <c r="Y1061" s="140">
        <v>1</v>
      </c>
      <c r="Z1061" s="141"/>
    </row>
    <row r="1062" spans="24:26" x14ac:dyDescent="0.25">
      <c r="X1062" s="137" t="s">
        <v>1604</v>
      </c>
      <c r="Y1062" s="140">
        <v>1</v>
      </c>
      <c r="Z1062" s="141"/>
    </row>
    <row r="1063" spans="24:26" x14ac:dyDescent="0.25">
      <c r="X1063" s="137" t="s">
        <v>1605</v>
      </c>
      <c r="Y1063" s="140">
        <v>1</v>
      </c>
      <c r="Z1063" s="141"/>
    </row>
    <row r="1064" spans="24:26" x14ac:dyDescent="0.25">
      <c r="X1064" s="137" t="s">
        <v>1606</v>
      </c>
      <c r="Y1064" s="140">
        <v>1</v>
      </c>
      <c r="Z1064" s="141"/>
    </row>
    <row r="1065" spans="24:26" x14ac:dyDescent="0.25">
      <c r="X1065" s="137" t="s">
        <v>1607</v>
      </c>
      <c r="Y1065" s="140">
        <v>1</v>
      </c>
      <c r="Z1065" s="141"/>
    </row>
    <row r="1066" spans="24:26" x14ac:dyDescent="0.25">
      <c r="X1066" s="137" t="s">
        <v>1608</v>
      </c>
      <c r="Y1066" s="140">
        <v>1</v>
      </c>
      <c r="Z1066" s="141"/>
    </row>
    <row r="1067" spans="24:26" x14ac:dyDescent="0.25">
      <c r="X1067" s="137" t="s">
        <v>1609</v>
      </c>
      <c r="Y1067" s="140">
        <v>1</v>
      </c>
      <c r="Z1067" s="141"/>
    </row>
    <row r="1068" spans="24:26" x14ac:dyDescent="0.25">
      <c r="X1068" s="137" t="s">
        <v>1610</v>
      </c>
      <c r="Y1068" s="140">
        <v>1</v>
      </c>
      <c r="Z1068" s="141"/>
    </row>
    <row r="1069" spans="24:26" x14ac:dyDescent="0.25">
      <c r="X1069" s="137" t="s">
        <v>1611</v>
      </c>
      <c r="Y1069" s="140">
        <v>1</v>
      </c>
      <c r="Z1069" s="141"/>
    </row>
    <row r="1070" spans="24:26" x14ac:dyDescent="0.25">
      <c r="X1070" s="137" t="s">
        <v>1612</v>
      </c>
      <c r="Y1070" s="140">
        <v>1</v>
      </c>
      <c r="Z1070" s="141"/>
    </row>
    <row r="1071" spans="24:26" x14ac:dyDescent="0.25">
      <c r="X1071" s="137" t="s">
        <v>1613</v>
      </c>
      <c r="Y1071" s="140">
        <v>1</v>
      </c>
      <c r="Z1071" s="141"/>
    </row>
    <row r="1072" spans="24:26" x14ac:dyDescent="0.25">
      <c r="X1072" s="137" t="s">
        <v>1614</v>
      </c>
      <c r="Y1072" s="140">
        <v>1</v>
      </c>
      <c r="Z1072" s="141"/>
    </row>
    <row r="1073" spans="24:26" x14ac:dyDescent="0.25">
      <c r="X1073" s="137" t="s">
        <v>1615</v>
      </c>
      <c r="Y1073" s="140">
        <v>1</v>
      </c>
      <c r="Z1073" s="141"/>
    </row>
    <row r="1074" spans="24:26" x14ac:dyDescent="0.25">
      <c r="X1074" s="137" t="s">
        <v>1616</v>
      </c>
      <c r="Y1074" s="140">
        <v>1</v>
      </c>
      <c r="Z1074" s="141"/>
    </row>
    <row r="1075" spans="24:26" x14ac:dyDescent="0.25">
      <c r="X1075" s="137" t="s">
        <v>1617</v>
      </c>
      <c r="Y1075" s="140">
        <v>1</v>
      </c>
      <c r="Z1075" s="141"/>
    </row>
    <row r="1076" spans="24:26" x14ac:dyDescent="0.25">
      <c r="X1076" s="137" t="s">
        <v>1618</v>
      </c>
      <c r="Y1076" s="140">
        <v>1</v>
      </c>
      <c r="Z1076" s="141"/>
    </row>
    <row r="1077" spans="24:26" x14ac:dyDescent="0.25">
      <c r="X1077" s="137" t="s">
        <v>1619</v>
      </c>
      <c r="Y1077" s="140">
        <v>1</v>
      </c>
      <c r="Z1077" s="141"/>
    </row>
    <row r="1078" spans="24:26" x14ac:dyDescent="0.25">
      <c r="X1078" s="137" t="s">
        <v>1620</v>
      </c>
      <c r="Y1078" s="140">
        <v>1</v>
      </c>
      <c r="Z1078" s="141"/>
    </row>
    <row r="1079" spans="24:26" x14ac:dyDescent="0.25">
      <c r="X1079" s="137" t="s">
        <v>1621</v>
      </c>
      <c r="Y1079" s="140">
        <v>1</v>
      </c>
      <c r="Z1079" s="141"/>
    </row>
    <row r="1080" spans="24:26" x14ac:dyDescent="0.25">
      <c r="X1080" s="137" t="s">
        <v>1622</v>
      </c>
      <c r="Y1080" s="140">
        <v>1</v>
      </c>
      <c r="Z1080" s="141"/>
    </row>
    <row r="1081" spans="24:26" x14ac:dyDescent="0.25">
      <c r="X1081" s="137" t="s">
        <v>1623</v>
      </c>
      <c r="Y1081" s="140">
        <v>1</v>
      </c>
      <c r="Z1081" s="141"/>
    </row>
    <row r="1082" spans="24:26" x14ac:dyDescent="0.25">
      <c r="X1082" s="137" t="s">
        <v>1624</v>
      </c>
      <c r="Y1082" s="140">
        <v>1</v>
      </c>
      <c r="Z1082" s="141"/>
    </row>
    <row r="1083" spans="24:26" x14ac:dyDescent="0.25">
      <c r="X1083" s="137" t="s">
        <v>1625</v>
      </c>
      <c r="Y1083" s="140">
        <v>1</v>
      </c>
      <c r="Z1083" s="141"/>
    </row>
    <row r="1084" spans="24:26" x14ac:dyDescent="0.25">
      <c r="X1084" s="137" t="s">
        <v>1626</v>
      </c>
      <c r="Y1084" s="140">
        <v>1</v>
      </c>
      <c r="Z1084" s="141"/>
    </row>
    <row r="1085" spans="24:26" x14ac:dyDescent="0.25">
      <c r="X1085" s="137" t="s">
        <v>1627</v>
      </c>
      <c r="Y1085" s="140">
        <v>1</v>
      </c>
      <c r="Z1085" s="141"/>
    </row>
    <row r="1086" spans="24:26" x14ac:dyDescent="0.25">
      <c r="X1086" s="137" t="s">
        <v>1628</v>
      </c>
      <c r="Y1086" s="140">
        <v>1</v>
      </c>
      <c r="Z1086" s="141"/>
    </row>
    <row r="1087" spans="24:26" x14ac:dyDescent="0.25">
      <c r="X1087" s="137" t="s">
        <v>1629</v>
      </c>
      <c r="Y1087" s="140">
        <v>1</v>
      </c>
      <c r="Z1087" s="141"/>
    </row>
    <row r="1088" spans="24:26" x14ac:dyDescent="0.25">
      <c r="X1088" s="137" t="s">
        <v>1630</v>
      </c>
      <c r="Y1088" s="140">
        <v>1</v>
      </c>
      <c r="Z1088" s="141"/>
    </row>
    <row r="1089" spans="24:26" x14ac:dyDescent="0.25">
      <c r="X1089" s="137" t="s">
        <v>1631</v>
      </c>
      <c r="Y1089" s="140">
        <v>1</v>
      </c>
      <c r="Z1089" s="141"/>
    </row>
    <row r="1090" spans="24:26" x14ac:dyDescent="0.25">
      <c r="X1090" s="137" t="s">
        <v>1632</v>
      </c>
      <c r="Y1090" s="140">
        <v>1</v>
      </c>
      <c r="Z1090" s="141"/>
    </row>
    <row r="1091" spans="24:26" x14ac:dyDescent="0.25">
      <c r="X1091" s="137" t="s">
        <v>1633</v>
      </c>
      <c r="Y1091" s="140">
        <v>1</v>
      </c>
      <c r="Z1091" s="141"/>
    </row>
    <row r="1092" spans="24:26" x14ac:dyDescent="0.25">
      <c r="X1092" s="137" t="s">
        <v>1634</v>
      </c>
      <c r="Y1092" s="140">
        <v>1</v>
      </c>
      <c r="Z1092" s="141"/>
    </row>
    <row r="1093" spans="24:26" x14ac:dyDescent="0.25">
      <c r="X1093" s="137" t="s">
        <v>1635</v>
      </c>
      <c r="Y1093" s="140">
        <v>1</v>
      </c>
      <c r="Z1093" s="141"/>
    </row>
    <row r="1094" spans="24:26" x14ac:dyDescent="0.25">
      <c r="X1094" s="137" t="s">
        <v>1636</v>
      </c>
      <c r="Y1094" s="140">
        <v>1</v>
      </c>
      <c r="Z1094" s="141"/>
    </row>
    <row r="1095" spans="24:26" x14ac:dyDescent="0.25">
      <c r="X1095" s="137" t="s">
        <v>1637</v>
      </c>
      <c r="Y1095" s="140">
        <v>1</v>
      </c>
      <c r="Z1095" s="141"/>
    </row>
    <row r="1096" spans="24:26" x14ac:dyDescent="0.25">
      <c r="X1096" s="137" t="s">
        <v>1638</v>
      </c>
      <c r="Y1096" s="140">
        <v>1</v>
      </c>
      <c r="Z1096" s="141"/>
    </row>
    <row r="1097" spans="24:26" x14ac:dyDescent="0.25">
      <c r="X1097" s="137" t="s">
        <v>1639</v>
      </c>
      <c r="Y1097" s="140">
        <v>1</v>
      </c>
      <c r="Z1097" s="141"/>
    </row>
    <row r="1098" spans="24:26" x14ac:dyDescent="0.25">
      <c r="X1098" s="137" t="s">
        <v>1640</v>
      </c>
      <c r="Y1098" s="140">
        <v>1</v>
      </c>
      <c r="Z1098" s="141"/>
    </row>
    <row r="1099" spans="24:26" x14ac:dyDescent="0.25">
      <c r="X1099" s="137" t="s">
        <v>1641</v>
      </c>
      <c r="Y1099" s="140">
        <v>1</v>
      </c>
      <c r="Z1099" s="141"/>
    </row>
    <row r="1100" spans="24:26" x14ac:dyDescent="0.25">
      <c r="X1100" s="137" t="s">
        <v>1642</v>
      </c>
      <c r="Y1100" s="140">
        <v>1</v>
      </c>
      <c r="Z1100" s="141"/>
    </row>
    <row r="1101" spans="24:26" x14ac:dyDescent="0.25">
      <c r="X1101" s="137" t="s">
        <v>1643</v>
      </c>
      <c r="Y1101" s="140">
        <v>1</v>
      </c>
      <c r="Z1101" s="141"/>
    </row>
    <row r="1102" spans="24:26" x14ac:dyDescent="0.25">
      <c r="X1102" s="137" t="s">
        <v>1644</v>
      </c>
      <c r="Y1102" s="140">
        <v>1</v>
      </c>
      <c r="Z1102" s="141"/>
    </row>
    <row r="1103" spans="24:26" x14ac:dyDescent="0.25">
      <c r="X1103" s="137" t="s">
        <v>1645</v>
      </c>
      <c r="Y1103" s="140">
        <v>1</v>
      </c>
      <c r="Z1103" s="141"/>
    </row>
    <row r="1104" spans="24:26" x14ac:dyDescent="0.25">
      <c r="X1104" s="137" t="s">
        <v>1657</v>
      </c>
      <c r="Y1104" s="140">
        <v>1</v>
      </c>
      <c r="Z1104" s="141"/>
    </row>
    <row r="1105" spans="24:26" x14ac:dyDescent="0.25">
      <c r="X1105" s="137" t="s">
        <v>1658</v>
      </c>
      <c r="Y1105" s="140">
        <v>1</v>
      </c>
      <c r="Z1105" s="141"/>
    </row>
    <row r="1106" spans="24:26" x14ac:dyDescent="0.25">
      <c r="X1106" s="137" t="s">
        <v>1659</v>
      </c>
      <c r="Y1106" s="140">
        <v>1</v>
      </c>
      <c r="Z1106" s="141"/>
    </row>
    <row r="1107" spans="24:26" x14ac:dyDescent="0.25">
      <c r="X1107" s="137" t="s">
        <v>1660</v>
      </c>
      <c r="Y1107" s="140">
        <v>1</v>
      </c>
      <c r="Z1107" s="141"/>
    </row>
    <row r="1108" spans="24:26" x14ac:dyDescent="0.25">
      <c r="X1108" s="137" t="s">
        <v>1661</v>
      </c>
      <c r="Y1108" s="140">
        <v>1</v>
      </c>
      <c r="Z1108" s="141"/>
    </row>
    <row r="1109" spans="24:26" x14ac:dyDescent="0.25">
      <c r="X1109" s="137" t="s">
        <v>1662</v>
      </c>
      <c r="Y1109" s="140">
        <v>1</v>
      </c>
      <c r="Z1109" s="141"/>
    </row>
    <row r="1110" spans="24:26" x14ac:dyDescent="0.25">
      <c r="X1110" s="137" t="s">
        <v>1663</v>
      </c>
      <c r="Y1110" s="140">
        <v>1</v>
      </c>
      <c r="Z1110" s="141"/>
    </row>
    <row r="1111" spans="24:26" x14ac:dyDescent="0.25">
      <c r="X1111" s="137" t="s">
        <v>1664</v>
      </c>
      <c r="Y1111" s="140">
        <v>1</v>
      </c>
      <c r="Z1111" s="141"/>
    </row>
    <row r="1112" spans="24:26" x14ac:dyDescent="0.25">
      <c r="X1112" s="137" t="s">
        <v>1665</v>
      </c>
      <c r="Y1112" s="140">
        <v>1</v>
      </c>
      <c r="Z1112" s="141"/>
    </row>
    <row r="1113" spans="24:26" x14ac:dyDescent="0.25">
      <c r="X1113" s="137" t="s">
        <v>1666</v>
      </c>
      <c r="Y1113" s="140">
        <v>1</v>
      </c>
      <c r="Z1113" s="141"/>
    </row>
    <row r="1114" spans="24:26" x14ac:dyDescent="0.25">
      <c r="X1114" s="137" t="s">
        <v>1667</v>
      </c>
      <c r="Y1114" s="140">
        <v>1</v>
      </c>
      <c r="Z1114" s="141"/>
    </row>
    <row r="1115" spans="24:26" x14ac:dyDescent="0.25">
      <c r="X1115" s="137" t="s">
        <v>1668</v>
      </c>
      <c r="Y1115" s="140">
        <v>1</v>
      </c>
      <c r="Z1115" s="141"/>
    </row>
    <row r="1116" spans="24:26" x14ac:dyDescent="0.25">
      <c r="X1116" s="137" t="s">
        <v>1669</v>
      </c>
      <c r="Y1116" s="140">
        <v>1</v>
      </c>
      <c r="Z1116" s="141"/>
    </row>
    <row r="1117" spans="24:26" x14ac:dyDescent="0.25">
      <c r="X1117" s="137" t="s">
        <v>1670</v>
      </c>
      <c r="Y1117" s="140">
        <v>1</v>
      </c>
      <c r="Z1117" s="141"/>
    </row>
    <row r="1118" spans="24:26" x14ac:dyDescent="0.25">
      <c r="X1118" s="137" t="s">
        <v>1671</v>
      </c>
      <c r="Y1118" s="140">
        <v>1</v>
      </c>
      <c r="Z1118" s="141"/>
    </row>
    <row r="1119" spans="24:26" x14ac:dyDescent="0.25">
      <c r="X1119" s="137" t="s">
        <v>1672</v>
      </c>
      <c r="Y1119" s="140">
        <v>1</v>
      </c>
      <c r="Z1119" s="141"/>
    </row>
    <row r="1120" spans="24:26" x14ac:dyDescent="0.25">
      <c r="X1120" s="137" t="s">
        <v>1673</v>
      </c>
      <c r="Y1120" s="140">
        <v>1</v>
      </c>
      <c r="Z1120" s="141"/>
    </row>
    <row r="1121" spans="24:26" x14ac:dyDescent="0.25">
      <c r="X1121" s="137" t="s">
        <v>1674</v>
      </c>
      <c r="Y1121" s="140">
        <v>1</v>
      </c>
      <c r="Z1121" s="141"/>
    </row>
    <row r="1122" spans="24:26" x14ac:dyDescent="0.25">
      <c r="X1122" s="137" t="s">
        <v>1675</v>
      </c>
      <c r="Y1122" s="140">
        <v>1</v>
      </c>
      <c r="Z1122" s="141"/>
    </row>
    <row r="1123" spans="24:26" x14ac:dyDescent="0.25">
      <c r="X1123" s="137" t="s">
        <v>1676</v>
      </c>
      <c r="Y1123" s="140">
        <v>1</v>
      </c>
      <c r="Z1123" s="141"/>
    </row>
    <row r="1124" spans="24:26" x14ac:dyDescent="0.25">
      <c r="X1124" s="137" t="s">
        <v>1677</v>
      </c>
      <c r="Y1124" s="140">
        <v>1</v>
      </c>
      <c r="Z1124" s="141"/>
    </row>
    <row r="1125" spans="24:26" x14ac:dyDescent="0.25">
      <c r="X1125" s="137" t="s">
        <v>1678</v>
      </c>
      <c r="Y1125" s="140">
        <v>1</v>
      </c>
      <c r="Z1125" s="141"/>
    </row>
    <row r="1126" spans="24:26" x14ac:dyDescent="0.25">
      <c r="X1126" s="137" t="s">
        <v>1679</v>
      </c>
      <c r="Y1126" s="140">
        <v>1</v>
      </c>
      <c r="Z1126" s="141"/>
    </row>
    <row r="1127" spans="24:26" x14ac:dyDescent="0.25">
      <c r="X1127" s="137" t="s">
        <v>1680</v>
      </c>
      <c r="Y1127" s="140">
        <v>1</v>
      </c>
      <c r="Z1127" s="141"/>
    </row>
    <row r="1128" spans="24:26" x14ac:dyDescent="0.25">
      <c r="X1128" s="137" t="s">
        <v>1681</v>
      </c>
      <c r="Y1128" s="140">
        <v>1</v>
      </c>
      <c r="Z1128" s="141"/>
    </row>
    <row r="1129" spans="24:26" x14ac:dyDescent="0.25">
      <c r="X1129" s="137" t="s">
        <v>1682</v>
      </c>
      <c r="Y1129" s="140">
        <v>1</v>
      </c>
      <c r="Z1129" s="141"/>
    </row>
    <row r="1130" spans="24:26" x14ac:dyDescent="0.25">
      <c r="X1130" s="137" t="s">
        <v>1683</v>
      </c>
      <c r="Y1130" s="140">
        <v>1</v>
      </c>
      <c r="Z1130" s="141"/>
    </row>
    <row r="1131" spans="24:26" x14ac:dyDescent="0.25">
      <c r="X1131" s="137" t="s">
        <v>1684</v>
      </c>
      <c r="Y1131" s="140">
        <v>1</v>
      </c>
      <c r="Z1131" s="141"/>
    </row>
    <row r="1132" spans="24:26" x14ac:dyDescent="0.25">
      <c r="X1132" s="137" t="s">
        <v>1685</v>
      </c>
      <c r="Y1132" s="140">
        <v>1</v>
      </c>
      <c r="Z1132" s="141"/>
    </row>
    <row r="1133" spans="24:26" x14ac:dyDescent="0.25">
      <c r="X1133" s="137" t="s">
        <v>1686</v>
      </c>
      <c r="Y1133" s="140">
        <v>1</v>
      </c>
      <c r="Z1133" s="141"/>
    </row>
    <row r="1134" spans="24:26" x14ac:dyDescent="0.25">
      <c r="X1134" s="137" t="s">
        <v>1687</v>
      </c>
      <c r="Y1134" s="140">
        <v>1</v>
      </c>
      <c r="Z1134" s="141"/>
    </row>
    <row r="1135" spans="24:26" x14ac:dyDescent="0.25">
      <c r="X1135" s="137" t="s">
        <v>1688</v>
      </c>
      <c r="Y1135" s="140">
        <v>1</v>
      </c>
      <c r="Z1135" s="141"/>
    </row>
    <row r="1136" spans="24:26" x14ac:dyDescent="0.25">
      <c r="X1136" s="137" t="s">
        <v>1689</v>
      </c>
      <c r="Y1136" s="140">
        <v>1</v>
      </c>
      <c r="Z1136" s="141"/>
    </row>
    <row r="1137" spans="24:26" x14ac:dyDescent="0.25">
      <c r="X1137" s="137" t="s">
        <v>1690</v>
      </c>
      <c r="Y1137" s="140">
        <v>1</v>
      </c>
      <c r="Z1137" s="141"/>
    </row>
    <row r="1138" spans="24:26" x14ac:dyDescent="0.25">
      <c r="X1138" s="137" t="s">
        <v>1691</v>
      </c>
      <c r="Y1138" s="140">
        <v>1</v>
      </c>
      <c r="Z1138" s="141"/>
    </row>
    <row r="1139" spans="24:26" x14ac:dyDescent="0.25">
      <c r="X1139" s="137" t="s">
        <v>1692</v>
      </c>
      <c r="Y1139" s="140">
        <v>1</v>
      </c>
      <c r="Z1139" s="141"/>
    </row>
    <row r="1140" spans="24:26" x14ac:dyDescent="0.25">
      <c r="X1140" s="137" t="s">
        <v>1693</v>
      </c>
      <c r="Y1140" s="140">
        <v>1</v>
      </c>
      <c r="Z1140" s="141"/>
    </row>
    <row r="1141" spans="24:26" x14ac:dyDescent="0.25">
      <c r="X1141" s="137" t="s">
        <v>1694</v>
      </c>
      <c r="Y1141" s="140">
        <v>1</v>
      </c>
      <c r="Z1141" s="141"/>
    </row>
    <row r="1142" spans="24:26" x14ac:dyDescent="0.25">
      <c r="X1142" s="137" t="s">
        <v>1695</v>
      </c>
      <c r="Y1142" s="140">
        <v>1</v>
      </c>
      <c r="Z1142" s="141"/>
    </row>
    <row r="1143" spans="24:26" x14ac:dyDescent="0.25">
      <c r="X1143" s="137" t="s">
        <v>1696</v>
      </c>
      <c r="Y1143" s="140">
        <v>1</v>
      </c>
      <c r="Z1143" s="141"/>
    </row>
    <row r="1144" spans="24:26" x14ac:dyDescent="0.25">
      <c r="X1144" s="137" t="s">
        <v>1697</v>
      </c>
      <c r="Y1144" s="140">
        <v>1</v>
      </c>
      <c r="Z1144" s="141"/>
    </row>
    <row r="1145" spans="24:26" x14ac:dyDescent="0.25">
      <c r="X1145" s="137" t="s">
        <v>1698</v>
      </c>
      <c r="Y1145" s="140">
        <v>1</v>
      </c>
      <c r="Z1145" s="141"/>
    </row>
    <row r="1146" spans="24:26" x14ac:dyDescent="0.25">
      <c r="X1146" s="137" t="s">
        <v>1699</v>
      </c>
      <c r="Y1146" s="140">
        <v>1</v>
      </c>
      <c r="Z1146" s="141"/>
    </row>
    <row r="1147" spans="24:26" x14ac:dyDescent="0.25">
      <c r="X1147" s="137" t="s">
        <v>1700</v>
      </c>
      <c r="Y1147" s="140">
        <v>1</v>
      </c>
      <c r="Z1147" s="141"/>
    </row>
    <row r="1148" spans="24:26" x14ac:dyDescent="0.25">
      <c r="X1148" s="137" t="s">
        <v>1701</v>
      </c>
      <c r="Y1148" s="140">
        <v>1</v>
      </c>
      <c r="Z1148" s="141"/>
    </row>
    <row r="1149" spans="24:26" x14ac:dyDescent="0.25">
      <c r="X1149" s="137" t="s">
        <v>1702</v>
      </c>
      <c r="Y1149" s="140">
        <v>1</v>
      </c>
      <c r="Z1149" s="141"/>
    </row>
    <row r="1150" spans="24:26" x14ac:dyDescent="0.25">
      <c r="X1150" s="137" t="s">
        <v>1703</v>
      </c>
      <c r="Y1150" s="140">
        <v>1</v>
      </c>
      <c r="Z1150" s="141"/>
    </row>
    <row r="1151" spans="24:26" x14ac:dyDescent="0.25">
      <c r="X1151" s="137" t="s">
        <v>1704</v>
      </c>
      <c r="Y1151" s="140">
        <v>1</v>
      </c>
      <c r="Z1151" s="141"/>
    </row>
    <row r="1152" spans="24:26" x14ac:dyDescent="0.25">
      <c r="X1152" s="137" t="s">
        <v>1705</v>
      </c>
      <c r="Y1152" s="140">
        <v>1</v>
      </c>
      <c r="Z1152" s="141"/>
    </row>
    <row r="1153" spans="24:26" x14ac:dyDescent="0.25">
      <c r="X1153" s="137" t="s">
        <v>1706</v>
      </c>
      <c r="Y1153" s="140">
        <v>1</v>
      </c>
      <c r="Z1153" s="141"/>
    </row>
    <row r="1154" spans="24:26" x14ac:dyDescent="0.25">
      <c r="X1154" s="137" t="s">
        <v>1707</v>
      </c>
      <c r="Y1154" s="140">
        <v>1</v>
      </c>
      <c r="Z1154" s="141"/>
    </row>
    <row r="1155" spans="24:26" x14ac:dyDescent="0.25">
      <c r="X1155" s="137" t="s">
        <v>1708</v>
      </c>
      <c r="Y1155" s="140">
        <v>1</v>
      </c>
      <c r="Z1155" s="141"/>
    </row>
    <row r="1156" spans="24:26" x14ac:dyDescent="0.25">
      <c r="X1156" s="137" t="s">
        <v>1709</v>
      </c>
      <c r="Y1156" s="140">
        <v>1</v>
      </c>
      <c r="Z1156" s="141"/>
    </row>
    <row r="1157" spans="24:26" x14ac:dyDescent="0.25">
      <c r="X1157" s="137" t="s">
        <v>1710</v>
      </c>
      <c r="Y1157" s="140">
        <v>1</v>
      </c>
      <c r="Z1157" s="141"/>
    </row>
    <row r="1158" spans="24:26" x14ac:dyDescent="0.25">
      <c r="X1158" s="137" t="s">
        <v>1711</v>
      </c>
      <c r="Y1158" s="140">
        <v>1</v>
      </c>
      <c r="Z1158" s="141"/>
    </row>
    <row r="1159" spans="24:26" x14ac:dyDescent="0.25">
      <c r="X1159" s="137" t="s">
        <v>1712</v>
      </c>
      <c r="Y1159" s="140">
        <v>1</v>
      </c>
      <c r="Z1159" s="141"/>
    </row>
    <row r="1160" spans="24:26" x14ac:dyDescent="0.25">
      <c r="X1160" s="137" t="s">
        <v>1713</v>
      </c>
      <c r="Y1160" s="140">
        <v>1</v>
      </c>
      <c r="Z1160" s="141"/>
    </row>
    <row r="1161" spans="24:26" x14ac:dyDescent="0.25">
      <c r="X1161" s="137" t="s">
        <v>1714</v>
      </c>
      <c r="Y1161" s="140">
        <v>1</v>
      </c>
      <c r="Z1161" s="141"/>
    </row>
    <row r="1162" spans="24:26" x14ac:dyDescent="0.25">
      <c r="X1162" s="137" t="s">
        <v>1715</v>
      </c>
      <c r="Y1162" s="140">
        <v>1</v>
      </c>
      <c r="Z1162" s="141"/>
    </row>
    <row r="1163" spans="24:26" x14ac:dyDescent="0.25">
      <c r="X1163" s="137" t="s">
        <v>1716</v>
      </c>
      <c r="Y1163" s="140">
        <v>1</v>
      </c>
      <c r="Z1163" s="141"/>
    </row>
    <row r="1164" spans="24:26" x14ac:dyDescent="0.25">
      <c r="X1164" s="137" t="s">
        <v>1717</v>
      </c>
      <c r="Y1164" s="140">
        <v>1</v>
      </c>
      <c r="Z1164" s="141"/>
    </row>
    <row r="1165" spans="24:26" x14ac:dyDescent="0.25">
      <c r="X1165" s="137" t="s">
        <v>1718</v>
      </c>
      <c r="Y1165" s="140">
        <v>1</v>
      </c>
      <c r="Z1165" s="141"/>
    </row>
    <row r="1166" spans="24:26" x14ac:dyDescent="0.25">
      <c r="X1166" s="137" t="s">
        <v>1719</v>
      </c>
      <c r="Y1166" s="140">
        <v>1</v>
      </c>
      <c r="Z1166" s="141"/>
    </row>
    <row r="1167" spans="24:26" x14ac:dyDescent="0.25">
      <c r="X1167" s="137" t="s">
        <v>1720</v>
      </c>
      <c r="Y1167" s="140">
        <v>1</v>
      </c>
      <c r="Z1167" s="141"/>
    </row>
    <row r="1168" spans="24:26" x14ac:dyDescent="0.25">
      <c r="X1168" s="137" t="s">
        <v>1721</v>
      </c>
      <c r="Y1168" s="140">
        <v>1</v>
      </c>
      <c r="Z1168" s="141"/>
    </row>
    <row r="1169" spans="24:26" x14ac:dyDescent="0.25">
      <c r="X1169" s="137" t="s">
        <v>1722</v>
      </c>
      <c r="Y1169" s="140">
        <v>1</v>
      </c>
      <c r="Z1169" s="141"/>
    </row>
    <row r="1170" spans="24:26" x14ac:dyDescent="0.25">
      <c r="X1170" s="137" t="s">
        <v>1723</v>
      </c>
      <c r="Y1170" s="140">
        <v>1</v>
      </c>
      <c r="Z1170" s="141"/>
    </row>
    <row r="1171" spans="24:26" x14ac:dyDescent="0.25">
      <c r="X1171" s="137" t="s">
        <v>1724</v>
      </c>
      <c r="Y1171" s="140">
        <v>1</v>
      </c>
      <c r="Z1171" s="141"/>
    </row>
    <row r="1172" spans="24:26" x14ac:dyDescent="0.25">
      <c r="X1172" s="137" t="s">
        <v>1725</v>
      </c>
      <c r="Y1172" s="140">
        <v>1</v>
      </c>
      <c r="Z1172" s="141"/>
    </row>
    <row r="1173" spans="24:26" x14ac:dyDescent="0.25">
      <c r="X1173" s="137" t="s">
        <v>1726</v>
      </c>
      <c r="Y1173" s="140">
        <v>1</v>
      </c>
      <c r="Z1173" s="141"/>
    </row>
    <row r="1174" spans="24:26" x14ac:dyDescent="0.25">
      <c r="X1174" s="137" t="s">
        <v>1727</v>
      </c>
      <c r="Y1174" s="140">
        <v>1</v>
      </c>
      <c r="Z1174" s="141"/>
    </row>
    <row r="1175" spans="24:26" x14ac:dyDescent="0.25">
      <c r="X1175" s="137" t="s">
        <v>1728</v>
      </c>
      <c r="Y1175" s="140">
        <v>1</v>
      </c>
      <c r="Z1175" s="141"/>
    </row>
    <row r="1176" spans="24:26" x14ac:dyDescent="0.25">
      <c r="X1176" s="137" t="s">
        <v>1729</v>
      </c>
      <c r="Y1176" s="140">
        <v>1</v>
      </c>
      <c r="Z1176" s="141"/>
    </row>
    <row r="1177" spans="24:26" x14ac:dyDescent="0.25">
      <c r="X1177" s="137" t="s">
        <v>1730</v>
      </c>
      <c r="Y1177" s="140">
        <v>1</v>
      </c>
      <c r="Z1177" s="141"/>
    </row>
    <row r="1178" spans="24:26" x14ac:dyDescent="0.25">
      <c r="X1178" s="137" t="s">
        <v>1731</v>
      </c>
      <c r="Y1178" s="140">
        <v>1</v>
      </c>
      <c r="Z1178" s="141"/>
    </row>
    <row r="1179" spans="24:26" x14ac:dyDescent="0.25">
      <c r="X1179" s="137" t="s">
        <v>1732</v>
      </c>
      <c r="Y1179" s="140">
        <v>1</v>
      </c>
      <c r="Z1179" s="141"/>
    </row>
    <row r="1180" spans="24:26" x14ac:dyDescent="0.25">
      <c r="X1180" s="137" t="s">
        <v>1733</v>
      </c>
      <c r="Y1180" s="140">
        <v>1</v>
      </c>
      <c r="Z1180" s="141"/>
    </row>
    <row r="1181" spans="24:26" x14ac:dyDescent="0.25">
      <c r="X1181" s="137" t="s">
        <v>1734</v>
      </c>
      <c r="Y1181" s="140">
        <v>1</v>
      </c>
      <c r="Z1181" s="141"/>
    </row>
    <row r="1182" spans="24:26" x14ac:dyDescent="0.25">
      <c r="X1182" s="137" t="s">
        <v>1735</v>
      </c>
      <c r="Y1182" s="140">
        <v>1</v>
      </c>
      <c r="Z1182" s="141"/>
    </row>
    <row r="1183" spans="24:26" x14ac:dyDescent="0.25">
      <c r="X1183" s="137" t="s">
        <v>1736</v>
      </c>
      <c r="Y1183" s="140">
        <v>1</v>
      </c>
      <c r="Z1183" s="141"/>
    </row>
    <row r="1184" spans="24:26" x14ac:dyDescent="0.25">
      <c r="X1184" s="137" t="s">
        <v>1737</v>
      </c>
      <c r="Y1184" s="140">
        <v>1</v>
      </c>
      <c r="Z1184" s="141"/>
    </row>
    <row r="1185" spans="24:26" x14ac:dyDescent="0.25">
      <c r="X1185" s="137" t="s">
        <v>1738</v>
      </c>
      <c r="Y1185" s="140">
        <v>1</v>
      </c>
      <c r="Z1185" s="141"/>
    </row>
    <row r="1186" spans="24:26" x14ac:dyDescent="0.25">
      <c r="X1186" s="137" t="s">
        <v>1739</v>
      </c>
      <c r="Y1186" s="140">
        <v>1</v>
      </c>
      <c r="Z1186" s="141"/>
    </row>
    <row r="1187" spans="24:26" x14ac:dyDescent="0.25">
      <c r="X1187" s="137" t="s">
        <v>1740</v>
      </c>
      <c r="Y1187" s="140">
        <v>1</v>
      </c>
      <c r="Z1187" s="141"/>
    </row>
    <row r="1188" spans="24:26" x14ac:dyDescent="0.25">
      <c r="X1188" s="137" t="s">
        <v>1741</v>
      </c>
      <c r="Y1188" s="140">
        <v>1</v>
      </c>
      <c r="Z1188" s="141"/>
    </row>
    <row r="1189" spans="24:26" x14ac:dyDescent="0.25">
      <c r="X1189" s="137" t="s">
        <v>1742</v>
      </c>
      <c r="Y1189" s="140">
        <v>1</v>
      </c>
      <c r="Z1189" s="141"/>
    </row>
    <row r="1190" spans="24:26" x14ac:dyDescent="0.25">
      <c r="X1190" s="137" t="s">
        <v>1743</v>
      </c>
      <c r="Y1190" s="140">
        <v>1</v>
      </c>
      <c r="Z1190" s="141"/>
    </row>
    <row r="1191" spans="24:26" x14ac:dyDescent="0.25">
      <c r="X1191" s="137" t="s">
        <v>1744</v>
      </c>
      <c r="Y1191" s="140">
        <v>1</v>
      </c>
      <c r="Z1191" s="141"/>
    </row>
    <row r="1192" spans="24:26" x14ac:dyDescent="0.25">
      <c r="X1192" s="137" t="s">
        <v>1745</v>
      </c>
      <c r="Y1192" s="140">
        <v>1</v>
      </c>
      <c r="Z1192" s="141"/>
    </row>
    <row r="1193" spans="24:26" x14ac:dyDescent="0.25">
      <c r="X1193" s="137" t="s">
        <v>1746</v>
      </c>
      <c r="Y1193" s="140">
        <v>1</v>
      </c>
      <c r="Z1193" s="141"/>
    </row>
    <row r="1194" spans="24:26" x14ac:dyDescent="0.25">
      <c r="X1194" s="137" t="s">
        <v>1747</v>
      </c>
      <c r="Y1194" s="140">
        <v>1</v>
      </c>
      <c r="Z1194" s="141"/>
    </row>
    <row r="1195" spans="24:26" x14ac:dyDescent="0.25">
      <c r="X1195" s="137" t="s">
        <v>1748</v>
      </c>
      <c r="Y1195" s="140">
        <v>1</v>
      </c>
      <c r="Z1195" s="141"/>
    </row>
    <row r="1196" spans="24:26" x14ac:dyDescent="0.25">
      <c r="X1196" s="137" t="s">
        <v>1749</v>
      </c>
      <c r="Y1196" s="140">
        <v>1</v>
      </c>
      <c r="Z1196" s="141"/>
    </row>
    <row r="1197" spans="24:26" x14ac:dyDescent="0.25">
      <c r="X1197" s="137" t="s">
        <v>1750</v>
      </c>
      <c r="Y1197" s="140">
        <v>1</v>
      </c>
      <c r="Z1197" s="141"/>
    </row>
    <row r="1198" spans="24:26" x14ac:dyDescent="0.25">
      <c r="X1198" s="137" t="s">
        <v>1751</v>
      </c>
      <c r="Y1198" s="140">
        <v>1</v>
      </c>
      <c r="Z1198" s="141"/>
    </row>
    <row r="1199" spans="24:26" x14ac:dyDescent="0.25">
      <c r="X1199" s="137" t="s">
        <v>1752</v>
      </c>
      <c r="Y1199" s="140">
        <v>1</v>
      </c>
      <c r="Z1199" s="141"/>
    </row>
    <row r="1200" spans="24:26" x14ac:dyDescent="0.25">
      <c r="X1200" s="137" t="s">
        <v>1753</v>
      </c>
      <c r="Y1200" s="140">
        <v>1</v>
      </c>
      <c r="Z1200" s="141"/>
    </row>
    <row r="1201" spans="24:26" x14ac:dyDescent="0.25">
      <c r="X1201" s="137" t="s">
        <v>1754</v>
      </c>
      <c r="Y1201" s="140">
        <v>1</v>
      </c>
      <c r="Z1201" s="141"/>
    </row>
    <row r="1202" spans="24:26" x14ac:dyDescent="0.25">
      <c r="X1202" s="137" t="s">
        <v>1755</v>
      </c>
      <c r="Y1202" s="140">
        <v>1</v>
      </c>
      <c r="Z1202" s="141"/>
    </row>
    <row r="1203" spans="24:26" x14ac:dyDescent="0.25">
      <c r="X1203" s="137" t="s">
        <v>1756</v>
      </c>
      <c r="Y1203" s="140">
        <v>1</v>
      </c>
      <c r="Z1203" s="141"/>
    </row>
    <row r="1204" spans="24:26" x14ac:dyDescent="0.25">
      <c r="X1204" s="137" t="s">
        <v>1757</v>
      </c>
      <c r="Y1204" s="140">
        <v>1</v>
      </c>
      <c r="Z1204" s="141"/>
    </row>
    <row r="1205" spans="24:26" x14ac:dyDescent="0.25">
      <c r="X1205" s="137" t="s">
        <v>1758</v>
      </c>
      <c r="Y1205" s="140">
        <v>1</v>
      </c>
      <c r="Z1205" s="141"/>
    </row>
    <row r="1206" spans="24:26" x14ac:dyDescent="0.25">
      <c r="X1206" s="137" t="s">
        <v>1759</v>
      </c>
      <c r="Y1206" s="140">
        <v>1</v>
      </c>
      <c r="Z1206" s="141"/>
    </row>
    <row r="1207" spans="24:26" x14ac:dyDescent="0.25">
      <c r="X1207" s="137" t="s">
        <v>1760</v>
      </c>
      <c r="Y1207" s="140">
        <v>1</v>
      </c>
      <c r="Z1207" s="141"/>
    </row>
    <row r="1208" spans="24:26" x14ac:dyDescent="0.25">
      <c r="X1208" s="137" t="s">
        <v>1761</v>
      </c>
      <c r="Y1208" s="140">
        <v>1</v>
      </c>
      <c r="Z1208" s="141"/>
    </row>
    <row r="1209" spans="24:26" x14ac:dyDescent="0.25">
      <c r="X1209" s="137" t="s">
        <v>1762</v>
      </c>
      <c r="Y1209" s="140">
        <v>1</v>
      </c>
      <c r="Z1209" s="141"/>
    </row>
    <row r="1210" spans="24:26" x14ac:dyDescent="0.25">
      <c r="X1210" s="137" t="s">
        <v>1763</v>
      </c>
      <c r="Y1210" s="140">
        <v>1</v>
      </c>
      <c r="Z1210" s="141"/>
    </row>
    <row r="1211" spans="24:26" x14ac:dyDescent="0.25">
      <c r="X1211" s="137" t="s">
        <v>1764</v>
      </c>
      <c r="Y1211" s="140">
        <v>1</v>
      </c>
      <c r="Z1211" s="141"/>
    </row>
    <row r="1212" spans="24:26" x14ac:dyDescent="0.25">
      <c r="X1212" s="137" t="s">
        <v>1765</v>
      </c>
      <c r="Y1212" s="140">
        <v>1</v>
      </c>
      <c r="Z1212" s="141"/>
    </row>
    <row r="1213" spans="24:26" x14ac:dyDescent="0.25">
      <c r="X1213" s="137" t="s">
        <v>1766</v>
      </c>
      <c r="Y1213" s="140">
        <v>1</v>
      </c>
      <c r="Z1213" s="141"/>
    </row>
    <row r="1214" spans="24:26" x14ac:dyDescent="0.25">
      <c r="X1214" s="137" t="s">
        <v>1767</v>
      </c>
      <c r="Y1214" s="140">
        <v>1</v>
      </c>
      <c r="Z1214" s="141"/>
    </row>
    <row r="1215" spans="24:26" x14ac:dyDescent="0.25">
      <c r="X1215" s="137" t="s">
        <v>1768</v>
      </c>
      <c r="Y1215" s="140">
        <v>1</v>
      </c>
      <c r="Z1215" s="141"/>
    </row>
    <row r="1216" spans="24:26" x14ac:dyDescent="0.25">
      <c r="X1216" s="137" t="s">
        <v>1769</v>
      </c>
      <c r="Y1216" s="140">
        <v>1</v>
      </c>
      <c r="Z1216" s="141"/>
    </row>
    <row r="1217" spans="24:26" x14ac:dyDescent="0.25">
      <c r="X1217" s="137" t="s">
        <v>1770</v>
      </c>
      <c r="Y1217" s="140">
        <v>1</v>
      </c>
      <c r="Z1217" s="141"/>
    </row>
    <row r="1218" spans="24:26" x14ac:dyDescent="0.25">
      <c r="X1218" s="137" t="s">
        <v>1771</v>
      </c>
      <c r="Y1218" s="140">
        <v>1</v>
      </c>
      <c r="Z1218" s="141"/>
    </row>
    <row r="1219" spans="24:26" x14ac:dyDescent="0.25">
      <c r="X1219" s="137" t="s">
        <v>1772</v>
      </c>
      <c r="Y1219" s="140">
        <v>1</v>
      </c>
      <c r="Z1219" s="141"/>
    </row>
    <row r="1220" spans="24:26" x14ac:dyDescent="0.25">
      <c r="X1220" s="137" t="s">
        <v>1773</v>
      </c>
      <c r="Y1220" s="140">
        <v>1</v>
      </c>
      <c r="Z1220" s="141"/>
    </row>
    <row r="1221" spans="24:26" x14ac:dyDescent="0.25">
      <c r="X1221" s="137" t="s">
        <v>1774</v>
      </c>
      <c r="Y1221" s="140">
        <v>1</v>
      </c>
      <c r="Z1221" s="141"/>
    </row>
    <row r="1222" spans="24:26" x14ac:dyDescent="0.25">
      <c r="X1222" s="137" t="s">
        <v>1775</v>
      </c>
      <c r="Y1222" s="140">
        <v>1</v>
      </c>
      <c r="Z1222" s="141"/>
    </row>
    <row r="1223" spans="24:26" x14ac:dyDescent="0.25">
      <c r="X1223" s="137" t="s">
        <v>1776</v>
      </c>
      <c r="Y1223" s="140">
        <v>1</v>
      </c>
      <c r="Z1223" s="141"/>
    </row>
    <row r="1224" spans="24:26" x14ac:dyDescent="0.25">
      <c r="X1224" s="137" t="s">
        <v>1777</v>
      </c>
      <c r="Y1224" s="140">
        <v>1</v>
      </c>
      <c r="Z1224" s="141"/>
    </row>
    <row r="1225" spans="24:26" x14ac:dyDescent="0.25">
      <c r="X1225" s="137" t="s">
        <v>1778</v>
      </c>
      <c r="Y1225" s="140">
        <v>1</v>
      </c>
      <c r="Z1225" s="141"/>
    </row>
    <row r="1226" spans="24:26" x14ac:dyDescent="0.25">
      <c r="X1226" s="136" t="s">
        <v>1829</v>
      </c>
      <c r="Y1226" s="140">
        <v>22</v>
      </c>
      <c r="Z1226" s="141">
        <v>114.17261845288269</v>
      </c>
    </row>
    <row r="1227" spans="24:26" x14ac:dyDescent="0.25">
      <c r="X1227" s="137" t="s">
        <v>1282</v>
      </c>
      <c r="Y1227" s="140">
        <v>1</v>
      </c>
      <c r="Z1227" s="141">
        <v>2.0342193541755105</v>
      </c>
    </row>
    <row r="1228" spans="24:26" x14ac:dyDescent="0.25">
      <c r="X1228" s="137" t="s">
        <v>482</v>
      </c>
      <c r="Y1228" s="140">
        <v>1</v>
      </c>
      <c r="Z1228" s="141">
        <v>6.0455715957385259</v>
      </c>
    </row>
    <row r="1229" spans="24:26" x14ac:dyDescent="0.25">
      <c r="X1229" s="137" t="s">
        <v>481</v>
      </c>
      <c r="Y1229" s="140">
        <v>1</v>
      </c>
      <c r="Z1229" s="141">
        <v>5.127092308324392</v>
      </c>
    </row>
    <row r="1230" spans="24:26" x14ac:dyDescent="0.25">
      <c r="X1230" s="137" t="s">
        <v>480</v>
      </c>
      <c r="Y1230" s="140">
        <v>1</v>
      </c>
      <c r="Z1230" s="141">
        <v>3.302906413554699</v>
      </c>
    </row>
    <row r="1231" spans="24:26" x14ac:dyDescent="0.25">
      <c r="X1231" s="137" t="s">
        <v>420</v>
      </c>
      <c r="Y1231" s="140">
        <v>1</v>
      </c>
      <c r="Z1231" s="141">
        <v>5.5892012237426458</v>
      </c>
    </row>
    <row r="1232" spans="24:26" x14ac:dyDescent="0.25">
      <c r="X1232" s="137" t="s">
        <v>1300</v>
      </c>
      <c r="Y1232" s="140">
        <v>1</v>
      </c>
      <c r="Z1232" s="141">
        <v>5.6996156426450177</v>
      </c>
    </row>
    <row r="1233" spans="24:26" x14ac:dyDescent="0.25">
      <c r="X1233" s="137" t="s">
        <v>1299</v>
      </c>
      <c r="Y1233" s="140">
        <v>1</v>
      </c>
      <c r="Z1233" s="141">
        <v>6.0879454832347353</v>
      </c>
    </row>
    <row r="1234" spans="24:26" x14ac:dyDescent="0.25">
      <c r="X1234" s="137" t="s">
        <v>1292</v>
      </c>
      <c r="Y1234" s="140">
        <v>1</v>
      </c>
      <c r="Z1234" s="141">
        <v>5.2328650766271974</v>
      </c>
    </row>
    <row r="1235" spans="24:26" x14ac:dyDescent="0.25">
      <c r="X1235" s="137" t="s">
        <v>1293</v>
      </c>
      <c r="Y1235" s="140">
        <v>1</v>
      </c>
      <c r="Z1235" s="141">
        <v>5.6996904286319827</v>
      </c>
    </row>
    <row r="1236" spans="24:26" x14ac:dyDescent="0.25">
      <c r="X1236" s="137" t="s">
        <v>1296</v>
      </c>
      <c r="Y1236" s="140">
        <v>1</v>
      </c>
      <c r="Z1236" s="141">
        <v>6.0879505732029484</v>
      </c>
    </row>
    <row r="1237" spans="24:26" x14ac:dyDescent="0.25">
      <c r="X1237" s="137" t="s">
        <v>451</v>
      </c>
      <c r="Y1237" s="140">
        <v>1</v>
      </c>
      <c r="Z1237" s="141">
        <v>5.2327044190359473</v>
      </c>
    </row>
    <row r="1238" spans="24:26" x14ac:dyDescent="0.25">
      <c r="X1238" s="137" t="s">
        <v>473</v>
      </c>
      <c r="Y1238" s="140">
        <v>1</v>
      </c>
      <c r="Z1238" s="141">
        <v>3.2902260333218192</v>
      </c>
    </row>
    <row r="1239" spans="24:26" x14ac:dyDescent="0.25">
      <c r="X1239" s="137" t="s">
        <v>471</v>
      </c>
      <c r="Y1239" s="140">
        <v>1</v>
      </c>
      <c r="Z1239" s="141">
        <v>5.1362477219552467</v>
      </c>
    </row>
    <row r="1240" spans="24:26" x14ac:dyDescent="0.25">
      <c r="X1240" s="137" t="s">
        <v>1286</v>
      </c>
      <c r="Y1240" s="140">
        <v>1</v>
      </c>
      <c r="Z1240" s="141">
        <v>8.6506992105558087</v>
      </c>
    </row>
    <row r="1241" spans="24:26" x14ac:dyDescent="0.25">
      <c r="X1241" s="137" t="s">
        <v>1302</v>
      </c>
      <c r="Y1241" s="140">
        <v>1</v>
      </c>
      <c r="Z1241" s="141">
        <v>5.0998413158250813</v>
      </c>
    </row>
    <row r="1242" spans="24:26" x14ac:dyDescent="0.25">
      <c r="X1242" s="137" t="s">
        <v>1301</v>
      </c>
      <c r="Y1242" s="140">
        <v>1</v>
      </c>
      <c r="Z1242" s="141">
        <v>5.1125174669979998</v>
      </c>
    </row>
    <row r="1243" spans="24:26" x14ac:dyDescent="0.25">
      <c r="X1243" s="137" t="s">
        <v>1304</v>
      </c>
      <c r="Y1243" s="140">
        <v>1</v>
      </c>
      <c r="Z1243" s="141">
        <v>6.0154880243861841</v>
      </c>
    </row>
    <row r="1244" spans="24:26" x14ac:dyDescent="0.25">
      <c r="X1244" s="137" t="s">
        <v>1298</v>
      </c>
      <c r="Y1244" s="140">
        <v>1</v>
      </c>
      <c r="Z1244" s="141">
        <v>4.2416259863548493</v>
      </c>
    </row>
    <row r="1245" spans="24:26" x14ac:dyDescent="0.25">
      <c r="X1245" s="137" t="s">
        <v>469</v>
      </c>
      <c r="Y1245" s="140">
        <v>1</v>
      </c>
      <c r="Z1245" s="141">
        <v>5.1355375783183908</v>
      </c>
    </row>
    <row r="1246" spans="24:26" x14ac:dyDescent="0.25">
      <c r="X1246" s="137" t="s">
        <v>432</v>
      </c>
      <c r="Y1246" s="140">
        <v>1</v>
      </c>
      <c r="Z1246" s="141">
        <v>5.1104246894451437</v>
      </c>
    </row>
    <row r="1247" spans="24:26" x14ac:dyDescent="0.25">
      <c r="X1247" s="137" t="s">
        <v>431</v>
      </c>
      <c r="Y1247" s="140">
        <v>1</v>
      </c>
      <c r="Z1247" s="141">
        <v>6.0036213640921847</v>
      </c>
    </row>
    <row r="1248" spans="24:26" x14ac:dyDescent="0.25">
      <c r="X1248" s="137" t="s">
        <v>430</v>
      </c>
      <c r="Y1248" s="140">
        <v>1</v>
      </c>
      <c r="Z1248" s="141">
        <v>4.2366265427163654</v>
      </c>
    </row>
    <row r="1249" spans="24:26" x14ac:dyDescent="0.25">
      <c r="X1249" s="136" t="s">
        <v>1826</v>
      </c>
      <c r="Y1249" s="140">
        <v>49</v>
      </c>
      <c r="Z1249" s="141">
        <v>246.37799521018684</v>
      </c>
    </row>
    <row r="1250" spans="24:26" x14ac:dyDescent="0.25">
      <c r="X1250" s="137" t="s">
        <v>426</v>
      </c>
      <c r="Y1250" s="140">
        <v>1</v>
      </c>
      <c r="Z1250" s="141">
        <v>2.2397529516370809</v>
      </c>
    </row>
    <row r="1251" spans="24:26" x14ac:dyDescent="0.25">
      <c r="X1251" s="137" t="s">
        <v>422</v>
      </c>
      <c r="Y1251" s="140">
        <v>1</v>
      </c>
      <c r="Z1251" s="141">
        <v>6.4869197453979996</v>
      </c>
    </row>
    <row r="1252" spans="24:26" x14ac:dyDescent="0.25">
      <c r="X1252" s="137" t="s">
        <v>1294</v>
      </c>
      <c r="Y1252" s="140">
        <v>1</v>
      </c>
      <c r="Z1252" s="141">
        <v>5.3888320721844751</v>
      </c>
    </row>
    <row r="1253" spans="24:26" x14ac:dyDescent="0.25">
      <c r="X1253" s="137" t="s">
        <v>479</v>
      </c>
      <c r="Y1253" s="140">
        <v>1</v>
      </c>
      <c r="Z1253" s="141">
        <v>3.3953099321198539</v>
      </c>
    </row>
    <row r="1254" spans="24:26" x14ac:dyDescent="0.25">
      <c r="X1254" s="137" t="s">
        <v>478</v>
      </c>
      <c r="Y1254" s="140">
        <v>1</v>
      </c>
      <c r="Z1254" s="141">
        <v>5.955159771088212</v>
      </c>
    </row>
    <row r="1255" spans="24:26" x14ac:dyDescent="0.25">
      <c r="X1255" s="137" t="s">
        <v>477</v>
      </c>
      <c r="Y1255" s="140">
        <v>1</v>
      </c>
      <c r="Z1255" s="141">
        <v>6.1007324394323899</v>
      </c>
    </row>
    <row r="1256" spans="24:26" x14ac:dyDescent="0.25">
      <c r="X1256" s="137" t="s">
        <v>472</v>
      </c>
      <c r="Y1256" s="140">
        <v>1</v>
      </c>
      <c r="Z1256" s="141">
        <v>6.5961296797872553</v>
      </c>
    </row>
    <row r="1257" spans="24:26" x14ac:dyDescent="0.25">
      <c r="X1257" s="137" t="s">
        <v>476</v>
      </c>
      <c r="Y1257" s="140">
        <v>1</v>
      </c>
      <c r="Z1257" s="141">
        <v>5.6640959586429478</v>
      </c>
    </row>
    <row r="1258" spans="24:26" x14ac:dyDescent="0.25">
      <c r="X1258" s="137" t="s">
        <v>458</v>
      </c>
      <c r="Y1258" s="140">
        <v>1</v>
      </c>
      <c r="Z1258" s="141">
        <v>6.4094118139586227</v>
      </c>
    </row>
    <row r="1259" spans="24:26" x14ac:dyDescent="0.25">
      <c r="X1259" s="137" t="s">
        <v>475</v>
      </c>
      <c r="Y1259" s="140">
        <v>1</v>
      </c>
      <c r="Z1259" s="141">
        <v>7.0428953166820332</v>
      </c>
    </row>
    <row r="1260" spans="24:26" x14ac:dyDescent="0.25">
      <c r="X1260" s="137" t="s">
        <v>474</v>
      </c>
      <c r="Y1260" s="140">
        <v>1</v>
      </c>
      <c r="Z1260" s="141">
        <v>6.0475549380295925</v>
      </c>
    </row>
    <row r="1261" spans="24:26" x14ac:dyDescent="0.25">
      <c r="X1261" s="137" t="s">
        <v>457</v>
      </c>
      <c r="Y1261" s="140">
        <v>1</v>
      </c>
      <c r="Z1261" s="141">
        <v>3.7181527962839982</v>
      </c>
    </row>
    <row r="1262" spans="24:26" x14ac:dyDescent="0.25">
      <c r="X1262" s="137" t="s">
        <v>456</v>
      </c>
      <c r="Y1262" s="140">
        <v>1</v>
      </c>
      <c r="Z1262" s="141">
        <v>5.6865726791929712</v>
      </c>
    </row>
    <row r="1263" spans="24:26" x14ac:dyDescent="0.25">
      <c r="X1263" s="137" t="s">
        <v>1832</v>
      </c>
      <c r="Y1263" s="140">
        <v>1</v>
      </c>
      <c r="Z1263" s="141">
        <v>7.0167375606228815</v>
      </c>
    </row>
    <row r="1264" spans="24:26" x14ac:dyDescent="0.25">
      <c r="X1264" s="137" t="s">
        <v>1833</v>
      </c>
      <c r="Y1264" s="140">
        <v>1</v>
      </c>
      <c r="Z1264" s="141">
        <v>5.6465129132526748</v>
      </c>
    </row>
    <row r="1265" spans="24:26" x14ac:dyDescent="0.25">
      <c r="X1265" s="137" t="s">
        <v>1834</v>
      </c>
      <c r="Y1265" s="140">
        <v>1</v>
      </c>
      <c r="Z1265" s="141">
        <v>5.645091096462763</v>
      </c>
    </row>
    <row r="1266" spans="24:26" x14ac:dyDescent="0.25">
      <c r="X1266" s="137" t="s">
        <v>1835</v>
      </c>
      <c r="Y1266" s="140">
        <v>1</v>
      </c>
      <c r="Z1266" s="141">
        <v>6.5892507754344596</v>
      </c>
    </row>
    <row r="1267" spans="24:26" x14ac:dyDescent="0.25">
      <c r="X1267" s="137" t="s">
        <v>1836</v>
      </c>
      <c r="Y1267" s="140">
        <v>1</v>
      </c>
      <c r="Z1267" s="141">
        <v>4.6627206634299903</v>
      </c>
    </row>
    <row r="1268" spans="24:26" x14ac:dyDescent="0.25">
      <c r="X1268" s="137" t="s">
        <v>1837</v>
      </c>
      <c r="Y1268" s="140">
        <v>1</v>
      </c>
      <c r="Z1268" s="141">
        <v>5.6858271331852439</v>
      </c>
    </row>
    <row r="1269" spans="24:26" x14ac:dyDescent="0.25">
      <c r="X1269" s="137" t="s">
        <v>1838</v>
      </c>
      <c r="Y1269" s="140">
        <v>1</v>
      </c>
      <c r="Z1269" s="141">
        <v>5.6389044945962903</v>
      </c>
    </row>
    <row r="1270" spans="24:26" x14ac:dyDescent="0.25">
      <c r="X1270" s="137" t="s">
        <v>470</v>
      </c>
      <c r="Y1270" s="140">
        <v>1</v>
      </c>
      <c r="Z1270" s="141">
        <v>6.5768584544194661</v>
      </c>
    </row>
    <row r="1271" spans="24:26" x14ac:dyDescent="0.25">
      <c r="X1271" s="137" t="s">
        <v>468</v>
      </c>
      <c r="Y1271" s="140">
        <v>1</v>
      </c>
      <c r="Z1271" s="141">
        <v>4.6601475436001545</v>
      </c>
    </row>
    <row r="1272" spans="24:26" x14ac:dyDescent="0.25">
      <c r="X1272" s="137" t="s">
        <v>2041</v>
      </c>
      <c r="Y1272" s="140">
        <v>1</v>
      </c>
      <c r="Z1272" s="141">
        <v>5.4025378919199989</v>
      </c>
    </row>
    <row r="1273" spans="24:26" x14ac:dyDescent="0.25">
      <c r="X1273" s="137" t="s">
        <v>2042</v>
      </c>
      <c r="Y1273" s="140">
        <v>1</v>
      </c>
      <c r="Z1273" s="141">
        <v>4.3271120146093551</v>
      </c>
    </row>
    <row r="1274" spans="24:26" x14ac:dyDescent="0.25">
      <c r="X1274" s="137" t="s">
        <v>2043</v>
      </c>
      <c r="Y1274" s="140">
        <v>1</v>
      </c>
      <c r="Z1274" s="141">
        <v>5.4208960852222994</v>
      </c>
    </row>
    <row r="1275" spans="24:26" x14ac:dyDescent="0.25">
      <c r="X1275" s="137" t="s">
        <v>445</v>
      </c>
      <c r="Y1275" s="140">
        <v>1</v>
      </c>
      <c r="Z1275" s="141">
        <v>5.8976553912765519</v>
      </c>
    </row>
    <row r="1276" spans="24:26" x14ac:dyDescent="0.25">
      <c r="X1276" s="137" t="s">
        <v>443</v>
      </c>
      <c r="Y1276" s="140">
        <v>1</v>
      </c>
      <c r="Z1276" s="141">
        <v>4.4876949739397176</v>
      </c>
    </row>
    <row r="1277" spans="24:26" x14ac:dyDescent="0.25">
      <c r="X1277" s="137" t="s">
        <v>423</v>
      </c>
      <c r="Y1277" s="140">
        <v>1</v>
      </c>
      <c r="Z1277" s="141">
        <v>5.4900809333487306</v>
      </c>
    </row>
    <row r="1278" spans="24:26" x14ac:dyDescent="0.25">
      <c r="X1278" s="137" t="s">
        <v>429</v>
      </c>
      <c r="Y1278" s="140">
        <v>1</v>
      </c>
      <c r="Z1278" s="141">
        <v>6.1315940008385192</v>
      </c>
    </row>
    <row r="1279" spans="24:26" x14ac:dyDescent="0.25">
      <c r="X1279" s="137" t="s">
        <v>428</v>
      </c>
      <c r="Y1279" s="140">
        <v>1</v>
      </c>
      <c r="Z1279" s="141">
        <v>3.9965283929511535</v>
      </c>
    </row>
    <row r="1280" spans="24:26" x14ac:dyDescent="0.25">
      <c r="X1280" s="137" t="s">
        <v>455</v>
      </c>
      <c r="Y1280" s="140">
        <v>1</v>
      </c>
      <c r="Z1280" s="141">
        <v>6.4527727619584621</v>
      </c>
    </row>
    <row r="1281" spans="24:26" x14ac:dyDescent="0.25">
      <c r="X1281" s="137" t="s">
        <v>2051</v>
      </c>
      <c r="Y1281" s="140">
        <v>1</v>
      </c>
      <c r="Z1281" s="141">
        <v>4.0440352829490314</v>
      </c>
    </row>
    <row r="1282" spans="24:26" x14ac:dyDescent="0.25">
      <c r="X1282" s="137" t="s">
        <v>467</v>
      </c>
      <c r="Y1282" s="140">
        <v>1</v>
      </c>
      <c r="Z1282" s="141">
        <v>4.6882871625799396</v>
      </c>
    </row>
    <row r="1283" spans="24:26" x14ac:dyDescent="0.25">
      <c r="X1283" s="137" t="s">
        <v>466</v>
      </c>
      <c r="Y1283" s="140">
        <v>1</v>
      </c>
      <c r="Z1283" s="141">
        <v>4.044036361207338</v>
      </c>
    </row>
    <row r="1284" spans="24:26" x14ac:dyDescent="0.25">
      <c r="X1284" s="137" t="s">
        <v>465</v>
      </c>
      <c r="Y1284" s="140">
        <v>1</v>
      </c>
      <c r="Z1284" s="141">
        <v>4.6882878481150296</v>
      </c>
    </row>
    <row r="1285" spans="24:26" x14ac:dyDescent="0.25">
      <c r="X1285" s="137" t="s">
        <v>2052</v>
      </c>
      <c r="Y1285" s="140">
        <v>1</v>
      </c>
      <c r="Z1285" s="141">
        <v>4.0300853837501451</v>
      </c>
    </row>
    <row r="1286" spans="24:26" x14ac:dyDescent="0.25">
      <c r="X1286" s="137" t="s">
        <v>2053</v>
      </c>
      <c r="Y1286" s="140">
        <v>1</v>
      </c>
      <c r="Z1286" s="141">
        <v>2.9251403664760067</v>
      </c>
    </row>
    <row r="1287" spans="24:26" x14ac:dyDescent="0.25">
      <c r="X1287" s="137" t="s">
        <v>2054</v>
      </c>
      <c r="Y1287" s="140">
        <v>1</v>
      </c>
      <c r="Z1287" s="141">
        <v>3.8967225758658408</v>
      </c>
    </row>
    <row r="1288" spans="24:26" x14ac:dyDescent="0.25">
      <c r="X1288" s="137" t="s">
        <v>464</v>
      </c>
      <c r="Y1288" s="140">
        <v>1</v>
      </c>
      <c r="Z1288" s="141">
        <v>2.7914199881538999</v>
      </c>
    </row>
    <row r="1289" spans="24:26" x14ac:dyDescent="0.25">
      <c r="X1289" s="137" t="s">
        <v>454</v>
      </c>
      <c r="Y1289" s="140">
        <v>1</v>
      </c>
      <c r="Z1289" s="141">
        <v>4.154223404644684</v>
      </c>
    </row>
    <row r="1290" spans="24:26" x14ac:dyDescent="0.25">
      <c r="X1290" s="137" t="s">
        <v>442</v>
      </c>
      <c r="Y1290" s="140">
        <v>1</v>
      </c>
      <c r="Z1290" s="141">
        <v>4.6078039695763806</v>
      </c>
    </row>
    <row r="1291" spans="24:26" x14ac:dyDescent="0.25">
      <c r="X1291" s="137" t="s">
        <v>453</v>
      </c>
      <c r="Y1291" s="140">
        <v>1</v>
      </c>
      <c r="Z1291" s="141">
        <v>4.347196346469163</v>
      </c>
    </row>
    <row r="1292" spans="24:26" x14ac:dyDescent="0.25">
      <c r="X1292" s="137" t="s">
        <v>412</v>
      </c>
      <c r="Y1292" s="140">
        <v>1</v>
      </c>
      <c r="Z1292" s="141">
        <v>4.7454462864343601</v>
      </c>
    </row>
    <row r="1293" spans="24:26" x14ac:dyDescent="0.25">
      <c r="X1293" s="137" t="s">
        <v>413</v>
      </c>
      <c r="Y1293" s="140">
        <v>1</v>
      </c>
      <c r="Z1293" s="141">
        <v>4.3471615886531483</v>
      </c>
    </row>
    <row r="1294" spans="24:26" x14ac:dyDescent="0.25">
      <c r="X1294" s="137" t="s">
        <v>414</v>
      </c>
      <c r="Y1294" s="140">
        <v>1</v>
      </c>
      <c r="Z1294" s="141">
        <v>4.7454462864343601</v>
      </c>
    </row>
    <row r="1295" spans="24:26" x14ac:dyDescent="0.25">
      <c r="X1295" s="137" t="s">
        <v>403</v>
      </c>
      <c r="Y1295" s="140">
        <v>1</v>
      </c>
      <c r="Z1295" s="141">
        <v>4.3470130295948248</v>
      </c>
    </row>
    <row r="1296" spans="24:26" x14ac:dyDescent="0.25">
      <c r="X1296" s="137" t="s">
        <v>2062</v>
      </c>
      <c r="Y1296" s="140">
        <v>1</v>
      </c>
      <c r="Z1296" s="141">
        <v>4.7454462903889487</v>
      </c>
    </row>
    <row r="1297" spans="24:26" x14ac:dyDescent="0.25">
      <c r="X1297" s="137" t="s">
        <v>2063</v>
      </c>
      <c r="Y1297" s="140">
        <v>1</v>
      </c>
      <c r="Z1297" s="141">
        <v>4.2985236629729915</v>
      </c>
    </row>
    <row r="1298" spans="24:26" x14ac:dyDescent="0.25">
      <c r="X1298" s="137" t="s">
        <v>2064</v>
      </c>
      <c r="Y1298" s="140">
        <v>1</v>
      </c>
      <c r="Z1298" s="141">
        <v>4.471276200414585</v>
      </c>
    </row>
    <row r="1299" spans="24:26" x14ac:dyDescent="0.25">
      <c r="X1299" s="136" t="s">
        <v>2012</v>
      </c>
      <c r="Y1299" s="140">
        <v>81</v>
      </c>
      <c r="Z1299" s="141">
        <v>308.87627566781021</v>
      </c>
    </row>
    <row r="1300" spans="24:26" x14ac:dyDescent="0.25">
      <c r="X1300" s="137" t="s">
        <v>1933</v>
      </c>
      <c r="Y1300" s="140">
        <v>1</v>
      </c>
      <c r="Z1300" s="141">
        <v>2.6316639353419418</v>
      </c>
    </row>
    <row r="1301" spans="24:26" x14ac:dyDescent="0.25">
      <c r="X1301" s="137" t="s">
        <v>1929</v>
      </c>
      <c r="Y1301" s="140">
        <v>1</v>
      </c>
      <c r="Z1301" s="141">
        <v>3.2519446386353641</v>
      </c>
    </row>
    <row r="1302" spans="24:26" x14ac:dyDescent="0.25">
      <c r="X1302" s="137" t="s">
        <v>1934</v>
      </c>
      <c r="Y1302" s="140">
        <v>1</v>
      </c>
      <c r="Z1302" s="141">
        <v>3.2245258569452688</v>
      </c>
    </row>
    <row r="1303" spans="24:26" x14ac:dyDescent="0.25">
      <c r="X1303" s="137" t="s">
        <v>1931</v>
      </c>
      <c r="Y1303" s="140">
        <v>1</v>
      </c>
      <c r="Z1303" s="141">
        <v>2.5906100575301925</v>
      </c>
    </row>
    <row r="1304" spans="24:26" x14ac:dyDescent="0.25">
      <c r="X1304" s="137" t="s">
        <v>1932</v>
      </c>
      <c r="Y1304" s="140">
        <v>1</v>
      </c>
      <c r="Z1304" s="141">
        <v>2.4812128366778881</v>
      </c>
    </row>
    <row r="1305" spans="24:26" x14ac:dyDescent="0.25">
      <c r="X1305" s="137" t="s">
        <v>1930</v>
      </c>
      <c r="Y1305" s="140">
        <v>1</v>
      </c>
      <c r="Z1305" s="141">
        <v>3.2772762114740726</v>
      </c>
    </row>
    <row r="1306" spans="24:26" x14ac:dyDescent="0.25">
      <c r="X1306" s="137" t="s">
        <v>1936</v>
      </c>
      <c r="Y1306" s="140">
        <v>1</v>
      </c>
      <c r="Z1306" s="141">
        <v>3.6161834985000012</v>
      </c>
    </row>
    <row r="1307" spans="24:26" x14ac:dyDescent="0.25">
      <c r="X1307" s="137" t="s">
        <v>1942</v>
      </c>
      <c r="Y1307" s="140">
        <v>1</v>
      </c>
      <c r="Z1307" s="141">
        <v>2.636060414789879</v>
      </c>
    </row>
    <row r="1308" spans="24:26" x14ac:dyDescent="0.25">
      <c r="X1308" s="137" t="s">
        <v>1937</v>
      </c>
      <c r="Y1308" s="140">
        <v>1</v>
      </c>
      <c r="Z1308" s="141">
        <v>3.2591526130653627</v>
      </c>
    </row>
    <row r="1309" spans="24:26" x14ac:dyDescent="0.25">
      <c r="X1309" s="137" t="s">
        <v>1945</v>
      </c>
      <c r="Y1309" s="140">
        <v>1</v>
      </c>
      <c r="Z1309" s="141">
        <v>3.4678664262610872</v>
      </c>
    </row>
    <row r="1310" spans="24:26" x14ac:dyDescent="0.25">
      <c r="X1310" s="137" t="s">
        <v>1938</v>
      </c>
      <c r="Y1310" s="140">
        <v>1</v>
      </c>
      <c r="Z1310" s="141">
        <v>3.6161834984652264</v>
      </c>
    </row>
    <row r="1311" spans="24:26" x14ac:dyDescent="0.25">
      <c r="X1311" s="137" t="s">
        <v>1939</v>
      </c>
      <c r="Y1311" s="140">
        <v>1</v>
      </c>
      <c r="Z1311" s="141">
        <v>3.2591550797142905</v>
      </c>
    </row>
    <row r="1312" spans="24:26" x14ac:dyDescent="0.25">
      <c r="X1312" s="137" t="s">
        <v>1943</v>
      </c>
      <c r="Y1312" s="140">
        <v>1</v>
      </c>
      <c r="Z1312" s="141">
        <v>2.6360721495268438</v>
      </c>
    </row>
    <row r="1313" spans="24:26" x14ac:dyDescent="0.25">
      <c r="X1313" s="137" t="s">
        <v>1946</v>
      </c>
      <c r="Y1313" s="140">
        <v>1</v>
      </c>
      <c r="Z1313" s="141">
        <v>3.4678664262721974</v>
      </c>
    </row>
    <row r="1314" spans="24:26" x14ac:dyDescent="0.25">
      <c r="X1314" s="137" t="s">
        <v>1935</v>
      </c>
      <c r="Y1314" s="140">
        <v>1</v>
      </c>
      <c r="Z1314" s="141">
        <v>2.4822171491322265</v>
      </c>
    </row>
    <row r="1315" spans="24:26" x14ac:dyDescent="0.25">
      <c r="X1315" s="137" t="s">
        <v>1944</v>
      </c>
      <c r="Y1315" s="140">
        <v>1</v>
      </c>
      <c r="Z1315" s="141">
        <v>2.469622349505364</v>
      </c>
    </row>
    <row r="1316" spans="24:26" x14ac:dyDescent="0.25">
      <c r="X1316" s="137" t="s">
        <v>1940</v>
      </c>
      <c r="Y1316" s="140">
        <v>1</v>
      </c>
      <c r="Z1316" s="141">
        <v>3.4812666879221799</v>
      </c>
    </row>
    <row r="1317" spans="24:26" x14ac:dyDescent="0.25">
      <c r="X1317" s="137" t="s">
        <v>1941</v>
      </c>
      <c r="Y1317" s="140">
        <v>1</v>
      </c>
      <c r="Z1317" s="141">
        <v>3.1230626867623577</v>
      </c>
    </row>
    <row r="1318" spans="24:26" x14ac:dyDescent="0.25">
      <c r="X1318" s="137" t="s">
        <v>1947</v>
      </c>
      <c r="Y1318" s="140">
        <v>1</v>
      </c>
      <c r="Z1318" s="141">
        <v>3.4449193676974472</v>
      </c>
    </row>
    <row r="1319" spans="24:26" x14ac:dyDescent="0.25">
      <c r="X1319" s="137" t="s">
        <v>1950</v>
      </c>
      <c r="Y1319" s="140">
        <v>1</v>
      </c>
      <c r="Z1319" s="141">
        <v>3.9275140488751799</v>
      </c>
    </row>
    <row r="1320" spans="24:26" x14ac:dyDescent="0.25">
      <c r="X1320" s="137" t="s">
        <v>1951</v>
      </c>
      <c r="Y1320" s="140">
        <v>1</v>
      </c>
      <c r="Z1320" s="141">
        <v>3.4414756765684298</v>
      </c>
    </row>
    <row r="1321" spans="24:26" x14ac:dyDescent="0.25">
      <c r="X1321" s="137" t="s">
        <v>1952</v>
      </c>
      <c r="Y1321" s="140">
        <v>1</v>
      </c>
      <c r="Z1321" s="141">
        <v>4.2661997573721901</v>
      </c>
    </row>
    <row r="1322" spans="24:26" x14ac:dyDescent="0.25">
      <c r="X1322" s="137" t="s">
        <v>1948</v>
      </c>
      <c r="Y1322" s="140">
        <v>1</v>
      </c>
      <c r="Z1322" s="141">
        <v>4.9050869872664213</v>
      </c>
    </row>
    <row r="1323" spans="24:26" x14ac:dyDescent="0.25">
      <c r="X1323" s="137" t="s">
        <v>1949</v>
      </c>
      <c r="Y1323" s="140">
        <v>1</v>
      </c>
      <c r="Z1323" s="141">
        <v>4.8181195470052911</v>
      </c>
    </row>
    <row r="1324" spans="24:26" x14ac:dyDescent="0.25">
      <c r="X1324" s="137" t="s">
        <v>1967</v>
      </c>
      <c r="Y1324" s="140">
        <v>1</v>
      </c>
      <c r="Z1324" s="141">
        <v>4.8181195470052911</v>
      </c>
    </row>
    <row r="1325" spans="24:26" x14ac:dyDescent="0.25">
      <c r="X1325" s="137" t="s">
        <v>1966</v>
      </c>
      <c r="Y1325" s="140">
        <v>1</v>
      </c>
      <c r="Z1325" s="141">
        <v>4.9050869872664213</v>
      </c>
    </row>
    <row r="1326" spans="24:26" x14ac:dyDescent="0.25">
      <c r="X1326" s="137" t="s">
        <v>1953</v>
      </c>
      <c r="Y1326" s="140">
        <v>1</v>
      </c>
      <c r="Z1326" s="141">
        <v>3.9687148918565209</v>
      </c>
    </row>
    <row r="1327" spans="24:26" x14ac:dyDescent="0.25">
      <c r="X1327" s="137" t="s">
        <v>1954</v>
      </c>
      <c r="Y1327" s="140">
        <v>1</v>
      </c>
      <c r="Z1327" s="141">
        <v>3.4781873920132869</v>
      </c>
    </row>
    <row r="1328" spans="24:26" x14ac:dyDescent="0.25">
      <c r="X1328" s="137" t="s">
        <v>1957</v>
      </c>
      <c r="Y1328" s="140">
        <v>1</v>
      </c>
      <c r="Z1328" s="141">
        <v>4.303871599117886</v>
      </c>
    </row>
    <row r="1329" spans="24:26" x14ac:dyDescent="0.25">
      <c r="X1329" s="137" t="s">
        <v>1960</v>
      </c>
      <c r="Y1329" s="140">
        <v>1</v>
      </c>
      <c r="Z1329" s="141">
        <v>5.0928992072197419</v>
      </c>
    </row>
    <row r="1330" spans="24:26" x14ac:dyDescent="0.25">
      <c r="X1330" s="137" t="s">
        <v>1961</v>
      </c>
      <c r="Y1330" s="140">
        <v>1</v>
      </c>
      <c r="Z1330" s="141">
        <v>4.8240862892183811</v>
      </c>
    </row>
    <row r="1331" spans="24:26" x14ac:dyDescent="0.25">
      <c r="X1331" s="137" t="s">
        <v>1969</v>
      </c>
      <c r="Y1331" s="140">
        <v>1</v>
      </c>
      <c r="Z1331" s="141">
        <v>4.8240862892183811</v>
      </c>
    </row>
    <row r="1332" spans="24:26" x14ac:dyDescent="0.25">
      <c r="X1332" s="137" t="s">
        <v>1968</v>
      </c>
      <c r="Y1332" s="140">
        <v>1</v>
      </c>
      <c r="Z1332" s="141">
        <v>5.0928992072197419</v>
      </c>
    </row>
    <row r="1333" spans="24:26" x14ac:dyDescent="0.25">
      <c r="X1333" s="137" t="s">
        <v>1955</v>
      </c>
      <c r="Y1333" s="140">
        <v>1</v>
      </c>
      <c r="Z1333" s="141">
        <v>3.9687148918149195</v>
      </c>
    </row>
    <row r="1334" spans="24:26" x14ac:dyDescent="0.25">
      <c r="X1334" s="137" t="s">
        <v>1956</v>
      </c>
      <c r="Y1334" s="140">
        <v>1</v>
      </c>
      <c r="Z1334" s="141">
        <v>3.478187392050395</v>
      </c>
    </row>
    <row r="1335" spans="24:26" x14ac:dyDescent="0.25">
      <c r="X1335" s="137" t="s">
        <v>1958</v>
      </c>
      <c r="Y1335" s="140">
        <v>1</v>
      </c>
      <c r="Z1335" s="141">
        <v>4.303871599163787</v>
      </c>
    </row>
    <row r="1336" spans="24:26" x14ac:dyDescent="0.25">
      <c r="X1336" s="137" t="s">
        <v>1962</v>
      </c>
      <c r="Y1336" s="140">
        <v>1</v>
      </c>
      <c r="Z1336" s="141">
        <v>5.0928992072890225</v>
      </c>
    </row>
    <row r="1337" spans="24:26" x14ac:dyDescent="0.25">
      <c r="X1337" s="137" t="s">
        <v>1963</v>
      </c>
      <c r="Y1337" s="140">
        <v>1</v>
      </c>
      <c r="Z1337" s="141">
        <v>4.8240862891491059</v>
      </c>
    </row>
    <row r="1338" spans="24:26" x14ac:dyDescent="0.25">
      <c r="X1338" s="137" t="s">
        <v>1971</v>
      </c>
      <c r="Y1338" s="140">
        <v>1</v>
      </c>
      <c r="Z1338" s="141">
        <v>4.8240862891491059</v>
      </c>
    </row>
    <row r="1339" spans="24:26" x14ac:dyDescent="0.25">
      <c r="X1339" s="137" t="s">
        <v>1970</v>
      </c>
      <c r="Y1339" s="140">
        <v>1</v>
      </c>
      <c r="Z1339" s="141">
        <v>5.0928992072890225</v>
      </c>
    </row>
    <row r="1340" spans="24:26" x14ac:dyDescent="0.25">
      <c r="X1340" s="137" t="s">
        <v>1974</v>
      </c>
      <c r="Y1340" s="140">
        <v>1</v>
      </c>
      <c r="Z1340" s="141">
        <v>3.0175016784478381</v>
      </c>
    </row>
    <row r="1341" spans="24:26" x14ac:dyDescent="0.25">
      <c r="X1341" s="137" t="s">
        <v>1975</v>
      </c>
      <c r="Y1341" s="140">
        <v>1</v>
      </c>
      <c r="Z1341" s="141">
        <v>3.0180285440053884</v>
      </c>
    </row>
    <row r="1342" spans="24:26" x14ac:dyDescent="0.25">
      <c r="X1342" s="137" t="s">
        <v>1959</v>
      </c>
      <c r="Y1342" s="140">
        <v>1</v>
      </c>
      <c r="Z1342" s="141">
        <v>4.2453008789060442</v>
      </c>
    </row>
    <row r="1343" spans="24:26" x14ac:dyDescent="0.25">
      <c r="X1343" s="137" t="s">
        <v>1964</v>
      </c>
      <c r="Y1343" s="140">
        <v>1</v>
      </c>
      <c r="Z1343" s="141">
        <v>4.7855982534632835</v>
      </c>
    </row>
    <row r="1344" spans="24:26" x14ac:dyDescent="0.25">
      <c r="X1344" s="137" t="s">
        <v>1965</v>
      </c>
      <c r="Y1344" s="140">
        <v>1</v>
      </c>
      <c r="Z1344" s="141">
        <v>4.6034355575332828</v>
      </c>
    </row>
    <row r="1345" spans="24:26" x14ac:dyDescent="0.25">
      <c r="X1345" s="137" t="s">
        <v>1973</v>
      </c>
      <c r="Y1345" s="140">
        <v>1</v>
      </c>
      <c r="Z1345" s="141">
        <v>4.6034355575332828</v>
      </c>
    </row>
    <row r="1346" spans="24:26" x14ac:dyDescent="0.25">
      <c r="X1346" s="137" t="s">
        <v>1972</v>
      </c>
      <c r="Y1346" s="140">
        <v>1</v>
      </c>
      <c r="Z1346" s="141">
        <v>4.7855982534632835</v>
      </c>
    </row>
    <row r="1347" spans="24:26" x14ac:dyDescent="0.25">
      <c r="X1347" s="137" t="s">
        <v>1981</v>
      </c>
      <c r="Y1347" s="140">
        <v>1</v>
      </c>
      <c r="Z1347" s="141">
        <v>2.3201113601358245</v>
      </c>
    </row>
    <row r="1348" spans="24:26" x14ac:dyDescent="0.25">
      <c r="X1348" s="137" t="s">
        <v>1982</v>
      </c>
      <c r="Y1348" s="140">
        <v>1</v>
      </c>
      <c r="Z1348" s="141">
        <v>2.3201113601358245</v>
      </c>
    </row>
    <row r="1349" spans="24:26" x14ac:dyDescent="0.25">
      <c r="X1349" s="137" t="s">
        <v>1983</v>
      </c>
      <c r="Y1349" s="140">
        <v>1</v>
      </c>
      <c r="Z1349" s="141">
        <v>2.3201113601358245</v>
      </c>
    </row>
    <row r="1350" spans="24:26" x14ac:dyDescent="0.25">
      <c r="X1350" s="137" t="s">
        <v>1984</v>
      </c>
      <c r="Y1350" s="140">
        <v>1</v>
      </c>
      <c r="Z1350" s="141">
        <v>2.3201113601358245</v>
      </c>
    </row>
    <row r="1351" spans="24:26" x14ac:dyDescent="0.25">
      <c r="X1351" s="137" t="s">
        <v>1979</v>
      </c>
      <c r="Y1351" s="140">
        <v>1</v>
      </c>
      <c r="Z1351" s="141">
        <v>2.3201113601358245</v>
      </c>
    </row>
    <row r="1352" spans="24:26" x14ac:dyDescent="0.25">
      <c r="X1352" s="137" t="s">
        <v>1980</v>
      </c>
      <c r="Y1352" s="140">
        <v>1</v>
      </c>
      <c r="Z1352" s="141">
        <v>5.4613786267882078</v>
      </c>
    </row>
    <row r="1353" spans="24:26" x14ac:dyDescent="0.25">
      <c r="X1353" s="137" t="s">
        <v>1978</v>
      </c>
      <c r="Y1353" s="140">
        <v>1</v>
      </c>
      <c r="Z1353" s="141">
        <v>4.9113417246236502</v>
      </c>
    </row>
    <row r="1354" spans="24:26" x14ac:dyDescent="0.25">
      <c r="X1354" s="137" t="s">
        <v>1977</v>
      </c>
      <c r="Y1354" s="140">
        <v>1</v>
      </c>
      <c r="Z1354" s="141">
        <v>6.1450425015673344</v>
      </c>
    </row>
    <row r="1355" spans="24:26" x14ac:dyDescent="0.25">
      <c r="X1355" s="137" t="s">
        <v>1976</v>
      </c>
      <c r="Y1355" s="140">
        <v>1</v>
      </c>
      <c r="Z1355" s="141">
        <v>4.7148044659283155</v>
      </c>
    </row>
    <row r="1356" spans="24:26" x14ac:dyDescent="0.25">
      <c r="X1356" s="137" t="s">
        <v>2004</v>
      </c>
      <c r="Y1356" s="140">
        <v>1</v>
      </c>
      <c r="Z1356" s="141">
        <v>4.7148044659255799</v>
      </c>
    </row>
    <row r="1357" spans="24:26" x14ac:dyDescent="0.25">
      <c r="X1357" s="137" t="s">
        <v>2005</v>
      </c>
      <c r="Y1357" s="140">
        <v>1</v>
      </c>
      <c r="Z1357" s="141">
        <v>4.7148044659255799</v>
      </c>
    </row>
    <row r="1358" spans="24:26" x14ac:dyDescent="0.25">
      <c r="X1358" s="137" t="s">
        <v>2006</v>
      </c>
      <c r="Y1358" s="140">
        <v>1</v>
      </c>
      <c r="Z1358" s="141">
        <v>4.7148044659283155</v>
      </c>
    </row>
    <row r="1359" spans="24:26" x14ac:dyDescent="0.25">
      <c r="X1359" s="137" t="s">
        <v>1993</v>
      </c>
      <c r="Y1359" s="140">
        <v>1</v>
      </c>
      <c r="Z1359" s="141">
        <v>2.3202279297663573</v>
      </c>
    </row>
    <row r="1360" spans="24:26" x14ac:dyDescent="0.25">
      <c r="X1360" s="137" t="s">
        <v>1991</v>
      </c>
      <c r="Y1360" s="140">
        <v>1</v>
      </c>
      <c r="Z1360" s="141">
        <v>2.3202279297663573</v>
      </c>
    </row>
    <row r="1361" spans="24:26" x14ac:dyDescent="0.25">
      <c r="X1361" s="137" t="s">
        <v>1989</v>
      </c>
      <c r="Y1361" s="140">
        <v>1</v>
      </c>
      <c r="Z1361" s="141">
        <v>2.3202279297663573</v>
      </c>
    </row>
    <row r="1362" spans="24:26" x14ac:dyDescent="0.25">
      <c r="X1362" s="137" t="s">
        <v>1987</v>
      </c>
      <c r="Y1362" s="140">
        <v>1</v>
      </c>
      <c r="Z1362" s="141">
        <v>2.3202279297663573</v>
      </c>
    </row>
    <row r="1363" spans="24:26" x14ac:dyDescent="0.25">
      <c r="X1363" s="137" t="s">
        <v>1985</v>
      </c>
      <c r="Y1363" s="140">
        <v>1</v>
      </c>
      <c r="Z1363" s="141">
        <v>2.3202279297663573</v>
      </c>
    </row>
    <row r="1364" spans="24:26" x14ac:dyDescent="0.25">
      <c r="X1364" s="137" t="s">
        <v>2007</v>
      </c>
      <c r="Y1364" s="140">
        <v>1</v>
      </c>
      <c r="Z1364" s="141">
        <v>5.7939521868145807</v>
      </c>
    </row>
    <row r="1365" spans="24:26" x14ac:dyDescent="0.25">
      <c r="X1365" s="137" t="s">
        <v>1996</v>
      </c>
      <c r="Y1365" s="140">
        <v>1</v>
      </c>
      <c r="Z1365" s="141">
        <v>4.8010795452875641</v>
      </c>
    </row>
    <row r="1366" spans="24:26" x14ac:dyDescent="0.25">
      <c r="X1366" s="137" t="s">
        <v>1998</v>
      </c>
      <c r="Y1366" s="140">
        <v>1</v>
      </c>
      <c r="Z1366" s="141">
        <v>4.8010795452847788</v>
      </c>
    </row>
    <row r="1367" spans="24:26" x14ac:dyDescent="0.25">
      <c r="X1367" s="137" t="s">
        <v>2001</v>
      </c>
      <c r="Y1367" s="140">
        <v>1</v>
      </c>
      <c r="Z1367" s="141">
        <v>4.8010795452847788</v>
      </c>
    </row>
    <row r="1368" spans="24:26" x14ac:dyDescent="0.25">
      <c r="X1368" s="137" t="s">
        <v>2003</v>
      </c>
      <c r="Y1368" s="140">
        <v>1</v>
      </c>
      <c r="Z1368" s="141">
        <v>4.8010795452875641</v>
      </c>
    </row>
    <row r="1369" spans="24:26" x14ac:dyDescent="0.25">
      <c r="X1369" s="137" t="s">
        <v>1992</v>
      </c>
      <c r="Y1369" s="140">
        <v>1</v>
      </c>
      <c r="Z1369" s="141">
        <v>2.3202279297230151</v>
      </c>
    </row>
    <row r="1370" spans="24:26" x14ac:dyDescent="0.25">
      <c r="X1370" s="137" t="s">
        <v>1990</v>
      </c>
      <c r="Y1370" s="140">
        <v>1</v>
      </c>
      <c r="Z1370" s="141">
        <v>2.3202279297230151</v>
      </c>
    </row>
    <row r="1371" spans="24:26" x14ac:dyDescent="0.25">
      <c r="X1371" s="137" t="s">
        <v>1988</v>
      </c>
      <c r="Y1371" s="140">
        <v>1</v>
      </c>
      <c r="Z1371" s="141">
        <v>2.3202279297230151</v>
      </c>
    </row>
    <row r="1372" spans="24:26" x14ac:dyDescent="0.25">
      <c r="X1372" s="137" t="s">
        <v>1986</v>
      </c>
      <c r="Y1372" s="140">
        <v>1</v>
      </c>
      <c r="Z1372" s="141">
        <v>2.3202279297230151</v>
      </c>
    </row>
    <row r="1373" spans="24:26" x14ac:dyDescent="0.25">
      <c r="X1373" s="137" t="s">
        <v>2008</v>
      </c>
      <c r="Y1373" s="140">
        <v>1</v>
      </c>
      <c r="Z1373" s="141">
        <v>5.7939521868331507</v>
      </c>
    </row>
    <row r="1374" spans="24:26" x14ac:dyDescent="0.25">
      <c r="X1374" s="137" t="s">
        <v>1997</v>
      </c>
      <c r="Y1374" s="140">
        <v>1</v>
      </c>
      <c r="Z1374" s="141">
        <v>4.8010795453020174</v>
      </c>
    </row>
    <row r="1375" spans="24:26" x14ac:dyDescent="0.25">
      <c r="X1375" s="137" t="s">
        <v>1999</v>
      </c>
      <c r="Y1375" s="140">
        <v>1</v>
      </c>
      <c r="Z1375" s="141">
        <v>4.8010795453020174</v>
      </c>
    </row>
    <row r="1376" spans="24:26" x14ac:dyDescent="0.25">
      <c r="X1376" s="137" t="s">
        <v>2002</v>
      </c>
      <c r="Y1376" s="140">
        <v>1</v>
      </c>
      <c r="Z1376" s="141">
        <v>4.8010795453020174</v>
      </c>
    </row>
    <row r="1377" spans="24:26" x14ac:dyDescent="0.25">
      <c r="X1377" s="137" t="s">
        <v>1995</v>
      </c>
      <c r="Y1377" s="140">
        <v>1</v>
      </c>
      <c r="Z1377" s="141">
        <v>2.1955872046925298</v>
      </c>
    </row>
    <row r="1378" spans="24:26" x14ac:dyDescent="0.25">
      <c r="X1378" s="137" t="s">
        <v>1994</v>
      </c>
      <c r="Y1378" s="140">
        <v>1</v>
      </c>
      <c r="Z1378" s="141">
        <v>2.1955872046925298</v>
      </c>
    </row>
    <row r="1379" spans="24:26" x14ac:dyDescent="0.25">
      <c r="X1379" s="137" t="s">
        <v>2009</v>
      </c>
      <c r="Y1379" s="140">
        <v>1</v>
      </c>
      <c r="Z1379" s="141">
        <v>5.0541035667395704</v>
      </c>
    </row>
    <row r="1380" spans="24:26" x14ac:dyDescent="0.25">
      <c r="X1380" s="137" t="s">
        <v>2000</v>
      </c>
      <c r="Y1380" s="140">
        <v>1</v>
      </c>
      <c r="Z1380" s="141">
        <v>4.6490947051971139</v>
      </c>
    </row>
    <row r="1381" spans="24:26" x14ac:dyDescent="0.25">
      <c r="X1381" s="136" t="s">
        <v>1899</v>
      </c>
      <c r="Y1381" s="140">
        <v>27</v>
      </c>
      <c r="Z1381" s="141">
        <v>119.19095223511498</v>
      </c>
    </row>
    <row r="1382" spans="24:26" x14ac:dyDescent="0.25">
      <c r="X1382" s="137" t="s">
        <v>446</v>
      </c>
      <c r="Y1382" s="140">
        <v>1</v>
      </c>
      <c r="Z1382" s="141">
        <v>3.274486203778872</v>
      </c>
    </row>
    <row r="1383" spans="24:26" x14ac:dyDescent="0.25">
      <c r="X1383" s="137" t="s">
        <v>2033</v>
      </c>
      <c r="Y1383" s="140">
        <v>1</v>
      </c>
      <c r="Z1383" s="141">
        <v>6.2769626366120841</v>
      </c>
    </row>
    <row r="1384" spans="24:26" x14ac:dyDescent="0.25">
      <c r="X1384" s="137" t="s">
        <v>2034</v>
      </c>
      <c r="Y1384" s="140">
        <v>1</v>
      </c>
      <c r="Z1384" s="141">
        <v>5.1365734536454113</v>
      </c>
    </row>
    <row r="1385" spans="24:26" x14ac:dyDescent="0.25">
      <c r="X1385" s="137" t="s">
        <v>2035</v>
      </c>
      <c r="Y1385" s="140">
        <v>1</v>
      </c>
      <c r="Z1385" s="141">
        <v>3.4476663770161591</v>
      </c>
    </row>
    <row r="1386" spans="24:26" x14ac:dyDescent="0.25">
      <c r="X1386" s="137" t="s">
        <v>2036</v>
      </c>
      <c r="Y1386" s="140">
        <v>1</v>
      </c>
      <c r="Z1386" s="141">
        <v>6.2748010304451594</v>
      </c>
    </row>
    <row r="1387" spans="24:26" x14ac:dyDescent="0.25">
      <c r="X1387" s="137" t="s">
        <v>2037</v>
      </c>
      <c r="Y1387" s="140">
        <v>1</v>
      </c>
      <c r="Z1387" s="141">
        <v>5.2519243453640323</v>
      </c>
    </row>
    <row r="1388" spans="24:26" x14ac:dyDescent="0.25">
      <c r="X1388" s="137" t="s">
        <v>2038</v>
      </c>
      <c r="Y1388" s="140">
        <v>1</v>
      </c>
      <c r="Z1388" s="141">
        <v>3.0251368835002435</v>
      </c>
    </row>
    <row r="1389" spans="24:26" x14ac:dyDescent="0.25">
      <c r="X1389" s="137" t="s">
        <v>2039</v>
      </c>
      <c r="Y1389" s="140">
        <v>1</v>
      </c>
      <c r="Z1389" s="141">
        <v>6.2996797170709851</v>
      </c>
    </row>
    <row r="1390" spans="24:26" x14ac:dyDescent="0.25">
      <c r="X1390" s="137" t="s">
        <v>2040</v>
      </c>
      <c r="Y1390" s="140">
        <v>1</v>
      </c>
      <c r="Z1390" s="141">
        <v>5.9333643621622745</v>
      </c>
    </row>
    <row r="1391" spans="24:26" x14ac:dyDescent="0.25">
      <c r="X1391" s="137" t="s">
        <v>441</v>
      </c>
      <c r="Y1391" s="140">
        <v>1</v>
      </c>
      <c r="Z1391" s="141">
        <v>5.4149989581584519</v>
      </c>
    </row>
    <row r="1392" spans="24:26" x14ac:dyDescent="0.25">
      <c r="X1392" s="137" t="s">
        <v>2044</v>
      </c>
      <c r="Y1392" s="140">
        <v>1</v>
      </c>
      <c r="Z1392" s="141">
        <v>3.3976981356462272</v>
      </c>
    </row>
    <row r="1393" spans="24:26" x14ac:dyDescent="0.25">
      <c r="X1393" s="137" t="s">
        <v>2045</v>
      </c>
      <c r="Y1393" s="140">
        <v>1</v>
      </c>
      <c r="Z1393" s="141">
        <v>5.4821841241116545</v>
      </c>
    </row>
    <row r="1394" spans="24:26" x14ac:dyDescent="0.25">
      <c r="X1394" s="137" t="s">
        <v>2046</v>
      </c>
      <c r="Y1394" s="140">
        <v>1</v>
      </c>
      <c r="Z1394" s="141">
        <v>3.3530282295008531</v>
      </c>
    </row>
    <row r="1395" spans="24:26" x14ac:dyDescent="0.25">
      <c r="X1395" s="137" t="s">
        <v>2047</v>
      </c>
      <c r="Y1395" s="140">
        <v>1</v>
      </c>
      <c r="Z1395" s="141">
        <v>3.8009543172871525</v>
      </c>
    </row>
    <row r="1396" spans="24:26" x14ac:dyDescent="0.25">
      <c r="X1396" s="137" t="s">
        <v>2048</v>
      </c>
      <c r="Y1396" s="140">
        <v>1</v>
      </c>
      <c r="Z1396" s="141">
        <v>3.1480138936014344</v>
      </c>
    </row>
    <row r="1397" spans="24:26" x14ac:dyDescent="0.25">
      <c r="X1397" s="137" t="s">
        <v>2049</v>
      </c>
      <c r="Y1397" s="140">
        <v>1</v>
      </c>
      <c r="Z1397" s="141">
        <v>3.8916544196676264</v>
      </c>
    </row>
    <row r="1398" spans="24:26" x14ac:dyDescent="0.25">
      <c r="X1398" s="137" t="s">
        <v>2050</v>
      </c>
      <c r="Y1398" s="140">
        <v>1</v>
      </c>
      <c r="Z1398" s="141">
        <v>2.9508264377279976</v>
      </c>
    </row>
    <row r="1399" spans="24:26" x14ac:dyDescent="0.25">
      <c r="X1399" s="137" t="s">
        <v>463</v>
      </c>
      <c r="Y1399" s="140">
        <v>1</v>
      </c>
      <c r="Z1399" s="141">
        <v>4.0717619909830605</v>
      </c>
    </row>
    <row r="1400" spans="24:26" x14ac:dyDescent="0.25">
      <c r="X1400" s="137" t="s">
        <v>462</v>
      </c>
      <c r="Y1400" s="140">
        <v>1</v>
      </c>
      <c r="Z1400" s="141">
        <v>4.1592569875432348</v>
      </c>
    </row>
    <row r="1401" spans="24:26" x14ac:dyDescent="0.25">
      <c r="X1401" s="137" t="s">
        <v>444</v>
      </c>
      <c r="Y1401" s="140">
        <v>1</v>
      </c>
      <c r="Z1401" s="141">
        <v>4.2737509981551991</v>
      </c>
    </row>
    <row r="1402" spans="24:26" x14ac:dyDescent="0.25">
      <c r="X1402" s="137" t="s">
        <v>2055</v>
      </c>
      <c r="Y1402" s="140">
        <v>1</v>
      </c>
      <c r="Z1402" s="141">
        <v>4.3655863828635146</v>
      </c>
    </row>
    <row r="1403" spans="24:26" x14ac:dyDescent="0.25">
      <c r="X1403" s="137" t="s">
        <v>2056</v>
      </c>
      <c r="Y1403" s="140">
        <v>1</v>
      </c>
      <c r="Z1403" s="141">
        <v>4.2739693965126948</v>
      </c>
    </row>
    <row r="1404" spans="24:26" x14ac:dyDescent="0.25">
      <c r="X1404" s="137" t="s">
        <v>2057</v>
      </c>
      <c r="Y1404" s="140">
        <v>1</v>
      </c>
      <c r="Z1404" s="141">
        <v>4.3658094820840008</v>
      </c>
    </row>
    <row r="1405" spans="24:26" x14ac:dyDescent="0.25">
      <c r="X1405" s="137" t="s">
        <v>2058</v>
      </c>
      <c r="Y1405" s="140">
        <v>1</v>
      </c>
      <c r="Z1405" s="141">
        <v>4.2739542988330799</v>
      </c>
    </row>
    <row r="1406" spans="24:26" x14ac:dyDescent="0.25">
      <c r="X1406" s="137" t="s">
        <v>2059</v>
      </c>
      <c r="Y1406" s="140">
        <v>1</v>
      </c>
      <c r="Z1406" s="141">
        <v>4.3657940521150378</v>
      </c>
    </row>
    <row r="1407" spans="24:26" x14ac:dyDescent="0.25">
      <c r="X1407" s="137" t="s">
        <v>2060</v>
      </c>
      <c r="Y1407" s="140">
        <v>1</v>
      </c>
      <c r="Z1407" s="141">
        <v>4.294417818126993</v>
      </c>
    </row>
    <row r="1408" spans="24:26" x14ac:dyDescent="0.25">
      <c r="X1408" s="137" t="s">
        <v>2061</v>
      </c>
      <c r="Y1408" s="140">
        <v>1</v>
      </c>
      <c r="Z1408" s="141">
        <v>4.3866973026015676</v>
      </c>
    </row>
    <row r="1409" spans="24:26" x14ac:dyDescent="0.25">
      <c r="X1409" s="136" t="s">
        <v>132</v>
      </c>
      <c r="Y1409" s="140">
        <v>20</v>
      </c>
      <c r="Z1409" s="141">
        <v>98.560555417988198</v>
      </c>
    </row>
    <row r="1410" spans="24:26" x14ac:dyDescent="0.25">
      <c r="X1410" s="137" t="s">
        <v>1909</v>
      </c>
      <c r="Y1410" s="140">
        <v>1</v>
      </c>
      <c r="Z1410" s="141">
        <v>5.3413450343667703</v>
      </c>
    </row>
    <row r="1411" spans="24:26" x14ac:dyDescent="0.25">
      <c r="X1411" s="137" t="s">
        <v>1910</v>
      </c>
      <c r="Y1411" s="140">
        <v>1</v>
      </c>
      <c r="Z1411" s="141">
        <v>5.0619163369055196</v>
      </c>
    </row>
    <row r="1412" spans="24:26" x14ac:dyDescent="0.25">
      <c r="X1412" s="137" t="s">
        <v>1911</v>
      </c>
      <c r="Y1412" s="140">
        <v>1</v>
      </c>
      <c r="Z1412" s="141">
        <v>7.7879395372468627</v>
      </c>
    </row>
    <row r="1413" spans="24:26" x14ac:dyDescent="0.25">
      <c r="X1413" s="137" t="s">
        <v>1912</v>
      </c>
      <c r="Y1413" s="140">
        <v>1</v>
      </c>
      <c r="Z1413" s="141">
        <v>5.3436905520383347</v>
      </c>
    </row>
    <row r="1414" spans="24:26" x14ac:dyDescent="0.25">
      <c r="X1414" s="137" t="s">
        <v>1913</v>
      </c>
      <c r="Y1414" s="140">
        <v>1</v>
      </c>
      <c r="Z1414" s="141">
        <v>6.8010925807611802</v>
      </c>
    </row>
    <row r="1415" spans="24:26" x14ac:dyDescent="0.25">
      <c r="X1415" s="137" t="s">
        <v>1914</v>
      </c>
      <c r="Y1415" s="140">
        <v>1</v>
      </c>
      <c r="Z1415" s="141">
        <v>5.3436811688971817</v>
      </c>
    </row>
    <row r="1416" spans="24:26" x14ac:dyDescent="0.25">
      <c r="X1416" s="137" t="s">
        <v>1915</v>
      </c>
      <c r="Y1416" s="140">
        <v>1</v>
      </c>
      <c r="Z1416" s="141">
        <v>3.3061098378039628</v>
      </c>
    </row>
    <row r="1417" spans="24:26" x14ac:dyDescent="0.25">
      <c r="X1417" s="137" t="s">
        <v>1916</v>
      </c>
      <c r="Y1417" s="140">
        <v>1</v>
      </c>
      <c r="Z1417" s="141">
        <v>6.3651364713660117</v>
      </c>
    </row>
    <row r="1418" spans="24:26" x14ac:dyDescent="0.25">
      <c r="X1418" s="137" t="s">
        <v>1917</v>
      </c>
      <c r="Y1418" s="140">
        <v>1</v>
      </c>
      <c r="Z1418" s="141">
        <v>6.8424223852945056</v>
      </c>
    </row>
    <row r="1419" spans="24:26" x14ac:dyDescent="0.25">
      <c r="X1419" s="137" t="s">
        <v>1918</v>
      </c>
      <c r="Y1419" s="140">
        <v>1</v>
      </c>
      <c r="Z1419" s="141">
        <v>3.7402551862600939</v>
      </c>
    </row>
    <row r="1420" spans="24:26" x14ac:dyDescent="0.25">
      <c r="X1420" s="137" t="s">
        <v>1919</v>
      </c>
      <c r="Y1420" s="140">
        <v>1</v>
      </c>
      <c r="Z1420" s="141">
        <v>4.9242293235906613</v>
      </c>
    </row>
    <row r="1421" spans="24:26" x14ac:dyDescent="0.25">
      <c r="X1421" s="137" t="s">
        <v>1920</v>
      </c>
      <c r="Y1421" s="140">
        <v>1</v>
      </c>
      <c r="Z1421" s="141">
        <v>3.8888761924917437</v>
      </c>
    </row>
    <row r="1422" spans="24:26" x14ac:dyDescent="0.25">
      <c r="X1422" s="137" t="s">
        <v>1921</v>
      </c>
      <c r="Y1422" s="140">
        <v>1</v>
      </c>
      <c r="Z1422" s="141">
        <v>1.8385611123702861</v>
      </c>
    </row>
    <row r="1423" spans="24:26" x14ac:dyDescent="0.25">
      <c r="X1423" s="137" t="s">
        <v>1922</v>
      </c>
      <c r="Y1423" s="140">
        <v>1</v>
      </c>
      <c r="Z1423" s="141">
        <v>6.5573764528734166</v>
      </c>
    </row>
    <row r="1424" spans="24:26" x14ac:dyDescent="0.25">
      <c r="X1424" s="137" t="s">
        <v>1923</v>
      </c>
      <c r="Y1424" s="140">
        <v>1</v>
      </c>
      <c r="Z1424" s="141">
        <v>3.8888773229664197</v>
      </c>
    </row>
    <row r="1425" spans="24:26" x14ac:dyDescent="0.25">
      <c r="X1425" s="137" t="s">
        <v>1924</v>
      </c>
      <c r="Y1425" s="140">
        <v>1</v>
      </c>
      <c r="Z1425" s="141">
        <v>1.8385611123702861</v>
      </c>
    </row>
    <row r="1426" spans="24:26" x14ac:dyDescent="0.25">
      <c r="X1426" s="137" t="s">
        <v>1925</v>
      </c>
      <c r="Y1426" s="140">
        <v>1</v>
      </c>
      <c r="Z1426" s="141">
        <v>7.8961794252293132</v>
      </c>
    </row>
    <row r="1427" spans="24:26" x14ac:dyDescent="0.25">
      <c r="X1427" s="137" t="s">
        <v>1926</v>
      </c>
      <c r="Y1427" s="140">
        <v>1</v>
      </c>
      <c r="Z1427" s="141">
        <v>5.2722813532426187</v>
      </c>
    </row>
    <row r="1428" spans="24:26" x14ac:dyDescent="0.25">
      <c r="X1428" s="137" t="s">
        <v>1927</v>
      </c>
      <c r="Y1428" s="140">
        <v>1</v>
      </c>
      <c r="Z1428" s="141">
        <v>2.3274547492583073</v>
      </c>
    </row>
    <row r="1429" spans="24:26" x14ac:dyDescent="0.25">
      <c r="X1429" s="137" t="s">
        <v>1928</v>
      </c>
      <c r="Y1429" s="140">
        <v>1</v>
      </c>
      <c r="Z1429" s="141">
        <v>4.1945692826547196</v>
      </c>
    </row>
    <row r="1430" spans="24:26" x14ac:dyDescent="0.25">
      <c r="X1430" s="136" t="s">
        <v>2019</v>
      </c>
      <c r="Y1430" s="140">
        <v>15</v>
      </c>
      <c r="Z1430" s="141"/>
    </row>
    <row r="1431" spans="24:26" x14ac:dyDescent="0.25">
      <c r="X1431" s="137" t="s">
        <v>2020</v>
      </c>
      <c r="Y1431" s="140">
        <v>1</v>
      </c>
      <c r="Z1431" s="141"/>
    </row>
    <row r="1432" spans="24:26" x14ac:dyDescent="0.25">
      <c r="X1432" s="137" t="s">
        <v>2021</v>
      </c>
      <c r="Y1432" s="140">
        <v>1</v>
      </c>
      <c r="Z1432" s="141"/>
    </row>
    <row r="1433" spans="24:26" x14ac:dyDescent="0.25">
      <c r="X1433" s="137" t="s">
        <v>2022</v>
      </c>
      <c r="Y1433" s="140">
        <v>1</v>
      </c>
      <c r="Z1433" s="141"/>
    </row>
    <row r="1434" spans="24:26" x14ac:dyDescent="0.25">
      <c r="X1434" s="137" t="s">
        <v>2023</v>
      </c>
      <c r="Y1434" s="140">
        <v>2</v>
      </c>
      <c r="Z1434" s="141"/>
    </row>
    <row r="1435" spans="24:26" x14ac:dyDescent="0.25">
      <c r="X1435" s="137" t="s">
        <v>2024</v>
      </c>
      <c r="Y1435" s="140">
        <v>2</v>
      </c>
      <c r="Z1435" s="141"/>
    </row>
    <row r="1436" spans="24:26" x14ac:dyDescent="0.25">
      <c r="X1436" s="137" t="s">
        <v>2025</v>
      </c>
      <c r="Y1436" s="140">
        <v>1</v>
      </c>
      <c r="Z1436" s="141"/>
    </row>
    <row r="1437" spans="24:26" x14ac:dyDescent="0.25">
      <c r="X1437" s="137" t="s">
        <v>2026</v>
      </c>
      <c r="Y1437" s="140">
        <v>1</v>
      </c>
      <c r="Z1437" s="141"/>
    </row>
    <row r="1438" spans="24:26" x14ac:dyDescent="0.25">
      <c r="X1438" s="137" t="s">
        <v>2027</v>
      </c>
      <c r="Y1438" s="140">
        <v>1</v>
      </c>
      <c r="Z1438" s="141"/>
    </row>
    <row r="1439" spans="24:26" x14ac:dyDescent="0.25">
      <c r="X1439" s="137" t="s">
        <v>2028</v>
      </c>
      <c r="Y1439" s="140">
        <v>1</v>
      </c>
      <c r="Z1439" s="141"/>
    </row>
    <row r="1440" spans="24:26" x14ac:dyDescent="0.25">
      <c r="X1440" s="137" t="s">
        <v>2029</v>
      </c>
      <c r="Y1440" s="140">
        <v>1</v>
      </c>
      <c r="Z1440" s="141"/>
    </row>
    <row r="1441" spans="24:26" x14ac:dyDescent="0.25">
      <c r="X1441" s="137" t="s">
        <v>2030</v>
      </c>
      <c r="Y1441" s="140">
        <v>1</v>
      </c>
      <c r="Z1441" s="141"/>
    </row>
    <row r="1442" spans="24:26" x14ac:dyDescent="0.25">
      <c r="X1442" s="137" t="s">
        <v>2031</v>
      </c>
      <c r="Y1442" s="140">
        <v>1</v>
      </c>
      <c r="Z1442" s="141"/>
    </row>
    <row r="1443" spans="24:26" x14ac:dyDescent="0.25">
      <c r="X1443" s="137" t="s">
        <v>2032</v>
      </c>
      <c r="Y1443" s="140">
        <v>1</v>
      </c>
      <c r="Z1443" s="141"/>
    </row>
    <row r="1444" spans="24:26" x14ac:dyDescent="0.25">
      <c r="X1444" s="136" t="s">
        <v>209</v>
      </c>
      <c r="Y1444" s="140">
        <v>1423</v>
      </c>
      <c r="Z1444" s="141">
        <v>2539.3827631751601</v>
      </c>
    </row>
  </sheetData>
  <mergeCells count="3">
    <mergeCell ref="A1:W1"/>
    <mergeCell ref="A3:K3"/>
    <mergeCell ref="M3:W3"/>
  </mergeCells>
  <pageMargins left="0.7" right="0.7" top="0.75" bottom="0.75" header="0.3" footer="0.3"/>
  <pageSetup paperSize="9" orientation="portrait" r:id="rId8"/>
  <drawing r:id="rId9"/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usz65">
    <pageSetUpPr fitToPage="1"/>
  </sheetPr>
  <dimension ref="A1:W15"/>
  <sheetViews>
    <sheetView showGridLines="0" zoomScale="70" zoomScaleNormal="70" workbookViewId="0">
      <pane xSplit="5" ySplit="7" topLeftCell="M8" activePane="bottomRight" state="frozen"/>
      <selection activeCell="E33" sqref="E33"/>
      <selection pane="topRight" activeCell="E33" sqref="E33"/>
      <selection pane="bottomLeft" activeCell="E33" sqref="E33"/>
      <selection pane="bottomRight" activeCell="S12" sqref="S12"/>
    </sheetView>
  </sheetViews>
  <sheetFormatPr defaultColWidth="9" defaultRowHeight="15" x14ac:dyDescent="0.25"/>
  <cols>
    <col min="1" max="1" width="5" style="40" customWidth="1"/>
    <col min="2" max="2" width="18.28515625" style="40" customWidth="1"/>
    <col min="3" max="3" width="33" style="40" customWidth="1"/>
    <col min="4" max="4" width="10.42578125" style="40" customWidth="1"/>
    <col min="5" max="5" width="23.5703125" style="40" customWidth="1"/>
    <col min="6" max="6" width="16.140625" style="40" customWidth="1"/>
    <col min="7" max="8" width="19.5703125" style="40" customWidth="1"/>
    <col min="9" max="9" width="25.28515625" style="40" customWidth="1"/>
    <col min="10" max="11" width="10.42578125" style="40" customWidth="1"/>
    <col min="12" max="12" width="19.42578125" style="40" customWidth="1"/>
    <col min="13" max="17" width="14.28515625" style="40" customWidth="1"/>
    <col min="18" max="20" width="20" style="40" customWidth="1"/>
    <col min="21" max="21" width="16.140625" style="40" bestFit="1" customWidth="1"/>
    <col min="22" max="16384" width="9" style="40"/>
  </cols>
  <sheetData>
    <row r="1" spans="1:23" ht="21.75" thickBot="1" x14ac:dyDescent="0.3">
      <c r="D1" s="41" t="s">
        <v>9</v>
      </c>
      <c r="J1" s="41" t="s">
        <v>2070</v>
      </c>
      <c r="K1" s="41"/>
    </row>
    <row r="2" spans="1:23" x14ac:dyDescent="0.25">
      <c r="C2" s="42" t="s">
        <v>10</v>
      </c>
      <c r="D2" s="72">
        <v>1</v>
      </c>
      <c r="E2" s="43">
        <v>44682</v>
      </c>
      <c r="I2" s="97"/>
      <c r="J2" s="98"/>
      <c r="K2" s="99" t="s">
        <v>211</v>
      </c>
      <c r="L2" s="100">
        <v>1</v>
      </c>
      <c r="M2" s="101">
        <v>44593</v>
      </c>
    </row>
    <row r="3" spans="1:23" x14ac:dyDescent="0.25">
      <c r="C3" s="44"/>
      <c r="D3" s="73"/>
      <c r="E3" s="45"/>
      <c r="I3" s="102"/>
      <c r="J3" s="103"/>
      <c r="K3" s="104"/>
      <c r="L3" s="105"/>
      <c r="M3" s="106"/>
    </row>
    <row r="4" spans="1:23" x14ac:dyDescent="0.25">
      <c r="C4" s="46"/>
      <c r="D4" s="73"/>
      <c r="E4" s="45"/>
      <c r="I4" s="102"/>
      <c r="J4" s="103"/>
      <c r="K4" s="104"/>
      <c r="L4" s="105"/>
      <c r="M4" s="106"/>
    </row>
    <row r="5" spans="1:23" ht="15.75" thickBot="1" x14ac:dyDescent="0.3">
      <c r="C5" s="47"/>
      <c r="D5" s="48"/>
      <c r="E5" s="45"/>
      <c r="I5" s="107"/>
      <c r="J5" s="108"/>
      <c r="K5" s="109"/>
      <c r="L5" s="110"/>
      <c r="M5" s="106"/>
      <c r="V5" s="34"/>
      <c r="W5" s="34"/>
    </row>
    <row r="6" spans="1:23" ht="15.75" thickBot="1" x14ac:dyDescent="0.3">
      <c r="A6" s="212" t="s">
        <v>11</v>
      </c>
      <c r="B6" s="213"/>
      <c r="C6" s="213"/>
      <c r="D6" s="213"/>
      <c r="E6" s="213"/>
      <c r="F6" s="214"/>
      <c r="G6" s="215" t="s">
        <v>12</v>
      </c>
      <c r="H6" s="216"/>
      <c r="I6" s="216"/>
      <c r="J6" s="216"/>
      <c r="K6" s="216"/>
      <c r="L6" s="217"/>
      <c r="M6" s="114"/>
      <c r="N6" s="114" t="s">
        <v>76</v>
      </c>
      <c r="O6" s="114"/>
      <c r="P6" s="114"/>
      <c r="Q6" s="114"/>
      <c r="R6" s="218" t="s">
        <v>77</v>
      </c>
      <c r="S6" s="219"/>
      <c r="T6" s="219"/>
      <c r="U6" s="220"/>
      <c r="V6" s="34"/>
      <c r="W6" s="34"/>
    </row>
    <row r="7" spans="1:23" ht="75.75" thickBot="1" x14ac:dyDescent="0.3">
      <c r="A7" s="126" t="s">
        <v>7</v>
      </c>
      <c r="B7" s="127" t="s">
        <v>13</v>
      </c>
      <c r="C7" s="49" t="s">
        <v>5</v>
      </c>
      <c r="D7" s="128" t="s">
        <v>14</v>
      </c>
      <c r="E7" s="128" t="s">
        <v>15</v>
      </c>
      <c r="F7" s="128" t="s">
        <v>74</v>
      </c>
      <c r="G7" s="49" t="s">
        <v>16</v>
      </c>
      <c r="H7" s="49" t="s">
        <v>6</v>
      </c>
      <c r="I7" s="49" t="s">
        <v>210</v>
      </c>
      <c r="J7" s="50" t="s">
        <v>84</v>
      </c>
      <c r="K7" s="51" t="s">
        <v>17</v>
      </c>
      <c r="L7" s="111" t="s">
        <v>78</v>
      </c>
      <c r="M7" s="129" t="s">
        <v>79</v>
      </c>
      <c r="N7" s="130" t="s">
        <v>212</v>
      </c>
      <c r="O7" s="130" t="s">
        <v>213</v>
      </c>
      <c r="P7" s="130" t="s">
        <v>30</v>
      </c>
      <c r="Q7" s="131" t="s">
        <v>214</v>
      </c>
      <c r="R7" s="51" t="s">
        <v>33</v>
      </c>
      <c r="S7" s="51" t="s">
        <v>41</v>
      </c>
      <c r="T7" s="51" t="s">
        <v>24</v>
      </c>
      <c r="U7" s="52" t="s">
        <v>75</v>
      </c>
      <c r="V7" s="34"/>
      <c r="W7" s="34"/>
    </row>
    <row r="8" spans="1:23" ht="31.9" customHeight="1" x14ac:dyDescent="0.25">
      <c r="A8" s="115">
        <v>1</v>
      </c>
      <c r="B8" s="116" t="s">
        <v>2070</v>
      </c>
      <c r="C8" s="117" t="s">
        <v>2071</v>
      </c>
      <c r="D8" s="116">
        <v>1</v>
      </c>
      <c r="E8" s="118">
        <v>44574</v>
      </c>
      <c r="F8" s="119"/>
      <c r="G8" s="92" t="s">
        <v>18</v>
      </c>
      <c r="H8" s="93" t="s">
        <v>4</v>
      </c>
      <c r="I8" s="93" t="s">
        <v>35</v>
      </c>
      <c r="J8" s="95"/>
      <c r="K8" s="94"/>
      <c r="L8" s="112"/>
      <c r="M8" s="120">
        <f>IF(Harm_produkcji[[#This Row],[Planowana data przekazania dokumentacji]]="","",IF(Harm_produkcji[[#This Row],[Miejsce montażu]]="produkcja",WORKDAY(VLOOKUP(Harm_produkcji[[#This Row],[Budynek]],$L$2:$M$5,2,FALSE),0),WORKDAY(VLOOKUP(Harm_produkcji[[#This Row],[Budynek]],$D$2:$E$5,2,FALSE),0)))</f>
        <v>44593</v>
      </c>
      <c r="N8" s="121">
        <f>IF(Harm_produkcji[[#This Row],[Planowana data przekazania dokumentacji]]="","",NETWORKDAYS(Harm_produkcji[[#This Row],[Planowana data przekazania dokumentacji]],Harm_produkcji[[#This Row],[Data wymagalności]]))</f>
        <v>14</v>
      </c>
      <c r="O8" s="121">
        <f ca="1">IF(Harm_produkcji[[#This Row],[Planowana data przekazania dokumentacji]]="","",IF(Harm_produkcji[[#This Row],[Status]]&lt;&gt;"zakończone",NETWORKDAYS(TODAY(),Harm_produkcji[[#This Row],[Data wymagalności]]),""))</f>
        <v>-13</v>
      </c>
      <c r="P8" s="122"/>
      <c r="Q8" s="123" t="str">
        <f ca="1">IF(AND(Harm_produkcji[[#This Row],[ilość dni roboczych pozostałych do wymagalności]]&lt;30,Harm_produkcji[[#This Row],[Status]]&lt;&gt;"zakończone",Harm_produkcji[[#This Row],[Miejsce montażu]]="budowa"),"zagrożenie",IF(AND(Harm_produkcji[[#This Row],[ilość dni roboczych pozostałych do wymagalności]]&lt;3,Harm_produkcji[[#This Row],[Status]]&lt;&gt;"zakończone",Harm_produkcji[[#This Row],[Miejsce montażu]]="produkcja"),"zagrożenie",""))</f>
        <v>zagrożenie</v>
      </c>
      <c r="R8" s="124" t="str">
        <f>VLOOKUP(Harm_produkcji[[#This Row],[Miejsce wykonania]],listy_wyboru[],2,0)</f>
        <v>Bilewski</v>
      </c>
      <c r="S8" s="93" t="s">
        <v>43</v>
      </c>
      <c r="T8" s="125"/>
      <c r="U8" s="123"/>
      <c r="V8" s="34"/>
      <c r="W8" s="34"/>
    </row>
    <row r="9" spans="1:23" ht="31.9" customHeight="1" x14ac:dyDescent="0.25">
      <c r="A9" s="66">
        <v>2</v>
      </c>
      <c r="B9" s="67" t="s">
        <v>2070</v>
      </c>
      <c r="C9" s="68" t="s">
        <v>2072</v>
      </c>
      <c r="D9" s="67">
        <v>1</v>
      </c>
      <c r="E9" s="65">
        <v>44581</v>
      </c>
      <c r="F9" s="119"/>
      <c r="G9" s="90" t="s">
        <v>29</v>
      </c>
      <c r="H9" s="57" t="s">
        <v>4</v>
      </c>
      <c r="I9" s="93" t="s">
        <v>35</v>
      </c>
      <c r="J9" s="96"/>
      <c r="K9" s="55"/>
      <c r="L9" s="113"/>
      <c r="M9" s="89">
        <f>IF(Harm_produkcji[[#This Row],[Planowana data przekazania dokumentacji]]="","",IF(Harm_produkcji[[#This Row],[Miejsce montażu]]="produkcja",WORKDAY(VLOOKUP(Harm_produkcji[[#This Row],[Budynek]],$L$2:$M$5,2,FALSE),0),WORKDAY(VLOOKUP(Harm_produkcji[[#This Row],[Budynek]],$D$2:$E$5,2,FALSE),0)))</f>
        <v>44593</v>
      </c>
      <c r="N9" s="56">
        <f>IF(Harm_produkcji[[#This Row],[Planowana data przekazania dokumentacji]]="","",NETWORKDAYS(Harm_produkcji[[#This Row],[Planowana data przekazania dokumentacji]],Harm_produkcji[[#This Row],[Data wymagalności]]))</f>
        <v>9</v>
      </c>
      <c r="O9" s="56" t="str">
        <f ca="1">IF(Harm_produkcji[[#This Row],[Planowana data przekazania dokumentacji]]="","",IF(Harm_produkcji[[#This Row],[Status]]&lt;&gt;"zakończone",NETWORKDAYS(TODAY(),Harm_produkcji[[#This Row],[Data wymagalności]]),""))</f>
        <v/>
      </c>
      <c r="P9" s="91"/>
      <c r="Q9" s="53" t="str">
        <f ca="1">IF(AND(Harm_produkcji[[#This Row],[ilość dni roboczych pozostałych do wymagalności]]&lt;30,Harm_produkcji[[#This Row],[Status]]&lt;&gt;"zakończone",Harm_produkcji[[#This Row],[Miejsce montażu]]="budowa"),"zagrożenie",IF(AND(Harm_produkcji[[#This Row],[ilość dni roboczych pozostałych do wymagalności]]&lt;3,Harm_produkcji[[#This Row],[Status]]&lt;&gt;"zakończone",Harm_produkcji[[#This Row],[Miejsce montażu]]="produkcja"),"zagrożenie",""))</f>
        <v/>
      </c>
      <c r="R9" s="88" t="str">
        <f>VLOOKUP(Harm_produkcji[[#This Row],[Miejsce wykonania]],listy_wyboru[],2,0)</f>
        <v>Ziniewicz</v>
      </c>
      <c r="S9" s="93" t="s">
        <v>44</v>
      </c>
      <c r="T9" s="58">
        <v>44596</v>
      </c>
      <c r="U9" s="53"/>
    </row>
    <row r="10" spans="1:23" ht="31.9" customHeight="1" x14ac:dyDescent="0.25">
      <c r="A10" s="69">
        <v>3</v>
      </c>
      <c r="B10" s="67" t="s">
        <v>2070</v>
      </c>
      <c r="C10" s="68" t="s">
        <v>2073</v>
      </c>
      <c r="D10" s="70">
        <v>1</v>
      </c>
      <c r="E10" s="65">
        <v>44581</v>
      </c>
      <c r="F10" s="119"/>
      <c r="G10" s="90" t="s">
        <v>29</v>
      </c>
      <c r="H10" s="57" t="s">
        <v>4</v>
      </c>
      <c r="I10" s="93" t="s">
        <v>35</v>
      </c>
      <c r="J10" s="96"/>
      <c r="K10" s="55"/>
      <c r="L10" s="113"/>
      <c r="M10" s="89">
        <f>IF(Harm_produkcji[[#This Row],[Planowana data przekazania dokumentacji]]="","",IF(Harm_produkcji[[#This Row],[Miejsce montażu]]="produkcja",WORKDAY(VLOOKUP(Harm_produkcji[[#This Row],[Budynek]],$L$2:$M$5,2,FALSE),0),WORKDAY(VLOOKUP(Harm_produkcji[[#This Row],[Budynek]],$D$2:$E$5,2,FALSE),0)))</f>
        <v>44593</v>
      </c>
      <c r="N10" s="56">
        <f>IF(Harm_produkcji[[#This Row],[Planowana data przekazania dokumentacji]]="","",NETWORKDAYS(Harm_produkcji[[#This Row],[Planowana data przekazania dokumentacji]],Harm_produkcji[[#This Row],[Data wymagalności]]))</f>
        <v>9</v>
      </c>
      <c r="O10" s="56" t="str">
        <f ca="1">IF(Harm_produkcji[[#This Row],[Planowana data przekazania dokumentacji]]="","",IF(Harm_produkcji[[#This Row],[Status]]&lt;&gt;"zakończone",NETWORKDAYS(TODAY(),Harm_produkcji[[#This Row],[Data wymagalności]]),""))</f>
        <v/>
      </c>
      <c r="P10" s="91"/>
      <c r="Q10" s="53" t="str">
        <f ca="1">IF(AND(Harm_produkcji[[#This Row],[ilość dni roboczych pozostałych do wymagalności]]&lt;30,Harm_produkcji[[#This Row],[Status]]&lt;&gt;"zakończone",Harm_produkcji[[#This Row],[Miejsce montażu]]="budowa"),"zagrożenie",IF(AND(Harm_produkcji[[#This Row],[ilość dni roboczych pozostałych do wymagalności]]&lt;3,Harm_produkcji[[#This Row],[Status]]&lt;&gt;"zakończone",Harm_produkcji[[#This Row],[Miejsce montażu]]="produkcja"),"zagrożenie",""))</f>
        <v/>
      </c>
      <c r="R10" s="88" t="str">
        <f>VLOOKUP(Harm_produkcji[[#This Row],[Miejsce wykonania]],listy_wyboru[],2,0)</f>
        <v>Ziniewicz</v>
      </c>
      <c r="S10" s="93" t="s">
        <v>44</v>
      </c>
      <c r="T10" s="58">
        <v>44609</v>
      </c>
      <c r="U10" s="53"/>
    </row>
    <row r="11" spans="1:23" ht="38.1" customHeight="1" x14ac:dyDescent="0.25">
      <c r="A11" s="66">
        <v>4</v>
      </c>
      <c r="B11" s="67" t="s">
        <v>2070</v>
      </c>
      <c r="C11" s="68" t="s">
        <v>2074</v>
      </c>
      <c r="D11" s="70">
        <v>1</v>
      </c>
      <c r="E11" s="65">
        <v>44587</v>
      </c>
      <c r="F11" s="119"/>
      <c r="G11" s="90" t="s">
        <v>29</v>
      </c>
      <c r="H11" s="57" t="s">
        <v>4</v>
      </c>
      <c r="I11" s="93" t="s">
        <v>35</v>
      </c>
      <c r="J11" s="96"/>
      <c r="K11" s="55"/>
      <c r="L11" s="113"/>
      <c r="M11" s="89">
        <f>IF(Harm_produkcji[[#This Row],[Planowana data przekazania dokumentacji]]="","",IF(Harm_produkcji[[#This Row],[Miejsce montażu]]="produkcja",WORKDAY(VLOOKUP(Harm_produkcji[[#This Row],[Budynek]],$L$2:$M$5,2,FALSE),0),WORKDAY(VLOOKUP(Harm_produkcji[[#This Row],[Budynek]],$D$2:$E$5,2,FALSE),0)))</f>
        <v>44593</v>
      </c>
      <c r="N11" s="56">
        <f>IF(Harm_produkcji[[#This Row],[Planowana data przekazania dokumentacji]]="","",NETWORKDAYS(Harm_produkcji[[#This Row],[Planowana data przekazania dokumentacji]],Harm_produkcji[[#This Row],[Data wymagalności]]))</f>
        <v>5</v>
      </c>
      <c r="O11" s="56" t="str">
        <f ca="1">IF(Harm_produkcji[[#This Row],[Planowana data przekazania dokumentacji]]="","",IF(Harm_produkcji[[#This Row],[Status]]&lt;&gt;"zakończone",NETWORKDAYS(TODAY(),Harm_produkcji[[#This Row],[Data wymagalności]]),""))</f>
        <v/>
      </c>
      <c r="P11" s="91"/>
      <c r="Q11" s="53" t="str">
        <f ca="1">IF(AND(Harm_produkcji[[#This Row],[ilość dni roboczych pozostałych do wymagalności]]&lt;30,Harm_produkcji[[#This Row],[Status]]&lt;&gt;"zakończone",Harm_produkcji[[#This Row],[Miejsce montażu]]="budowa"),"zagrożenie",IF(AND(Harm_produkcji[[#This Row],[ilość dni roboczych pozostałych do wymagalności]]&lt;3,Harm_produkcji[[#This Row],[Status]]&lt;&gt;"zakończone",Harm_produkcji[[#This Row],[Miejsce montażu]]="produkcja"),"zagrożenie",""))</f>
        <v/>
      </c>
      <c r="R11" s="88" t="str">
        <f>VLOOKUP(Harm_produkcji[[#This Row],[Miejsce wykonania]],listy_wyboru[],2,0)</f>
        <v>Ziniewicz</v>
      </c>
      <c r="S11" s="93" t="s">
        <v>44</v>
      </c>
      <c r="T11" s="58">
        <v>44596</v>
      </c>
      <c r="U11" s="53"/>
    </row>
    <row r="12" spans="1:23" ht="27.2" customHeight="1" x14ac:dyDescent="0.25">
      <c r="A12" s="66">
        <v>5</v>
      </c>
      <c r="B12" s="67" t="s">
        <v>2070</v>
      </c>
      <c r="C12" s="71" t="s">
        <v>2075</v>
      </c>
      <c r="D12" s="70">
        <v>1</v>
      </c>
      <c r="E12" s="65">
        <v>44589</v>
      </c>
      <c r="F12" s="119"/>
      <c r="G12" s="90" t="s">
        <v>29</v>
      </c>
      <c r="H12" s="57" t="s">
        <v>4</v>
      </c>
      <c r="I12" s="93" t="s">
        <v>35</v>
      </c>
      <c r="J12" s="96"/>
      <c r="K12" s="55"/>
      <c r="L12" s="113"/>
      <c r="M12" s="89">
        <f>IF(Harm_produkcji[[#This Row],[Planowana data przekazania dokumentacji]]="","",IF(Harm_produkcji[[#This Row],[Miejsce montażu]]="produkcja",WORKDAY(VLOOKUP(Harm_produkcji[[#This Row],[Budynek]],$L$2:$M$5,2,FALSE),0),WORKDAY(VLOOKUP(Harm_produkcji[[#This Row],[Budynek]],$D$2:$E$5,2,FALSE),0)))</f>
        <v>44593</v>
      </c>
      <c r="N12" s="56">
        <f>IF(Harm_produkcji[[#This Row],[Planowana data przekazania dokumentacji]]="","",NETWORKDAYS(Harm_produkcji[[#This Row],[Planowana data przekazania dokumentacji]],Harm_produkcji[[#This Row],[Data wymagalności]]))</f>
        <v>3</v>
      </c>
      <c r="O12" s="56">
        <f ca="1">IF(Harm_produkcji[[#This Row],[Planowana data przekazania dokumentacji]]="","",IF(Harm_produkcji[[#This Row],[Status]]&lt;&gt;"zakończone",NETWORKDAYS(TODAY(),Harm_produkcji[[#This Row],[Data wymagalności]]),""))</f>
        <v>-13</v>
      </c>
      <c r="P12" s="91"/>
      <c r="Q12" s="53" t="str">
        <f ca="1">IF(AND(Harm_produkcji[[#This Row],[ilość dni roboczych pozostałych do wymagalności]]&lt;30,Harm_produkcji[[#This Row],[Status]]&lt;&gt;"zakończone",Harm_produkcji[[#This Row],[Miejsce montażu]]="budowa"),"zagrożenie",IF(AND(Harm_produkcji[[#This Row],[ilość dni roboczych pozostałych do wymagalności]]&lt;3,Harm_produkcji[[#This Row],[Status]]&lt;&gt;"zakończone",Harm_produkcji[[#This Row],[Miejsce montażu]]="produkcja"),"zagrożenie",""))</f>
        <v>zagrożenie</v>
      </c>
      <c r="R12" s="88" t="str">
        <f>VLOOKUP(Harm_produkcji[[#This Row],[Miejsce wykonania]],listy_wyboru[],2,0)</f>
        <v>Ziniewicz</v>
      </c>
      <c r="S12" s="93" t="s">
        <v>42</v>
      </c>
      <c r="T12" s="57"/>
      <c r="U12" s="53"/>
    </row>
    <row r="13" spans="1:23" ht="27.2" customHeight="1" x14ac:dyDescent="0.25">
      <c r="A13" s="66">
        <v>6</v>
      </c>
      <c r="B13" s="67" t="s">
        <v>2070</v>
      </c>
      <c r="C13" s="68" t="s">
        <v>2076</v>
      </c>
      <c r="D13" s="70">
        <v>1</v>
      </c>
      <c r="E13" s="65">
        <v>44589</v>
      </c>
      <c r="F13" s="119"/>
      <c r="G13" s="54" t="s">
        <v>18</v>
      </c>
      <c r="H13" s="57" t="s">
        <v>4</v>
      </c>
      <c r="I13" s="93" t="s">
        <v>35</v>
      </c>
      <c r="J13" s="96"/>
      <c r="K13" s="55"/>
      <c r="L13" s="112"/>
      <c r="M13" s="89">
        <f>IF(Harm_produkcji[[#This Row],[Planowana data przekazania dokumentacji]]="","",IF(Harm_produkcji[[#This Row],[Miejsce montażu]]="produkcja",WORKDAY(VLOOKUP(Harm_produkcji[[#This Row],[Budynek]],$L$2:$M$5,2,FALSE),0),WORKDAY(VLOOKUP(Harm_produkcji[[#This Row],[Budynek]],$D$2:$E$5,2,FALSE),0)))</f>
        <v>44593</v>
      </c>
      <c r="N13" s="56">
        <f>IF(Harm_produkcji[[#This Row],[Planowana data przekazania dokumentacji]]="","",NETWORKDAYS(Harm_produkcji[[#This Row],[Planowana data przekazania dokumentacji]],Harm_produkcji[[#This Row],[Data wymagalności]]))</f>
        <v>3</v>
      </c>
      <c r="O13" s="56">
        <f ca="1">IF(Harm_produkcji[[#This Row],[Planowana data przekazania dokumentacji]]="","",IF(Harm_produkcji[[#This Row],[Status]]&lt;&gt;"zakończone",NETWORKDAYS(TODAY(),Harm_produkcji[[#This Row],[Data wymagalności]]),""))</f>
        <v>-13</v>
      </c>
      <c r="P13" s="91"/>
      <c r="Q13" s="53" t="str">
        <f ca="1">IF(AND(Harm_produkcji[[#This Row],[ilość dni roboczych pozostałych do wymagalności]]&lt;30,Harm_produkcji[[#This Row],[Status]]&lt;&gt;"zakończone",Harm_produkcji[[#This Row],[Miejsce montażu]]="budowa"),"zagrożenie",IF(AND(Harm_produkcji[[#This Row],[ilość dni roboczych pozostałych do wymagalności]]&lt;3,Harm_produkcji[[#This Row],[Status]]&lt;&gt;"zakończone",Harm_produkcji[[#This Row],[Miejsce montażu]]="produkcja"),"zagrożenie",""))</f>
        <v>zagrożenie</v>
      </c>
      <c r="R13" s="88" t="str">
        <f>VLOOKUP(Harm_produkcji[[#This Row],[Miejsce wykonania]],listy_wyboru[],2,0)</f>
        <v>Bilewski</v>
      </c>
      <c r="S13" s="93" t="s">
        <v>42</v>
      </c>
      <c r="T13" s="58"/>
      <c r="U13" s="53"/>
    </row>
    <row r="14" spans="1:23" ht="33.950000000000003" customHeight="1" x14ac:dyDescent="0.25">
      <c r="A14" s="66">
        <v>7</v>
      </c>
      <c r="B14" s="67" t="s">
        <v>2070</v>
      </c>
      <c r="C14" s="71" t="s">
        <v>2077</v>
      </c>
      <c r="D14" s="70">
        <v>1</v>
      </c>
      <c r="E14" s="65">
        <v>44607</v>
      </c>
      <c r="F14" s="119" t="s">
        <v>2078</v>
      </c>
      <c r="G14" s="54" t="s">
        <v>29</v>
      </c>
      <c r="H14" s="57" t="s">
        <v>4</v>
      </c>
      <c r="I14" s="93" t="s">
        <v>35</v>
      </c>
      <c r="J14" s="96"/>
      <c r="K14" s="55"/>
      <c r="L14" s="113"/>
      <c r="M14" s="89">
        <f>IF(Harm_produkcji[[#This Row],[Planowana data przekazania dokumentacji]]="","",IF(Harm_produkcji[[#This Row],[Miejsce montażu]]="produkcja",WORKDAY(VLOOKUP(Harm_produkcji[[#This Row],[Budynek]],$L$2:$M$5,2,FALSE),0),WORKDAY(VLOOKUP(Harm_produkcji[[#This Row],[Budynek]],$D$2:$E$5,2,FALSE),0)))</f>
        <v>44593</v>
      </c>
      <c r="N14" s="56">
        <f>IF(Harm_produkcji[[#This Row],[Planowana data przekazania dokumentacji]]="","",NETWORKDAYS(Harm_produkcji[[#This Row],[Planowana data przekazania dokumentacji]],Harm_produkcji[[#This Row],[Data wymagalności]]))</f>
        <v>-11</v>
      </c>
      <c r="O14" s="56">
        <f ca="1">IF(Harm_produkcji[[#This Row],[Planowana data przekazania dokumentacji]]="","",IF(Harm_produkcji[[#This Row],[Status]]&lt;&gt;"zakończone",NETWORKDAYS(TODAY(),Harm_produkcji[[#This Row],[Data wymagalności]]),""))</f>
        <v>-13</v>
      </c>
      <c r="P14" s="91"/>
      <c r="Q14" s="53" t="str">
        <f ca="1">IF(AND(Harm_produkcji[[#This Row],[ilość dni roboczych pozostałych do wymagalności]]&lt;30,Harm_produkcji[[#This Row],[Status]]&lt;&gt;"zakończone",Harm_produkcji[[#This Row],[Miejsce montażu]]="budowa"),"zagrożenie",IF(AND(Harm_produkcji[[#This Row],[ilość dni roboczych pozostałych do wymagalności]]&lt;3,Harm_produkcji[[#This Row],[Status]]&lt;&gt;"zakończone",Harm_produkcji[[#This Row],[Miejsce montażu]]="produkcja"),"zagrożenie",""))</f>
        <v>zagrożenie</v>
      </c>
      <c r="R14" s="88" t="str">
        <f>VLOOKUP(Harm_produkcji[[#This Row],[Miejsce wykonania]],listy_wyboru[],2,0)</f>
        <v>Ziniewicz</v>
      </c>
      <c r="S14" s="93" t="s">
        <v>42</v>
      </c>
      <c r="T14" s="57"/>
      <c r="U14" s="53"/>
    </row>
    <row r="15" spans="1:23" ht="15.75" x14ac:dyDescent="0.25">
      <c r="A15" s="59"/>
      <c r="B15" s="59"/>
      <c r="C15" s="60"/>
      <c r="D15" s="59"/>
      <c r="E15" s="61"/>
      <c r="F15" s="62"/>
      <c r="G15" s="63"/>
      <c r="H15" s="63"/>
      <c r="I15" s="63"/>
      <c r="J15" s="64"/>
      <c r="K15" s="64"/>
      <c r="L15" s="62"/>
      <c r="M15" s="62"/>
      <c r="N15" s="62"/>
      <c r="O15" s="62"/>
      <c r="P15" s="62"/>
      <c r="Q15" s="62"/>
      <c r="R15" s="63"/>
      <c r="S15" s="63"/>
      <c r="T15" s="63"/>
      <c r="U15" s="62"/>
    </row>
  </sheetData>
  <mergeCells count="3">
    <mergeCell ref="A6:F6"/>
    <mergeCell ref="G6:L6"/>
    <mergeCell ref="R6:U6"/>
  </mergeCells>
  <phoneticPr fontId="13" type="noConversion"/>
  <conditionalFormatting sqref="G8:I15 R8:T15">
    <cfRule type="cellIs" dxfId="207" priority="45" operator="equal">
      <formula>"produkcja / Weinman"</formula>
    </cfRule>
    <cfRule type="cellIs" dxfId="206" priority="46" operator="equal">
      <formula>"podwykonawca"</formula>
    </cfRule>
    <cfRule type="cellIs" dxfId="205" priority="48" operator="equal">
      <formula>"produkcja / el. zewn."</formula>
    </cfRule>
  </conditionalFormatting>
  <conditionalFormatting sqref="G8:I15 R8:T15">
    <cfRule type="cellIs" dxfId="204" priority="47" operator="equal">
      <formula>"produkcja / stolarnia"</formula>
    </cfRule>
  </conditionalFormatting>
  <conditionalFormatting sqref="G8:I15 R8:T15">
    <cfRule type="cellIs" dxfId="203" priority="44" operator="equal">
      <formula>"produkcja / stropy"</formula>
    </cfRule>
  </conditionalFormatting>
  <conditionalFormatting sqref="E8:E15">
    <cfRule type="cellIs" dxfId="202" priority="32" operator="lessThan">
      <formula>TODAY()</formula>
    </cfRule>
    <cfRule type="cellIs" dxfId="201" priority="33" operator="greaterThan">
      <formula>TODAY()</formula>
    </cfRule>
  </conditionalFormatting>
  <conditionalFormatting sqref="S8:S14">
    <cfRule type="cellIs" dxfId="200" priority="25" operator="equal">
      <formula>"nierozpoczęte"</formula>
    </cfRule>
    <cfRule type="cellIs" dxfId="199" priority="26" operator="equal">
      <formula>"zakończone"</formula>
    </cfRule>
    <cfRule type="cellIs" dxfId="198" priority="27" operator="equal">
      <formula>"rozpoczęte"</formula>
    </cfRule>
  </conditionalFormatting>
  <conditionalFormatting sqref="G8:G14">
    <cfRule type="cellIs" dxfId="197" priority="1" operator="equal">
      <formula>"produkcja / ściany"</formula>
    </cfRule>
  </conditionalFormatting>
  <pageMargins left="0.62992125984251968" right="0.62992125984251968" top="0.74803149606299213" bottom="0.74803149606299213" header="0.31496062992125984" footer="0.31496062992125984"/>
  <pageSetup paperSize="9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000-000000000000}">
          <x14:formula1>
            <xm:f>OFFSET('listy wyboru'!$A$2,0,0,COUNTA('listy wyboru'!$A$2:$A$18),1)</xm:f>
          </x14:formula1>
          <xm:sqref>G8:G14</xm:sqref>
        </x14:dataValidation>
        <x14:dataValidation type="list" allowBlank="1" showInputMessage="1" showErrorMessage="1" xr:uid="{00000000-0002-0000-1000-000001000000}">
          <x14:formula1>
            <xm:f>OFFSET('listy wyboru'!$C$2,0,0,COUNTA('listy wyboru'!$C$2:$C$18),1)</xm:f>
          </x14:formula1>
          <xm:sqref>S8:S14</xm:sqref>
        </x14:dataValidation>
        <x14:dataValidation type="list" allowBlank="1" showInputMessage="1" showErrorMessage="1" xr:uid="{00000000-0002-0000-1000-000002000000}">
          <x14:formula1>
            <xm:f>OFFSET('listy wyboru'!$F$2,0,0,COUNTA('listy wyboru'!$F$2:$F$18),1)</xm:f>
          </x14:formula1>
          <xm:sqref>H8:H14</xm:sqref>
        </x14:dataValidation>
        <x14:dataValidation type="list" allowBlank="1" showInputMessage="1" showErrorMessage="1" xr:uid="{00000000-0002-0000-1000-000003000000}">
          <x14:formula1>
            <xm:f>OFFSET('listy wyboru'!$D$2,0,0,COUNTA('listy wyboru'!$D$2:$D$18),1)</xm:f>
          </x14:formula1>
          <xm:sqref>I8:I14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usz6"/>
  <dimension ref="A1:O9"/>
  <sheetViews>
    <sheetView workbookViewId="0">
      <selection activeCell="N2" sqref="N2"/>
    </sheetView>
  </sheetViews>
  <sheetFormatPr defaultRowHeight="15" x14ac:dyDescent="0.25"/>
  <cols>
    <col min="1" max="1" width="19.5703125" bestFit="1" customWidth="1"/>
    <col min="2" max="2" width="17.28515625" bestFit="1" customWidth="1"/>
    <col min="3" max="3" width="20.42578125" bestFit="1" customWidth="1"/>
    <col min="4" max="4" width="16.7109375" bestFit="1" customWidth="1"/>
    <col min="5" max="5" width="17.28515625" bestFit="1" customWidth="1"/>
    <col min="6" max="6" width="17.5703125" bestFit="1" customWidth="1"/>
    <col min="10" max="10" width="18.42578125" bestFit="1" customWidth="1"/>
    <col min="11" max="11" width="16.140625" customWidth="1"/>
    <col min="12" max="12" width="20.42578125" bestFit="1" customWidth="1"/>
    <col min="13" max="13" width="16.42578125" bestFit="1" customWidth="1"/>
    <col min="14" max="14" width="15" bestFit="1" customWidth="1"/>
    <col min="15" max="15" width="15.42578125" bestFit="1" customWidth="1"/>
  </cols>
  <sheetData>
    <row r="1" spans="1:15" x14ac:dyDescent="0.25">
      <c r="A1" t="s">
        <v>16</v>
      </c>
      <c r="B1" t="s">
        <v>33</v>
      </c>
      <c r="C1" t="s">
        <v>41</v>
      </c>
      <c r="D1" t="s">
        <v>210</v>
      </c>
      <c r="E1" t="s">
        <v>215</v>
      </c>
      <c r="F1" t="s">
        <v>6</v>
      </c>
      <c r="J1" s="132" t="s">
        <v>16</v>
      </c>
      <c r="K1" s="133" t="s">
        <v>33</v>
      </c>
      <c r="L1" s="133" t="s">
        <v>41</v>
      </c>
      <c r="M1" s="133" t="s">
        <v>210</v>
      </c>
      <c r="N1" s="133" t="s">
        <v>215</v>
      </c>
      <c r="O1" s="134" t="s">
        <v>6</v>
      </c>
    </row>
    <row r="2" spans="1:15" x14ac:dyDescent="0.25">
      <c r="A2" t="s">
        <v>18</v>
      </c>
      <c r="B2" t="s">
        <v>36</v>
      </c>
      <c r="C2" t="s">
        <v>42</v>
      </c>
      <c r="D2" t="s">
        <v>216</v>
      </c>
      <c r="E2" t="s">
        <v>217</v>
      </c>
      <c r="F2" t="s">
        <v>4</v>
      </c>
      <c r="J2" t="str" cm="1">
        <f t="array" aca="1" ref="J2:J9" ca="1">OFFSET('listy wyboru'!$A$2,0,0,COUNTA('listy wyboru'!$A$2:$A$18),1)</f>
        <v>produkcja / stolarnia</v>
      </c>
      <c r="K2" t="str" cm="1">
        <f t="array" aca="1" ref="K2:K9" ca="1">OFFSET('listy wyboru'!$B$2,0,0,COUNTA('listy wyboru'!$B$2:$B$18),1)</f>
        <v>Bilewski</v>
      </c>
      <c r="L2" t="str" cm="1">
        <f t="array" aca="1" ref="L2:L6" ca="1">OFFSET('listy wyboru'!$C$2,0,0,COUNTA('listy wyboru'!$C$2:$C$18),1)</f>
        <v>nierozpoczęte</v>
      </c>
      <c r="M2" t="str" cm="1">
        <f t="array" aca="1" ref="M2:M8" ca="1">OFFSET('listy wyboru'!$D$2,0,0,COUNTA('listy wyboru'!$D$2:$D$18),1)</f>
        <v>Dąb - Gaj</v>
      </c>
      <c r="N2" t="str" cm="1">
        <f t="array" aca="1" ref="N2:N5" ca="1">OFFSET('listy wyboru'!$E$2,0,0,COUNTA('listy wyboru'!$E$2:$E$18),1)</f>
        <v>Weinmann</v>
      </c>
      <c r="O2" t="str" cm="1">
        <f t="array" aca="1" ref="O2:O4" ca="1">OFFSET('listy wyboru'!$F$2,0,0,COUNTA('listy wyboru'!$F$2:$F$18),1)</f>
        <v>produkcja</v>
      </c>
    </row>
    <row r="3" spans="1:15" x14ac:dyDescent="0.25">
      <c r="A3" t="s">
        <v>29</v>
      </c>
      <c r="B3" t="s">
        <v>37</v>
      </c>
      <c r="C3" t="s">
        <v>218</v>
      </c>
      <c r="D3" t="s">
        <v>219</v>
      </c>
      <c r="E3" t="s">
        <v>220</v>
      </c>
      <c r="F3" t="s">
        <v>3</v>
      </c>
      <c r="J3" t="str">
        <f ca="1"/>
        <v>produkcja / el. zewn.</v>
      </c>
      <c r="K3" t="str">
        <f ca="1"/>
        <v>Ziniewicz</v>
      </c>
      <c r="L3" t="str">
        <f ca="1"/>
        <v>przekazane do realizacji</v>
      </c>
      <c r="M3" t="str">
        <f ca="1"/>
        <v>Tom-Bud, Fom-Bud</v>
      </c>
      <c r="N3" t="str">
        <f ca="1"/>
        <v>Mobi One</v>
      </c>
      <c r="O3" t="str">
        <f ca="1"/>
        <v>budowa</v>
      </c>
    </row>
    <row r="4" spans="1:15" x14ac:dyDescent="0.25">
      <c r="A4" t="s">
        <v>28</v>
      </c>
      <c r="B4" t="s">
        <v>38</v>
      </c>
      <c r="C4" t="s">
        <v>43</v>
      </c>
      <c r="D4" t="s">
        <v>221</v>
      </c>
      <c r="E4" t="s">
        <v>205</v>
      </c>
      <c r="F4" t="s">
        <v>35</v>
      </c>
      <c r="J4" t="str">
        <f ca="1"/>
        <v>podwykonawca</v>
      </c>
      <c r="K4" t="str">
        <f ca="1"/>
        <v>Kierownik Projektu</v>
      </c>
      <c r="L4" t="str">
        <f ca="1"/>
        <v>rozpoczęte</v>
      </c>
      <c r="M4" t="str">
        <f ca="1"/>
        <v>Tom-Bud</v>
      </c>
      <c r="N4" t="str">
        <f ca="1"/>
        <v>Stolarnia</v>
      </c>
      <c r="O4" t="str">
        <f ca="1"/>
        <v>-</v>
      </c>
    </row>
    <row r="5" spans="1:15" x14ac:dyDescent="0.25">
      <c r="A5" t="s">
        <v>27</v>
      </c>
      <c r="B5" t="s">
        <v>37</v>
      </c>
      <c r="C5" t="s">
        <v>44</v>
      </c>
      <c r="D5" t="s">
        <v>222</v>
      </c>
      <c r="E5" t="s">
        <v>35</v>
      </c>
      <c r="J5" t="str">
        <f ca="1"/>
        <v>produkcja / stropy</v>
      </c>
      <c r="K5" t="str">
        <f ca="1"/>
        <v>Ziniewicz</v>
      </c>
      <c r="L5" t="str">
        <f ca="1"/>
        <v>zakończone</v>
      </c>
      <c r="M5" t="str">
        <f ca="1"/>
        <v>Fom-Bud</v>
      </c>
      <c r="N5" t="str">
        <f ca="1"/>
        <v>-</v>
      </c>
    </row>
    <row r="6" spans="1:15" x14ac:dyDescent="0.25">
      <c r="A6" t="s">
        <v>2016</v>
      </c>
      <c r="B6" t="s">
        <v>39</v>
      </c>
      <c r="C6" t="s">
        <v>35</v>
      </c>
      <c r="D6" t="s">
        <v>83</v>
      </c>
      <c r="J6" t="str">
        <f ca="1"/>
        <v>produkcja / ściany</v>
      </c>
      <c r="K6" t="str">
        <f ca="1"/>
        <v>Sacharczuk</v>
      </c>
      <c r="L6" t="str">
        <f ca="1"/>
        <v>-</v>
      </c>
      <c r="M6" t="str">
        <f ca="1"/>
        <v>MK Format</v>
      </c>
    </row>
    <row r="7" spans="1:15" x14ac:dyDescent="0.25">
      <c r="A7" t="s">
        <v>45</v>
      </c>
      <c r="B7" t="s">
        <v>39</v>
      </c>
      <c r="D7" t="s">
        <v>2017</v>
      </c>
      <c r="J7" t="str">
        <f ca="1"/>
        <v>produkcja / moduły</v>
      </c>
      <c r="K7" t="str">
        <f ca="1"/>
        <v>Sacharczuk</v>
      </c>
      <c r="M7" t="str">
        <f ca="1"/>
        <v>Izumrud</v>
      </c>
    </row>
    <row r="8" spans="1:15" x14ac:dyDescent="0.25">
      <c r="A8" t="s">
        <v>223</v>
      </c>
      <c r="B8" t="s">
        <v>224</v>
      </c>
      <c r="D8" t="s">
        <v>35</v>
      </c>
      <c r="J8" t="str">
        <f ca="1"/>
        <v>zamawia budowa</v>
      </c>
      <c r="K8" t="str">
        <f ca="1"/>
        <v>Kierownik Kontraktu</v>
      </c>
      <c r="M8" t="str">
        <f ca="1"/>
        <v>-</v>
      </c>
    </row>
    <row r="9" spans="1:15" x14ac:dyDescent="0.25">
      <c r="A9" t="s">
        <v>35</v>
      </c>
      <c r="B9" t="s">
        <v>35</v>
      </c>
      <c r="J9" t="str">
        <f ca="1"/>
        <v>-</v>
      </c>
      <c r="K9" t="str">
        <f ca="1"/>
        <v>-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usz14"/>
  <dimension ref="A1:AA11"/>
  <sheetViews>
    <sheetView zoomScale="70" zoomScaleNormal="70" workbookViewId="0">
      <pane ySplit="5" topLeftCell="A6" activePane="bottomLeft" state="frozen"/>
      <selection pane="bottomLeft" activeCell="P46" sqref="P46"/>
    </sheetView>
  </sheetViews>
  <sheetFormatPr defaultColWidth="9" defaultRowHeight="15" x14ac:dyDescent="0.25"/>
  <cols>
    <col min="1" max="1" width="5.28515625" style="12" customWidth="1"/>
    <col min="2" max="2" width="16.140625" style="12" customWidth="1"/>
    <col min="3" max="3" width="13.7109375" style="12" customWidth="1"/>
    <col min="4" max="4" width="7.140625" style="12" customWidth="1"/>
    <col min="5" max="5" width="6.7109375" style="12" customWidth="1"/>
    <col min="6" max="7" width="13" style="12" customWidth="1"/>
    <col min="8" max="8" width="12" style="12" customWidth="1"/>
    <col min="9" max="9" width="15.5703125" style="12" customWidth="1"/>
    <col min="10" max="10" width="14.85546875" style="12" customWidth="1"/>
    <col min="11" max="11" width="5.42578125" style="12" customWidth="1"/>
    <col min="12" max="12" width="14.85546875" style="12" bestFit="1" customWidth="1"/>
    <col min="13" max="13" width="15.5703125" style="12" customWidth="1"/>
    <col min="14" max="14" width="10.140625" style="12" bestFit="1" customWidth="1"/>
    <col min="15" max="15" width="9.28515625" style="12" customWidth="1"/>
    <col min="16" max="17" width="12.7109375" style="12" customWidth="1"/>
    <col min="18" max="18" width="18.140625" style="12" customWidth="1"/>
    <col min="19" max="19" width="13.7109375" style="12" customWidth="1"/>
    <col min="20" max="20" width="10" style="12" customWidth="1"/>
    <col min="21" max="21" width="8.5703125" style="12" customWidth="1"/>
    <col min="22" max="22" width="9.85546875" style="12" customWidth="1"/>
    <col min="23" max="23" width="10.140625" style="12" customWidth="1"/>
    <col min="24" max="24" width="11.7109375" style="12" bestFit="1" customWidth="1"/>
    <col min="25" max="26" width="8.85546875" style="12" customWidth="1"/>
    <col min="27" max="27" width="9.42578125" style="12" customWidth="1"/>
    <col min="28" max="28" width="9.140625" style="12" customWidth="1"/>
    <col min="29" max="16384" width="9" style="12"/>
  </cols>
  <sheetData>
    <row r="1" spans="1:27" ht="31.5" x14ac:dyDescent="0.5">
      <c r="I1" s="13" t="s">
        <v>227</v>
      </c>
      <c r="N1" s="13"/>
      <c r="O1" s="14"/>
      <c r="R1" s="13" t="s">
        <v>2070</v>
      </c>
    </row>
    <row r="2" spans="1:27" ht="15.75" thickBot="1" x14ac:dyDescent="0.3">
      <c r="F2" s="15" t="s">
        <v>46</v>
      </c>
      <c r="G2" s="15"/>
      <c r="O2" s="12" t="s">
        <v>47</v>
      </c>
      <c r="R2" s="16"/>
      <c r="S2" s="16"/>
      <c r="T2" s="16"/>
      <c r="U2" s="16" t="s">
        <v>48</v>
      </c>
      <c r="W2" s="16"/>
      <c r="X2" s="16"/>
      <c r="Y2" s="16"/>
      <c r="Z2" s="16"/>
      <c r="AA2" s="16" t="s">
        <v>49</v>
      </c>
    </row>
    <row r="3" spans="1:27" ht="40.700000000000003" customHeight="1" thickBot="1" x14ac:dyDescent="0.3">
      <c r="A3" s="17" t="s">
        <v>50</v>
      </c>
      <c r="F3" s="18" t="s">
        <v>51</v>
      </c>
      <c r="G3" s="18"/>
      <c r="N3" s="19" t="s">
        <v>52</v>
      </c>
      <c r="O3" s="20">
        <f>_xlfn.AGGREGATE(9,3,Harm_sciany[Powierzchnia brutto])</f>
        <v>0</v>
      </c>
      <c r="P3" s="21" t="s">
        <v>53</v>
      </c>
      <c r="Q3" s="21">
        <v>86</v>
      </c>
      <c r="R3" s="22"/>
      <c r="S3" s="22"/>
      <c r="T3" s="22"/>
      <c r="U3" s="22">
        <f>SUM(R3:T3)</f>
        <v>0</v>
      </c>
      <c r="V3" s="21" t="s">
        <v>54</v>
      </c>
      <c r="W3" s="23">
        <v>140</v>
      </c>
      <c r="X3" s="23"/>
      <c r="Y3" s="23"/>
      <c r="Z3" s="23"/>
      <c r="AA3" s="23">
        <f>SUM(W3:Z3)</f>
        <v>140</v>
      </c>
    </row>
    <row r="4" spans="1:27" x14ac:dyDescent="0.25">
      <c r="F4" s="12" t="s">
        <v>55</v>
      </c>
      <c r="O4" s="12" t="s">
        <v>56</v>
      </c>
      <c r="R4" s="21" t="s">
        <v>57</v>
      </c>
      <c r="S4" s="24"/>
      <c r="T4" s="24"/>
      <c r="U4" s="24"/>
    </row>
    <row r="5" spans="1:27" ht="86.25" customHeight="1" x14ac:dyDescent="0.25">
      <c r="A5" s="25" t="s">
        <v>34</v>
      </c>
      <c r="B5" s="25" t="s">
        <v>25</v>
      </c>
      <c r="C5" s="25" t="s">
        <v>22</v>
      </c>
      <c r="D5" s="25" t="s">
        <v>58</v>
      </c>
      <c r="E5" s="25" t="s">
        <v>59</v>
      </c>
      <c r="F5" s="25" t="s">
        <v>24</v>
      </c>
      <c r="G5" s="25" t="s">
        <v>215</v>
      </c>
      <c r="H5" s="25" t="s">
        <v>60</v>
      </c>
      <c r="I5" s="25" t="s">
        <v>40</v>
      </c>
      <c r="J5" s="25" t="s">
        <v>61</v>
      </c>
      <c r="K5" s="25" t="s">
        <v>14</v>
      </c>
      <c r="L5" s="25" t="s">
        <v>32</v>
      </c>
      <c r="M5" s="25" t="s">
        <v>62</v>
      </c>
      <c r="N5" s="25" t="s">
        <v>23</v>
      </c>
      <c r="O5" s="25" t="s">
        <v>63</v>
      </c>
      <c r="P5" s="25" t="s">
        <v>64</v>
      </c>
      <c r="Q5" s="25" t="s">
        <v>65</v>
      </c>
      <c r="R5" s="25" t="s">
        <v>66</v>
      </c>
      <c r="S5" s="25" t="s">
        <v>67</v>
      </c>
      <c r="T5" s="25" t="s">
        <v>68</v>
      </c>
      <c r="U5" s="25" t="s">
        <v>69</v>
      </c>
      <c r="V5" s="25" t="s">
        <v>70</v>
      </c>
      <c r="W5" s="25" t="s">
        <v>21</v>
      </c>
      <c r="X5" s="25" t="s">
        <v>1</v>
      </c>
      <c r="Y5" s="25" t="s">
        <v>2</v>
      </c>
      <c r="Z5" s="25" t="s">
        <v>71</v>
      </c>
      <c r="AA5" s="25" t="s">
        <v>20</v>
      </c>
    </row>
    <row r="6" spans="1:27" x14ac:dyDescent="0.25">
      <c r="B6" s="26"/>
      <c r="C6" s="26"/>
      <c r="D6" s="149">
        <f t="shared" ref="D6:D9" si="0">C6</f>
        <v>0</v>
      </c>
      <c r="E6" s="150">
        <f t="shared" ref="E6:E9" si="1">$C6</f>
        <v>0</v>
      </c>
      <c r="F6" s="26"/>
      <c r="G6" s="26"/>
      <c r="H6" s="26"/>
      <c r="I6" s="26" t="str">
        <f t="shared" ref="I6:I9" si="2">IF(F6&lt;&gt;0,"WYKONANE","NIEWYKONANE")</f>
        <v>NIEWYKONANE</v>
      </c>
      <c r="K6" s="1"/>
      <c r="L6" s="1"/>
      <c r="M6" s="27" t="str">
        <f t="shared" ref="M6:M10" si="3">RIGHT($L6,8)</f>
        <v/>
      </c>
      <c r="N6" s="27"/>
      <c r="O6" s="28"/>
      <c r="P6" s="27"/>
      <c r="Q6" s="27"/>
      <c r="R6" s="29"/>
      <c r="S6" s="27"/>
      <c r="T6"/>
      <c r="U6"/>
      <c r="V6"/>
      <c r="W6"/>
      <c r="X6"/>
      <c r="Y6"/>
      <c r="Z6" s="153"/>
      <c r="AA6"/>
    </row>
    <row r="7" spans="1:27" x14ac:dyDescent="0.25">
      <c r="B7" s="26"/>
      <c r="C7" s="26"/>
      <c r="D7" s="149">
        <f t="shared" si="0"/>
        <v>0</v>
      </c>
      <c r="E7" s="150">
        <f t="shared" si="1"/>
        <v>0</v>
      </c>
      <c r="F7" s="26"/>
      <c r="G7" s="26"/>
      <c r="H7" s="26"/>
      <c r="I7" s="26" t="str">
        <f t="shared" si="2"/>
        <v>NIEWYKONANE</v>
      </c>
      <c r="K7" s="1"/>
      <c r="L7" s="1"/>
      <c r="M7" s="27" t="str">
        <f t="shared" si="3"/>
        <v/>
      </c>
      <c r="N7" s="27"/>
      <c r="O7" s="28"/>
      <c r="P7" s="27"/>
      <c r="Q7" s="27"/>
      <c r="R7" s="29"/>
      <c r="S7" s="27"/>
      <c r="T7"/>
      <c r="U7"/>
      <c r="V7"/>
      <c r="W7"/>
      <c r="X7"/>
      <c r="Y7"/>
      <c r="Z7" s="153"/>
      <c r="AA7"/>
    </row>
    <row r="8" spans="1:27" x14ac:dyDescent="0.25">
      <c r="B8" s="26"/>
      <c r="C8" s="26"/>
      <c r="D8" s="149">
        <f t="shared" si="0"/>
        <v>0</v>
      </c>
      <c r="E8" s="150">
        <f t="shared" si="1"/>
        <v>0</v>
      </c>
      <c r="F8" s="26"/>
      <c r="G8" s="26"/>
      <c r="H8" s="26"/>
      <c r="I8" s="26" t="str">
        <f t="shared" si="2"/>
        <v>NIEWYKONANE</v>
      </c>
      <c r="K8" s="1"/>
      <c r="L8" s="1"/>
      <c r="M8" s="27" t="str">
        <f t="shared" si="3"/>
        <v/>
      </c>
      <c r="N8" s="27"/>
      <c r="O8" s="28"/>
      <c r="P8" s="27"/>
      <c r="Q8" s="27"/>
      <c r="R8" s="29"/>
      <c r="S8" s="27"/>
      <c r="T8"/>
      <c r="U8"/>
      <c r="V8"/>
      <c r="W8"/>
      <c r="X8"/>
      <c r="Y8"/>
      <c r="Z8" s="153"/>
      <c r="AA8"/>
    </row>
    <row r="9" spans="1:27" x14ac:dyDescent="0.25">
      <c r="B9" s="26"/>
      <c r="C9" s="26"/>
      <c r="D9" s="149">
        <f t="shared" si="0"/>
        <v>0</v>
      </c>
      <c r="E9" s="150">
        <f t="shared" si="1"/>
        <v>0</v>
      </c>
      <c r="F9" s="26"/>
      <c r="G9" s="26"/>
      <c r="H9" s="26"/>
      <c r="I9" s="26" t="str">
        <f t="shared" si="2"/>
        <v>NIEWYKONANE</v>
      </c>
      <c r="K9" s="1"/>
      <c r="L9" s="1"/>
      <c r="M9" s="27" t="str">
        <f t="shared" si="3"/>
        <v/>
      </c>
      <c r="N9" s="27"/>
      <c r="O9" s="28"/>
      <c r="P9" s="27"/>
      <c r="Q9" s="27"/>
      <c r="R9" s="29"/>
      <c r="S9" s="27"/>
      <c r="T9"/>
      <c r="U9"/>
      <c r="V9"/>
      <c r="W9"/>
      <c r="X9"/>
      <c r="Y9"/>
      <c r="Z9" s="153"/>
      <c r="AA9"/>
    </row>
    <row r="10" spans="1:27" x14ac:dyDescent="0.25">
      <c r="B10" s="26"/>
      <c r="C10" s="26"/>
      <c r="D10" s="161">
        <f t="shared" ref="D10" si="4">C10</f>
        <v>0</v>
      </c>
      <c r="E10" s="162">
        <f t="shared" ref="E10" si="5">$C10</f>
        <v>0</v>
      </c>
      <c r="F10" s="152"/>
      <c r="G10" s="26"/>
      <c r="H10" s="152"/>
      <c r="I10" s="152" t="str">
        <f t="shared" ref="I10" si="6">IF(F10&lt;&gt;0,"WYKONANE","NIEWYKONANE")</f>
        <v>NIEWYKONANE</v>
      </c>
      <c r="J10"/>
      <c r="K10" s="1"/>
      <c r="L10" s="1"/>
      <c r="M10" s="27" t="str">
        <f t="shared" si="3"/>
        <v/>
      </c>
      <c r="N10" s="151"/>
      <c r="O10" s="28"/>
      <c r="P10" s="27"/>
      <c r="Q10" s="151"/>
      <c r="R10" s="163"/>
      <c r="S10" s="151"/>
      <c r="T10"/>
      <c r="U10"/>
      <c r="V10"/>
      <c r="W10"/>
      <c r="X10"/>
      <c r="Y10"/>
      <c r="Z10"/>
      <c r="AA10"/>
    </row>
    <row r="11" spans="1:27" x14ac:dyDescent="0.25">
      <c r="Z11" s="154">
        <f>SUBTOTAL(109,Harm_sciany[pow. netto])</f>
        <v>0</v>
      </c>
      <c r="AA11" s="12">
        <f>SUBTOTAL(109,Harm_sciany[Powierzchnia brutto])</f>
        <v>0</v>
      </c>
    </row>
  </sheetData>
  <conditionalFormatting sqref="U6:U10">
    <cfRule type="cellIs" dxfId="171" priority="3" operator="greaterThan">
      <formula>4000</formula>
    </cfRule>
  </conditionalFormatting>
  <conditionalFormatting sqref="I6:J10">
    <cfRule type="cellIs" dxfId="170" priority="1" operator="equal">
      <formula>"Wykonane"</formula>
    </cfRule>
    <cfRule type="cellIs" dxfId="169" priority="2" operator="equal">
      <formula>"Niewykonane"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8</xdr:col>
                    <xdr:colOff>0</xdr:colOff>
                    <xdr:row>1</xdr:row>
                    <xdr:rowOff>28575</xdr:rowOff>
                  </from>
                  <to>
                    <xdr:col>9</xdr:col>
                    <xdr:colOff>1000125</xdr:colOff>
                    <xdr:row>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 sizeWithCells="1">
                  <from>
                    <xdr:col>10</xdr:col>
                    <xdr:colOff>123825</xdr:colOff>
                    <xdr:row>1</xdr:row>
                    <xdr:rowOff>9525</xdr:rowOff>
                  </from>
                  <to>
                    <xdr:col>13</xdr:col>
                    <xdr:colOff>333375</xdr:colOff>
                    <xdr:row>2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200-000000000000}">
          <x14:formula1>
            <xm:f>OFFSET('listy wyboru'!$E$2,0,0,COUNTA('listy wyboru'!$E$2:$E$18),1)</xm:f>
          </x14:formula1>
          <xm:sqref>G6:G10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Arkusz3"/>
  <dimension ref="A1:P205"/>
  <sheetViews>
    <sheetView tabSelected="1" zoomScale="85" zoomScaleNormal="85" workbookViewId="0">
      <pane ySplit="1" topLeftCell="A2" activePane="bottomLeft" state="frozen"/>
      <selection pane="bottomLeft" activeCell="P30" sqref="P30"/>
    </sheetView>
  </sheetViews>
  <sheetFormatPr defaultRowHeight="15" x14ac:dyDescent="0.25"/>
  <cols>
    <col min="1" max="1" width="21.42578125" bestFit="1" customWidth="1"/>
    <col min="2" max="2" width="8.42578125" style="7" customWidth="1"/>
    <col min="3" max="3" width="38.140625" style="7" customWidth="1"/>
    <col min="4" max="4" width="9.42578125" customWidth="1"/>
    <col min="5" max="5" width="9.85546875" style="7" customWidth="1"/>
    <col min="6" max="6" width="7.85546875" style="8" bestFit="1" customWidth="1"/>
    <col min="7" max="7" width="5.85546875" style="7" bestFit="1" customWidth="1"/>
    <col min="8" max="9" width="6.42578125" style="7" customWidth="1"/>
    <col min="10" max="10" width="14" style="7" customWidth="1"/>
    <col min="11" max="11" width="12.42578125" style="7" customWidth="1"/>
    <col min="12" max="12" width="13.42578125" style="9" customWidth="1"/>
    <col min="13" max="13" width="14.5703125" style="7" customWidth="1"/>
    <col min="14" max="14" width="12.42578125" customWidth="1"/>
    <col min="15" max="15" width="14" style="7" customWidth="1"/>
    <col min="16" max="16" width="14.5703125" style="7" customWidth="1"/>
  </cols>
  <sheetData>
    <row r="1" spans="1:16" ht="63.2" customHeight="1" x14ac:dyDescent="0.25">
      <c r="A1" s="3" t="s">
        <v>32</v>
      </c>
      <c r="B1" s="4" t="s">
        <v>19</v>
      </c>
      <c r="C1" s="3" t="s">
        <v>5</v>
      </c>
      <c r="D1" s="3" t="s">
        <v>14</v>
      </c>
      <c r="E1" s="3" t="s">
        <v>0</v>
      </c>
      <c r="F1" s="176" t="s">
        <v>21</v>
      </c>
      <c r="G1" s="176" t="s">
        <v>1</v>
      </c>
      <c r="H1" s="176" t="s">
        <v>2</v>
      </c>
      <c r="I1" s="176" t="s">
        <v>20</v>
      </c>
      <c r="J1" s="5" t="s">
        <v>31</v>
      </c>
      <c r="K1" s="3" t="s">
        <v>25</v>
      </c>
      <c r="L1" s="6" t="s">
        <v>26</v>
      </c>
      <c r="M1" s="3" t="s">
        <v>22</v>
      </c>
      <c r="N1" s="3" t="s">
        <v>24</v>
      </c>
      <c r="O1" s="3" t="s">
        <v>40</v>
      </c>
      <c r="P1" s="3" t="s">
        <v>23</v>
      </c>
    </row>
    <row r="2" spans="1:16" x14ac:dyDescent="0.25">
      <c r="A2" s="173" t="s">
        <v>2085</v>
      </c>
      <c r="B2" s="171">
        <v>1</v>
      </c>
      <c r="C2" s="86" t="s">
        <v>1160</v>
      </c>
      <c r="D2" s="173" t="s">
        <v>2058</v>
      </c>
      <c r="E2" s="173" t="s">
        <v>2121</v>
      </c>
      <c r="F2" s="171">
        <v>164</v>
      </c>
      <c r="G2" s="171">
        <v>3460</v>
      </c>
      <c r="H2" s="182">
        <v>637</v>
      </c>
      <c r="I2" s="171">
        <v>2.162504636005814</v>
      </c>
      <c r="J2" s="179">
        <v>44582</v>
      </c>
      <c r="K2" s="180">
        <v>44581</v>
      </c>
      <c r="L2" s="180">
        <v>44581</v>
      </c>
      <c r="M2" s="180">
        <v>44585</v>
      </c>
      <c r="N2" s="11">
        <v>44607</v>
      </c>
      <c r="O2" s="10" t="str">
        <f>IF(Harm_el_zewn[[#This Row],[Data wykonania]]&lt;&gt;0,"WYKONANE","NIEWYKONANE")</f>
        <v>WYKONANE</v>
      </c>
      <c r="P2" s="8"/>
    </row>
    <row r="3" spans="1:16" x14ac:dyDescent="0.25">
      <c r="A3" s="173" t="s">
        <v>2086</v>
      </c>
      <c r="B3" s="171">
        <v>2</v>
      </c>
      <c r="C3" s="86" t="s">
        <v>1160</v>
      </c>
      <c r="D3" s="173" t="s">
        <v>2058</v>
      </c>
      <c r="E3" s="173" t="s">
        <v>2121</v>
      </c>
      <c r="F3" s="171">
        <v>164</v>
      </c>
      <c r="G3" s="171">
        <v>3460</v>
      </c>
      <c r="H3" s="182">
        <v>637</v>
      </c>
      <c r="I3" s="171">
        <v>2.162504636005814</v>
      </c>
      <c r="J3" s="179">
        <v>44582</v>
      </c>
      <c r="K3" s="180">
        <v>44581</v>
      </c>
      <c r="L3" s="180">
        <v>44581</v>
      </c>
      <c r="M3" s="180">
        <v>44585</v>
      </c>
      <c r="N3" s="11">
        <v>44607</v>
      </c>
      <c r="O3" s="10" t="str">
        <f>IF(Harm_el_zewn[[#This Row],[Data wykonania]]&lt;&gt;0,"WYKONANE","NIEWYKONANE")</f>
        <v>WYKONANE</v>
      </c>
      <c r="P3" s="8"/>
    </row>
    <row r="4" spans="1:16" hidden="1" x14ac:dyDescent="0.25">
      <c r="A4" s="173" t="s">
        <v>2087</v>
      </c>
      <c r="B4" s="171">
        <v>3</v>
      </c>
      <c r="C4" s="86" t="s">
        <v>1160</v>
      </c>
      <c r="D4" s="173" t="s">
        <v>2058</v>
      </c>
      <c r="E4" s="173" t="s">
        <v>2121</v>
      </c>
      <c r="F4" s="171">
        <v>164</v>
      </c>
      <c r="G4" s="171">
        <v>5260</v>
      </c>
      <c r="H4" s="182">
        <v>637</v>
      </c>
      <c r="I4" s="171">
        <v>3.2875173225947214</v>
      </c>
      <c r="J4" s="179">
        <v>44582</v>
      </c>
      <c r="K4" s="180">
        <v>44581</v>
      </c>
      <c r="L4" s="180">
        <v>44581</v>
      </c>
      <c r="M4" s="180">
        <v>44585</v>
      </c>
      <c r="N4" s="209">
        <v>44622</v>
      </c>
      <c r="O4" s="11" t="str">
        <f>IF(Harm_el_zewn[[#This Row],[Data wykonania]]&lt;&gt;0,"WYKONANE","NIEWYKONANE")</f>
        <v>WYKONANE</v>
      </c>
      <c r="P4" s="8"/>
    </row>
    <row r="5" spans="1:16" hidden="1" x14ac:dyDescent="0.25">
      <c r="A5" s="173" t="s">
        <v>2088</v>
      </c>
      <c r="B5" s="171">
        <v>4</v>
      </c>
      <c r="C5" s="86" t="s">
        <v>1160</v>
      </c>
      <c r="D5" s="173" t="s">
        <v>2058</v>
      </c>
      <c r="E5" s="173" t="s">
        <v>2121</v>
      </c>
      <c r="F5" s="171">
        <v>164</v>
      </c>
      <c r="G5" s="171">
        <v>5260</v>
      </c>
      <c r="H5" s="182">
        <v>637</v>
      </c>
      <c r="I5" s="171">
        <v>3.2875173225947214</v>
      </c>
      <c r="J5" s="179">
        <v>44582</v>
      </c>
      <c r="K5" s="180">
        <v>44581</v>
      </c>
      <c r="L5" s="180">
        <v>44581</v>
      </c>
      <c r="M5" s="180">
        <v>44585</v>
      </c>
      <c r="N5" s="11">
        <v>44589</v>
      </c>
      <c r="O5" s="11" t="str">
        <f>IF(Harm_el_zewn[[#This Row],[Data wykonania]]&lt;&gt;0,"WYKONANE","NIEWYKONANE")</f>
        <v>WYKONANE</v>
      </c>
      <c r="P5" s="8"/>
    </row>
    <row r="6" spans="1:16" hidden="1" x14ac:dyDescent="0.25">
      <c r="A6" s="174" t="s">
        <v>2089</v>
      </c>
      <c r="B6" s="172">
        <v>5</v>
      </c>
      <c r="C6" s="175" t="s">
        <v>1160</v>
      </c>
      <c r="D6" s="174" t="s">
        <v>2058</v>
      </c>
      <c r="E6" s="174" t="s">
        <v>2121</v>
      </c>
      <c r="F6" s="177">
        <v>164</v>
      </c>
      <c r="G6" s="177">
        <v>5285</v>
      </c>
      <c r="H6" s="172">
        <v>637</v>
      </c>
      <c r="I6" s="178">
        <v>3.1349998025838555</v>
      </c>
      <c r="J6" s="180">
        <v>44582</v>
      </c>
      <c r="K6" s="180">
        <v>44581</v>
      </c>
      <c r="L6" s="180">
        <v>44581</v>
      </c>
      <c r="M6" s="180">
        <v>44585</v>
      </c>
      <c r="N6" s="209">
        <v>44622</v>
      </c>
      <c r="O6" s="170" t="str">
        <f>IF(Harm_el_zewn[[#This Row],[Data wykonania]]&lt;&gt;0,"WYKONANE","NIEWYKONANE")</f>
        <v>WYKONANE</v>
      </c>
      <c r="P6" s="8"/>
    </row>
    <row r="7" spans="1:16" x14ac:dyDescent="0.25">
      <c r="A7" s="174" t="s">
        <v>2090</v>
      </c>
      <c r="B7" s="172">
        <v>6</v>
      </c>
      <c r="C7" s="175" t="s">
        <v>1160</v>
      </c>
      <c r="D7" s="174" t="s">
        <v>2058</v>
      </c>
      <c r="E7" s="174" t="s">
        <v>2121</v>
      </c>
      <c r="F7" s="177">
        <v>164</v>
      </c>
      <c r="G7" s="177">
        <v>3460</v>
      </c>
      <c r="H7" s="172">
        <v>637</v>
      </c>
      <c r="I7" s="178">
        <v>2.1625046360526894</v>
      </c>
      <c r="J7" s="180">
        <v>44582</v>
      </c>
      <c r="K7" s="180">
        <v>44581</v>
      </c>
      <c r="L7" s="180">
        <v>44581</v>
      </c>
      <c r="M7" s="180">
        <v>44585</v>
      </c>
      <c r="N7" s="181">
        <v>44607</v>
      </c>
      <c r="O7" s="170" t="str">
        <f>IF(Harm_el_zewn[[#This Row],[Data wykonania]]&lt;&gt;0,"WYKONANE","NIEWYKONANE")</f>
        <v>WYKONANE</v>
      </c>
      <c r="P7" s="8"/>
    </row>
    <row r="8" spans="1:16" x14ac:dyDescent="0.25">
      <c r="A8" s="174" t="s">
        <v>2091</v>
      </c>
      <c r="B8" s="172">
        <v>7</v>
      </c>
      <c r="C8" s="175" t="s">
        <v>1160</v>
      </c>
      <c r="D8" s="174" t="s">
        <v>2058</v>
      </c>
      <c r="E8" s="174" t="s">
        <v>2121</v>
      </c>
      <c r="F8" s="177">
        <v>164</v>
      </c>
      <c r="G8" s="177">
        <v>3460</v>
      </c>
      <c r="H8" s="172">
        <v>637</v>
      </c>
      <c r="I8" s="178">
        <v>2.1625046360526894</v>
      </c>
      <c r="J8" s="180">
        <v>44582</v>
      </c>
      <c r="K8" s="180">
        <v>44581</v>
      </c>
      <c r="L8" s="180">
        <v>44581</v>
      </c>
      <c r="M8" s="180">
        <v>44585</v>
      </c>
      <c r="N8" s="181">
        <v>44607</v>
      </c>
      <c r="O8" s="170" t="str">
        <f>IF(Harm_el_zewn[[#This Row],[Data wykonania]]&lt;&gt;0,"WYKONANE","NIEWYKONANE")</f>
        <v>WYKONANE</v>
      </c>
      <c r="P8" s="8"/>
    </row>
    <row r="9" spans="1:16" hidden="1" x14ac:dyDescent="0.25">
      <c r="A9" s="174" t="s">
        <v>2092</v>
      </c>
      <c r="B9" s="172">
        <v>8</v>
      </c>
      <c r="C9" s="175" t="s">
        <v>1160</v>
      </c>
      <c r="D9" s="174" t="s">
        <v>2058</v>
      </c>
      <c r="E9" s="174" t="s">
        <v>2121</v>
      </c>
      <c r="F9" s="177">
        <v>164</v>
      </c>
      <c r="G9" s="177">
        <v>2228</v>
      </c>
      <c r="H9" s="172">
        <v>637</v>
      </c>
      <c r="I9" s="178">
        <v>1.3922656368084634</v>
      </c>
      <c r="J9" s="180">
        <v>44582</v>
      </c>
      <c r="K9" s="180">
        <v>44581</v>
      </c>
      <c r="L9" s="180">
        <v>44581</v>
      </c>
      <c r="M9" s="180">
        <v>44585</v>
      </c>
      <c r="N9" s="181">
        <v>44622</v>
      </c>
      <c r="O9" s="170" t="str">
        <f>IF(Harm_el_zewn[[#This Row],[Data wykonania]]&lt;&gt;0,"WYKONANE","NIEWYKONANE")</f>
        <v>WYKONANE</v>
      </c>
      <c r="P9" s="8"/>
    </row>
    <row r="10" spans="1:16" hidden="1" x14ac:dyDescent="0.25">
      <c r="A10" s="174" t="s">
        <v>2093</v>
      </c>
      <c r="B10" s="172">
        <v>9</v>
      </c>
      <c r="C10" s="175" t="s">
        <v>1160</v>
      </c>
      <c r="D10" s="174" t="s">
        <v>2058</v>
      </c>
      <c r="E10" s="174" t="s">
        <v>2121</v>
      </c>
      <c r="F10" s="177">
        <v>164</v>
      </c>
      <c r="G10" s="177">
        <v>2814</v>
      </c>
      <c r="H10" s="172">
        <v>637</v>
      </c>
      <c r="I10" s="178">
        <v>1.7588355224948042</v>
      </c>
      <c r="J10" s="180">
        <v>44582</v>
      </c>
      <c r="K10" s="180">
        <v>44581</v>
      </c>
      <c r="L10" s="180">
        <v>44581</v>
      </c>
      <c r="M10" s="180">
        <v>44585</v>
      </c>
      <c r="N10" s="209">
        <v>44622</v>
      </c>
      <c r="O10" s="170" t="str">
        <f>IF(Harm_el_zewn[[#This Row],[Data wykonania]]&lt;&gt;0,"WYKONANE","NIEWYKONANE")</f>
        <v>WYKONANE</v>
      </c>
      <c r="P10" s="8"/>
    </row>
    <row r="11" spans="1:16" hidden="1" x14ac:dyDescent="0.25">
      <c r="A11" s="174" t="s">
        <v>2094</v>
      </c>
      <c r="B11" s="172">
        <v>10</v>
      </c>
      <c r="C11" s="175" t="s">
        <v>1160</v>
      </c>
      <c r="D11" s="174" t="s">
        <v>2058</v>
      </c>
      <c r="E11" s="174" t="s">
        <v>2121</v>
      </c>
      <c r="F11" s="177">
        <v>164</v>
      </c>
      <c r="G11" s="177">
        <v>5292</v>
      </c>
      <c r="H11" s="172">
        <v>637</v>
      </c>
      <c r="I11" s="178">
        <v>3.1397049156941668</v>
      </c>
      <c r="J11" s="180">
        <v>44582</v>
      </c>
      <c r="K11" s="180">
        <v>44581</v>
      </c>
      <c r="L11" s="180">
        <v>44581</v>
      </c>
      <c r="M11" s="180">
        <v>44585</v>
      </c>
      <c r="N11" s="209">
        <v>44622</v>
      </c>
      <c r="O11" s="170" t="str">
        <f>IF(Harm_el_zewn[[#This Row],[Data wykonania]]&lt;&gt;0,"WYKONANE","NIEWYKONANE")</f>
        <v>WYKONANE</v>
      </c>
      <c r="P11" s="8"/>
    </row>
    <row r="12" spans="1:16" hidden="1" x14ac:dyDescent="0.25">
      <c r="A12" s="174" t="s">
        <v>2095</v>
      </c>
      <c r="B12" s="172">
        <v>11</v>
      </c>
      <c r="C12" s="175" t="s">
        <v>1160</v>
      </c>
      <c r="D12" s="174" t="s">
        <v>2058</v>
      </c>
      <c r="E12" s="174" t="s">
        <v>2121</v>
      </c>
      <c r="F12" s="177">
        <v>164</v>
      </c>
      <c r="G12" s="177">
        <v>5280</v>
      </c>
      <c r="H12" s="172">
        <v>637</v>
      </c>
      <c r="I12" s="178">
        <v>3.2159420761913431</v>
      </c>
      <c r="J12" s="180">
        <v>44582</v>
      </c>
      <c r="K12" s="180">
        <v>44581</v>
      </c>
      <c r="L12" s="180">
        <v>44581</v>
      </c>
      <c r="M12" s="180">
        <v>44585</v>
      </c>
      <c r="N12" s="209">
        <v>44622</v>
      </c>
      <c r="O12" s="170" t="str">
        <f>IF(Harm_el_zewn[[#This Row],[Data wykonania]]&lt;&gt;0,"WYKONANE","NIEWYKONANE")</f>
        <v>WYKONANE</v>
      </c>
      <c r="P12" s="8"/>
    </row>
    <row r="13" spans="1:16" hidden="1" x14ac:dyDescent="0.25">
      <c r="A13" s="174" t="s">
        <v>2096</v>
      </c>
      <c r="B13" s="172">
        <v>12</v>
      </c>
      <c r="C13" s="175" t="s">
        <v>1160</v>
      </c>
      <c r="D13" s="174" t="s">
        <v>2058</v>
      </c>
      <c r="E13" s="174" t="s">
        <v>2121</v>
      </c>
      <c r="F13" s="177">
        <v>164</v>
      </c>
      <c r="G13" s="177">
        <v>5260</v>
      </c>
      <c r="H13" s="172">
        <v>637</v>
      </c>
      <c r="I13" s="178">
        <v>3.2875173225947214</v>
      </c>
      <c r="J13" s="180">
        <v>44582</v>
      </c>
      <c r="K13" s="180">
        <v>44581</v>
      </c>
      <c r="L13" s="180">
        <v>44581</v>
      </c>
      <c r="M13" s="180">
        <v>44585</v>
      </c>
      <c r="N13" s="170">
        <v>44589</v>
      </c>
      <c r="O13" s="170" t="str">
        <f>IF(Harm_el_zewn[[#This Row],[Data wykonania]]&lt;&gt;0,"WYKONANE","NIEWYKONANE")</f>
        <v>WYKONANE</v>
      </c>
      <c r="P13" s="8"/>
    </row>
    <row r="14" spans="1:16" hidden="1" x14ac:dyDescent="0.25">
      <c r="A14" s="174" t="s">
        <v>2097</v>
      </c>
      <c r="B14" s="172">
        <v>13</v>
      </c>
      <c r="C14" s="175" t="s">
        <v>1160</v>
      </c>
      <c r="D14" s="174" t="s">
        <v>2058</v>
      </c>
      <c r="E14" s="174" t="s">
        <v>2121</v>
      </c>
      <c r="F14" s="177">
        <v>164</v>
      </c>
      <c r="G14" s="177">
        <v>1811</v>
      </c>
      <c r="H14" s="172">
        <v>637</v>
      </c>
      <c r="I14" s="178">
        <v>1.131876038078806</v>
      </c>
      <c r="J14" s="180">
        <v>44582</v>
      </c>
      <c r="K14" s="180">
        <v>44581</v>
      </c>
      <c r="L14" s="180">
        <v>44581</v>
      </c>
      <c r="M14" s="180">
        <v>44585</v>
      </c>
      <c r="N14" s="209">
        <v>44622</v>
      </c>
      <c r="O14" s="170" t="str">
        <f>IF(Harm_el_zewn[[#This Row],[Data wykonania]]&lt;&gt;0,"WYKONANE","NIEWYKONANE")</f>
        <v>WYKONANE</v>
      </c>
      <c r="P14" s="8"/>
    </row>
    <row r="15" spans="1:16" hidden="1" x14ac:dyDescent="0.25">
      <c r="A15" s="174" t="s">
        <v>2098</v>
      </c>
      <c r="B15" s="172">
        <v>14</v>
      </c>
      <c r="C15" s="175" t="s">
        <v>1160</v>
      </c>
      <c r="D15" s="174" t="s">
        <v>2058</v>
      </c>
      <c r="E15" s="174" t="s">
        <v>2121</v>
      </c>
      <c r="F15" s="177">
        <v>164</v>
      </c>
      <c r="G15" s="177">
        <v>1631</v>
      </c>
      <c r="H15" s="172">
        <v>637</v>
      </c>
      <c r="I15" s="178">
        <v>1.0193748640112188</v>
      </c>
      <c r="J15" s="180">
        <v>44582</v>
      </c>
      <c r="K15" s="180">
        <v>44581</v>
      </c>
      <c r="L15" s="180">
        <v>44581</v>
      </c>
      <c r="M15" s="180">
        <v>44585</v>
      </c>
      <c r="N15" s="209">
        <v>44622</v>
      </c>
      <c r="O15" s="170" t="str">
        <f>IF(Harm_el_zewn[[#This Row],[Data wykonania]]&lt;&gt;0,"WYKONANE","NIEWYKONANE")</f>
        <v>WYKONANE</v>
      </c>
      <c r="P15" s="8"/>
    </row>
    <row r="16" spans="1:16" x14ac:dyDescent="0.25">
      <c r="A16" s="174" t="s">
        <v>2099</v>
      </c>
      <c r="B16" s="172">
        <v>15</v>
      </c>
      <c r="C16" s="175" t="s">
        <v>1160</v>
      </c>
      <c r="D16" s="174" t="s">
        <v>2058</v>
      </c>
      <c r="E16" s="174" t="s">
        <v>2121</v>
      </c>
      <c r="F16" s="177">
        <v>164</v>
      </c>
      <c r="G16" s="177">
        <v>5285</v>
      </c>
      <c r="H16" s="172">
        <v>637</v>
      </c>
      <c r="I16" s="178">
        <v>3.1349998025838555</v>
      </c>
      <c r="J16" s="180">
        <v>44582</v>
      </c>
      <c r="K16" s="180">
        <v>44581</v>
      </c>
      <c r="L16" s="180">
        <v>44581</v>
      </c>
      <c r="M16" s="180">
        <v>44585</v>
      </c>
      <c r="N16" s="208">
        <v>44609</v>
      </c>
      <c r="O16" s="170" t="str">
        <f>IF(Harm_el_zewn[[#This Row],[Data wykonania]]&lt;&gt;0,"WYKONANE","NIEWYKONANE")</f>
        <v>WYKONANE</v>
      </c>
      <c r="P16" s="8"/>
    </row>
    <row r="17" spans="1:16" x14ac:dyDescent="0.25">
      <c r="A17" s="174" t="s">
        <v>2100</v>
      </c>
      <c r="B17" s="172">
        <v>16</v>
      </c>
      <c r="C17" s="175" t="s">
        <v>1160</v>
      </c>
      <c r="D17" s="174" t="s">
        <v>2058</v>
      </c>
      <c r="E17" s="174" t="s">
        <v>2121</v>
      </c>
      <c r="F17" s="177">
        <v>164</v>
      </c>
      <c r="G17" s="177">
        <v>1811</v>
      </c>
      <c r="H17" s="172">
        <v>637</v>
      </c>
      <c r="I17" s="178">
        <v>1.1318737117602773</v>
      </c>
      <c r="J17" s="180">
        <v>44582</v>
      </c>
      <c r="K17" s="180">
        <v>44581</v>
      </c>
      <c r="L17" s="180">
        <v>44581</v>
      </c>
      <c r="M17" s="180">
        <v>44585</v>
      </c>
      <c r="N17" s="208">
        <v>44609</v>
      </c>
      <c r="O17" s="170" t="str">
        <f>IF(Harm_el_zewn[[#This Row],[Data wykonania]]&lt;&gt;0,"WYKONANE","NIEWYKONANE")</f>
        <v>WYKONANE</v>
      </c>
      <c r="P17" s="8"/>
    </row>
    <row r="18" spans="1:16" x14ac:dyDescent="0.25">
      <c r="A18" s="174" t="s">
        <v>2101</v>
      </c>
      <c r="B18" s="172">
        <v>17</v>
      </c>
      <c r="C18" s="175" t="s">
        <v>1160</v>
      </c>
      <c r="D18" s="174" t="s">
        <v>2058</v>
      </c>
      <c r="E18" s="174" t="s">
        <v>2121</v>
      </c>
      <c r="F18" s="177">
        <v>164</v>
      </c>
      <c r="G18" s="177">
        <v>1631</v>
      </c>
      <c r="H18" s="172">
        <v>637</v>
      </c>
      <c r="I18" s="178">
        <v>1.0193748636612188</v>
      </c>
      <c r="J18" s="180">
        <v>44582</v>
      </c>
      <c r="K18" s="180">
        <v>44581</v>
      </c>
      <c r="L18" s="180">
        <v>44581</v>
      </c>
      <c r="M18" s="180">
        <v>44585</v>
      </c>
      <c r="N18" s="208">
        <v>44609</v>
      </c>
      <c r="O18" s="170" t="str">
        <f>IF(Harm_el_zewn[[#This Row],[Data wykonania]]&lt;&gt;0,"WYKONANE","NIEWYKONANE")</f>
        <v>WYKONANE</v>
      </c>
      <c r="P18" s="8"/>
    </row>
    <row r="19" spans="1:16" hidden="1" x14ac:dyDescent="0.25">
      <c r="A19" s="174" t="s">
        <v>2102</v>
      </c>
      <c r="B19" s="172">
        <v>18</v>
      </c>
      <c r="C19" s="175" t="s">
        <v>1160</v>
      </c>
      <c r="D19" s="174" t="s">
        <v>2058</v>
      </c>
      <c r="E19" s="174" t="s">
        <v>2121</v>
      </c>
      <c r="F19" s="177">
        <v>164</v>
      </c>
      <c r="G19" s="177">
        <v>2228</v>
      </c>
      <c r="H19" s="172">
        <v>637</v>
      </c>
      <c r="I19" s="178">
        <v>1.3922656368084634</v>
      </c>
      <c r="J19" s="180">
        <v>44582</v>
      </c>
      <c r="K19" s="180">
        <v>44581</v>
      </c>
      <c r="L19" s="180">
        <v>44581</v>
      </c>
      <c r="M19" s="180">
        <v>44585</v>
      </c>
      <c r="N19" s="170">
        <v>44589</v>
      </c>
      <c r="O19" s="170" t="str">
        <f>IF(Harm_el_zewn[[#This Row],[Data wykonania]]&lt;&gt;0,"WYKONANE","NIEWYKONANE")</f>
        <v>WYKONANE</v>
      </c>
      <c r="P19" s="8"/>
    </row>
    <row r="20" spans="1:16" x14ac:dyDescent="0.25">
      <c r="A20" s="174" t="s">
        <v>2103</v>
      </c>
      <c r="B20" s="172">
        <v>19</v>
      </c>
      <c r="C20" s="175" t="s">
        <v>1160</v>
      </c>
      <c r="D20" s="174" t="s">
        <v>2058</v>
      </c>
      <c r="E20" s="174" t="s">
        <v>2121</v>
      </c>
      <c r="F20" s="177">
        <v>164</v>
      </c>
      <c r="G20" s="177">
        <v>5260</v>
      </c>
      <c r="H20" s="172">
        <v>637</v>
      </c>
      <c r="I20" s="178">
        <v>3.2874996922776498</v>
      </c>
      <c r="J20" s="180">
        <v>44582</v>
      </c>
      <c r="K20" s="180">
        <v>44581</v>
      </c>
      <c r="L20" s="180">
        <v>44581</v>
      </c>
      <c r="M20" s="180">
        <v>44585</v>
      </c>
      <c r="N20" s="181">
        <v>44607</v>
      </c>
      <c r="O20" s="170" t="str">
        <f>IF(Harm_el_zewn[[#This Row],[Data wykonania]]&lt;&gt;0,"WYKONANE","NIEWYKONANE")</f>
        <v>WYKONANE</v>
      </c>
      <c r="P20" s="8"/>
    </row>
    <row r="21" spans="1:16" x14ac:dyDescent="0.25">
      <c r="A21" s="174" t="s">
        <v>2104</v>
      </c>
      <c r="B21" s="172">
        <v>20</v>
      </c>
      <c r="C21" s="175" t="s">
        <v>1160</v>
      </c>
      <c r="D21" s="174" t="s">
        <v>2058</v>
      </c>
      <c r="E21" s="174" t="s">
        <v>2121</v>
      </c>
      <c r="F21" s="177">
        <v>164</v>
      </c>
      <c r="G21" s="177">
        <v>5280</v>
      </c>
      <c r="H21" s="172">
        <v>637</v>
      </c>
      <c r="I21" s="178">
        <v>3.2159372364699292</v>
      </c>
      <c r="J21" s="180">
        <v>44582</v>
      </c>
      <c r="K21" s="180">
        <v>44581</v>
      </c>
      <c r="L21" s="180">
        <v>44581</v>
      </c>
      <c r="M21" s="180">
        <v>44585</v>
      </c>
      <c r="N21" s="208">
        <v>44609</v>
      </c>
      <c r="O21" s="170" t="str">
        <f>IF(Harm_el_zewn[[#This Row],[Data wykonania]]&lt;&gt;0,"WYKONANE","NIEWYKONANE")</f>
        <v>WYKONANE</v>
      </c>
      <c r="P21" s="8"/>
    </row>
    <row r="22" spans="1:16" hidden="1" x14ac:dyDescent="0.25">
      <c r="A22" s="174" t="s">
        <v>2105</v>
      </c>
      <c r="B22" s="172">
        <v>21</v>
      </c>
      <c r="C22" s="175" t="s">
        <v>1160</v>
      </c>
      <c r="D22" s="174" t="s">
        <v>2058</v>
      </c>
      <c r="E22" s="174" t="s">
        <v>2121</v>
      </c>
      <c r="F22" s="177">
        <v>164</v>
      </c>
      <c r="G22" s="177">
        <v>5272</v>
      </c>
      <c r="H22" s="172">
        <v>637</v>
      </c>
      <c r="I22" s="178">
        <v>3.2112496963848201</v>
      </c>
      <c r="J22" s="180">
        <v>44582</v>
      </c>
      <c r="K22" s="180">
        <v>44581</v>
      </c>
      <c r="L22" s="180">
        <v>44581</v>
      </c>
      <c r="M22" s="180">
        <v>44585</v>
      </c>
      <c r="N22" s="170">
        <v>44589</v>
      </c>
      <c r="O22" s="170" t="str">
        <f>IF(Harm_el_zewn[[#This Row],[Data wykonania]]&lt;&gt;0,"WYKONANE","NIEWYKONANE")</f>
        <v>WYKONANE</v>
      </c>
      <c r="P22" s="8"/>
    </row>
    <row r="23" spans="1:16" x14ac:dyDescent="0.25">
      <c r="A23" s="174" t="s">
        <v>2106</v>
      </c>
      <c r="B23" s="172">
        <v>22</v>
      </c>
      <c r="C23" s="175" t="s">
        <v>1160</v>
      </c>
      <c r="D23" s="174" t="s">
        <v>2058</v>
      </c>
      <c r="E23" s="174" t="s">
        <v>2121</v>
      </c>
      <c r="F23" s="177">
        <v>164</v>
      </c>
      <c r="G23" s="177">
        <v>3320</v>
      </c>
      <c r="H23" s="172">
        <v>637</v>
      </c>
      <c r="I23" s="178">
        <v>2.0750686407394983</v>
      </c>
      <c r="J23" s="180">
        <v>44582</v>
      </c>
      <c r="K23" s="180">
        <v>44581</v>
      </c>
      <c r="L23" s="180">
        <v>44581</v>
      </c>
      <c r="M23" s="180">
        <v>44585</v>
      </c>
      <c r="N23" s="208">
        <v>44609</v>
      </c>
      <c r="O23" s="170" t="str">
        <f>IF(Harm_el_zewn[[#This Row],[Data wykonania]]&lt;&gt;0,"WYKONANE","NIEWYKONANE")</f>
        <v>WYKONANE</v>
      </c>
      <c r="P23" s="8"/>
    </row>
    <row r="24" spans="1:16" x14ac:dyDescent="0.25">
      <c r="A24" s="174" t="s">
        <v>2107</v>
      </c>
      <c r="B24" s="172">
        <v>23</v>
      </c>
      <c r="C24" s="175" t="s">
        <v>1160</v>
      </c>
      <c r="D24" s="174" t="s">
        <v>2058</v>
      </c>
      <c r="E24" s="174" t="s">
        <v>2121</v>
      </c>
      <c r="F24" s="177">
        <v>164</v>
      </c>
      <c r="G24" s="177">
        <v>5280</v>
      </c>
      <c r="H24" s="172">
        <v>637</v>
      </c>
      <c r="I24" s="178">
        <v>3.2159380200386036</v>
      </c>
      <c r="J24" s="180">
        <v>44582</v>
      </c>
      <c r="K24" s="180">
        <v>44581</v>
      </c>
      <c r="L24" s="180">
        <v>44581</v>
      </c>
      <c r="M24" s="180">
        <v>44585</v>
      </c>
      <c r="N24" s="208">
        <v>44609</v>
      </c>
      <c r="O24" s="170" t="str">
        <f>IF(Harm_el_zewn[[#This Row],[Data wykonania]]&lt;&gt;0,"WYKONANE","NIEWYKONANE")</f>
        <v>WYKONANE</v>
      </c>
      <c r="P24" s="8"/>
    </row>
    <row r="25" spans="1:16" x14ac:dyDescent="0.25">
      <c r="A25" s="174" t="s">
        <v>2108</v>
      </c>
      <c r="B25" s="172">
        <v>24</v>
      </c>
      <c r="C25" s="175" t="s">
        <v>1160</v>
      </c>
      <c r="D25" s="174" t="s">
        <v>2058</v>
      </c>
      <c r="E25" s="174" t="s">
        <v>2121</v>
      </c>
      <c r="F25" s="177">
        <v>164</v>
      </c>
      <c r="G25" s="177">
        <v>5260</v>
      </c>
      <c r="H25" s="172">
        <v>637</v>
      </c>
      <c r="I25" s="178">
        <v>3.2875057137020764</v>
      </c>
      <c r="J25" s="180">
        <v>44582</v>
      </c>
      <c r="K25" s="180">
        <v>44581</v>
      </c>
      <c r="L25" s="180">
        <v>44581</v>
      </c>
      <c r="M25" s="180">
        <v>44585</v>
      </c>
      <c r="N25" s="208">
        <v>44609</v>
      </c>
      <c r="O25" s="170" t="str">
        <f>IF(Harm_el_zewn[[#This Row],[Data wykonania]]&lt;&gt;0,"WYKONANE","NIEWYKONANE")</f>
        <v>WYKONANE</v>
      </c>
      <c r="P25" s="8"/>
    </row>
    <row r="26" spans="1:16" x14ac:dyDescent="0.25">
      <c r="A26" s="174" t="s">
        <v>2109</v>
      </c>
      <c r="B26" s="172">
        <v>25</v>
      </c>
      <c r="C26" s="175" t="s">
        <v>1160</v>
      </c>
      <c r="D26" s="174" t="s">
        <v>2058</v>
      </c>
      <c r="E26" s="174" t="s">
        <v>2121</v>
      </c>
      <c r="F26" s="177">
        <v>164</v>
      </c>
      <c r="G26" s="177">
        <v>2691</v>
      </c>
      <c r="H26" s="172">
        <v>637</v>
      </c>
      <c r="I26" s="178">
        <v>1.6819705306823829</v>
      </c>
      <c r="J26" s="180">
        <v>44582</v>
      </c>
      <c r="K26" s="180">
        <v>44581</v>
      </c>
      <c r="L26" s="180">
        <v>44581</v>
      </c>
      <c r="M26" s="180">
        <v>44585</v>
      </c>
      <c r="N26" s="208">
        <v>44609</v>
      </c>
      <c r="O26" s="170" t="str">
        <f>IF(Harm_el_zewn[[#This Row],[Data wykonania]]&lt;&gt;0,"WYKONANE","NIEWYKONANE")</f>
        <v>WYKONANE</v>
      </c>
      <c r="P26" s="8"/>
    </row>
    <row r="27" spans="1:16" hidden="1" x14ac:dyDescent="0.25">
      <c r="A27" s="174" t="s">
        <v>2110</v>
      </c>
      <c r="B27" s="172">
        <v>26</v>
      </c>
      <c r="C27" s="175" t="s">
        <v>1160</v>
      </c>
      <c r="D27" s="174" t="s">
        <v>2058</v>
      </c>
      <c r="E27" s="174" t="s">
        <v>2121</v>
      </c>
      <c r="F27" s="177">
        <v>164</v>
      </c>
      <c r="G27" s="177">
        <v>2275</v>
      </c>
      <c r="H27" s="172">
        <v>637</v>
      </c>
      <c r="I27" s="178">
        <v>1.4219089256371333</v>
      </c>
      <c r="J27" s="180">
        <v>44582</v>
      </c>
      <c r="K27" s="180">
        <v>44581</v>
      </c>
      <c r="L27" s="180">
        <v>44581</v>
      </c>
      <c r="M27" s="180">
        <v>44585</v>
      </c>
      <c r="N27" s="181">
        <v>44595</v>
      </c>
      <c r="O27" s="170" t="str">
        <f>IF(Harm_el_zewn[[#This Row],[Data wykonania]]&lt;&gt;0,"WYKONANE","NIEWYKONANE")</f>
        <v>WYKONANE</v>
      </c>
      <c r="P27" s="8"/>
    </row>
    <row r="28" spans="1:16" hidden="1" x14ac:dyDescent="0.25">
      <c r="A28" s="174" t="s">
        <v>2111</v>
      </c>
      <c r="B28" s="172">
        <v>27</v>
      </c>
      <c r="C28" s="175" t="s">
        <v>1160</v>
      </c>
      <c r="D28" s="174" t="s">
        <v>2058</v>
      </c>
      <c r="E28" s="174" t="s">
        <v>2121</v>
      </c>
      <c r="F28" s="177">
        <v>164</v>
      </c>
      <c r="G28" s="177">
        <v>2586</v>
      </c>
      <c r="H28" s="172">
        <v>637</v>
      </c>
      <c r="I28" s="178">
        <v>1.6162143047251727</v>
      </c>
      <c r="J28" s="180">
        <v>44582</v>
      </c>
      <c r="K28" s="180">
        <v>44581</v>
      </c>
      <c r="L28" s="180">
        <v>44581</v>
      </c>
      <c r="M28" s="180">
        <v>44585</v>
      </c>
      <c r="N28" s="181">
        <v>44596</v>
      </c>
      <c r="O28" s="170" t="str">
        <f>IF(Harm_el_zewn[[#This Row],[Data wykonania]]&lt;&gt;0,"WYKONANE","NIEWYKONANE")</f>
        <v>WYKONANE</v>
      </c>
      <c r="P28" s="8"/>
    </row>
    <row r="29" spans="1:16" x14ac:dyDescent="0.25">
      <c r="A29" s="174" t="s">
        <v>2112</v>
      </c>
      <c r="B29" s="172">
        <v>28</v>
      </c>
      <c r="C29" s="175" t="s">
        <v>1160</v>
      </c>
      <c r="D29" s="174" t="s">
        <v>2058</v>
      </c>
      <c r="E29" s="174" t="s">
        <v>2121</v>
      </c>
      <c r="F29" s="177">
        <v>164</v>
      </c>
      <c r="G29" s="177">
        <v>4280</v>
      </c>
      <c r="H29" s="172">
        <v>508</v>
      </c>
      <c r="I29" s="178">
        <v>1.995494623777428</v>
      </c>
      <c r="J29" s="180">
        <v>44582</v>
      </c>
      <c r="K29" s="180">
        <v>44581</v>
      </c>
      <c r="L29" s="180">
        <v>44581</v>
      </c>
      <c r="M29" s="180">
        <v>44585</v>
      </c>
      <c r="N29" s="181">
        <v>44607</v>
      </c>
      <c r="O29" s="170" t="str">
        <f>IF(Harm_el_zewn[[#This Row],[Data wykonania]]&lt;&gt;0,"WYKONANE","NIEWYKONANE")</f>
        <v>WYKONANE</v>
      </c>
      <c r="P29" s="8"/>
    </row>
    <row r="30" spans="1:16" x14ac:dyDescent="0.25">
      <c r="A30" s="174" t="s">
        <v>2113</v>
      </c>
      <c r="B30" s="172">
        <v>29</v>
      </c>
      <c r="C30" s="175" t="s">
        <v>1160</v>
      </c>
      <c r="D30" s="174" t="s">
        <v>2058</v>
      </c>
      <c r="E30" s="174" t="s">
        <v>2121</v>
      </c>
      <c r="F30" s="177">
        <v>164</v>
      </c>
      <c r="G30" s="177">
        <v>2687</v>
      </c>
      <c r="H30" s="172">
        <v>637</v>
      </c>
      <c r="I30" s="178">
        <v>1.6794705309203228</v>
      </c>
      <c r="J30" s="180">
        <v>44582</v>
      </c>
      <c r="K30" s="180">
        <v>44581</v>
      </c>
      <c r="L30" s="180">
        <v>44581</v>
      </c>
      <c r="M30" s="180">
        <v>44585</v>
      </c>
      <c r="N30" s="208">
        <v>44609</v>
      </c>
      <c r="O30" s="170" t="str">
        <f>IF(Harm_el_zewn[[#This Row],[Data wykonania]]&lt;&gt;0,"WYKONANE","NIEWYKONANE")</f>
        <v>WYKONANE</v>
      </c>
      <c r="P30" s="8"/>
    </row>
    <row r="31" spans="1:16" hidden="1" x14ac:dyDescent="0.25">
      <c r="A31" s="174" t="s">
        <v>2114</v>
      </c>
      <c r="B31" s="172">
        <v>30</v>
      </c>
      <c r="C31" s="175" t="s">
        <v>1162</v>
      </c>
      <c r="D31" s="174" t="s">
        <v>2058</v>
      </c>
      <c r="E31" s="174" t="s">
        <v>2121</v>
      </c>
      <c r="F31" s="177">
        <v>164</v>
      </c>
      <c r="G31" s="177">
        <v>4628</v>
      </c>
      <c r="H31" s="172">
        <v>637</v>
      </c>
      <c r="I31" s="178">
        <v>2.8922056294376608</v>
      </c>
      <c r="J31" s="180">
        <v>44582</v>
      </c>
      <c r="K31" s="180">
        <v>44581</v>
      </c>
      <c r="L31" s="180">
        <v>44581</v>
      </c>
      <c r="M31" s="10"/>
      <c r="N31" s="181">
        <v>44596</v>
      </c>
      <c r="O31" s="170" t="str">
        <f>IF(Harm_el_zewn[[#This Row],[Data wykonania]]&lt;&gt;0,"WYKONANE","NIEWYKONANE")</f>
        <v>WYKONANE</v>
      </c>
      <c r="P31" s="8"/>
    </row>
    <row r="32" spans="1:16" hidden="1" x14ac:dyDescent="0.25">
      <c r="A32" s="174" t="s">
        <v>2115</v>
      </c>
      <c r="B32" s="172">
        <v>31</v>
      </c>
      <c r="C32" s="175" t="s">
        <v>1162</v>
      </c>
      <c r="D32" s="174" t="s">
        <v>2058</v>
      </c>
      <c r="E32" s="174" t="s">
        <v>2121</v>
      </c>
      <c r="F32" s="177">
        <v>165</v>
      </c>
      <c r="G32" s="177">
        <v>4554</v>
      </c>
      <c r="H32" s="172">
        <v>637</v>
      </c>
      <c r="I32" s="178">
        <v>2.8463851390299224</v>
      </c>
      <c r="J32" s="180">
        <v>44582</v>
      </c>
      <c r="K32" s="180">
        <v>44581</v>
      </c>
      <c r="L32" s="180">
        <v>44581</v>
      </c>
      <c r="M32" s="10"/>
      <c r="N32" s="181">
        <v>44596</v>
      </c>
      <c r="O32" s="170" t="str">
        <f>IF(Harm_el_zewn[[#This Row],[Data wykonania]]&lt;&gt;0,"WYKONANE","NIEWYKONANE")</f>
        <v>WYKONANE</v>
      </c>
      <c r="P32" s="8"/>
    </row>
    <row r="33" spans="1:16" hidden="1" x14ac:dyDescent="0.25">
      <c r="A33" s="174" t="s">
        <v>2116</v>
      </c>
      <c r="B33" s="172">
        <v>32</v>
      </c>
      <c r="C33" s="175" t="s">
        <v>1162</v>
      </c>
      <c r="D33" s="174" t="s">
        <v>2058</v>
      </c>
      <c r="E33" s="174" t="s">
        <v>2121</v>
      </c>
      <c r="F33" s="177">
        <v>164</v>
      </c>
      <c r="G33" s="177">
        <v>2333</v>
      </c>
      <c r="H33" s="172">
        <v>637</v>
      </c>
      <c r="I33" s="178">
        <v>1.4581053767377246</v>
      </c>
      <c r="J33" s="180">
        <v>44582</v>
      </c>
      <c r="K33" s="180">
        <v>44581</v>
      </c>
      <c r="L33" s="180">
        <v>44581</v>
      </c>
      <c r="M33" s="10"/>
      <c r="N33" s="181">
        <v>44596</v>
      </c>
      <c r="O33" s="170" t="str">
        <f>IF(Harm_el_zewn[[#This Row],[Data wykonania]]&lt;&gt;0,"WYKONANE","NIEWYKONANE")</f>
        <v>WYKONANE</v>
      </c>
      <c r="P33" s="8"/>
    </row>
    <row r="34" spans="1:16" hidden="1" x14ac:dyDescent="0.25">
      <c r="A34" s="174" t="s">
        <v>2117</v>
      </c>
      <c r="B34" s="172">
        <v>33</v>
      </c>
      <c r="C34" s="175" t="s">
        <v>1162</v>
      </c>
      <c r="D34" s="174" t="s">
        <v>2058</v>
      </c>
      <c r="E34" s="174" t="s">
        <v>2121</v>
      </c>
      <c r="F34" s="177">
        <v>164</v>
      </c>
      <c r="G34" s="177">
        <v>5144</v>
      </c>
      <c r="H34" s="172">
        <v>508</v>
      </c>
      <c r="I34" s="178">
        <v>2.551499184712601</v>
      </c>
      <c r="J34" s="180">
        <v>44582</v>
      </c>
      <c r="K34" s="180">
        <v>44581</v>
      </c>
      <c r="L34" s="180">
        <v>44581</v>
      </c>
      <c r="M34" s="10"/>
      <c r="N34" s="181">
        <v>44596</v>
      </c>
      <c r="O34" s="170" t="str">
        <f>IF(Harm_el_zewn[[#This Row],[Data wykonania]]&lt;&gt;0,"WYKONANE","NIEWYKONANE")</f>
        <v>WYKONANE</v>
      </c>
      <c r="P34" s="8"/>
    </row>
    <row r="35" spans="1:16" hidden="1" x14ac:dyDescent="0.25">
      <c r="A35" s="174" t="s">
        <v>2118</v>
      </c>
      <c r="B35" s="172">
        <v>34</v>
      </c>
      <c r="C35" s="175" t="s">
        <v>1162</v>
      </c>
      <c r="D35" s="174" t="s">
        <v>2058</v>
      </c>
      <c r="E35" s="174" t="s">
        <v>2121</v>
      </c>
      <c r="F35" s="177">
        <v>152</v>
      </c>
      <c r="G35" s="177">
        <v>3675</v>
      </c>
      <c r="H35" s="172">
        <v>517</v>
      </c>
      <c r="I35" s="178">
        <v>1.8998415261004973</v>
      </c>
      <c r="J35" s="180">
        <v>44582</v>
      </c>
      <c r="K35" s="180">
        <v>44581</v>
      </c>
      <c r="L35" s="180">
        <v>44581</v>
      </c>
      <c r="M35" s="10"/>
      <c r="N35" s="181">
        <v>44596</v>
      </c>
      <c r="O35" s="170" t="str">
        <f>IF(Harm_el_zewn[[#This Row],[Data wykonania]]&lt;&gt;0,"WYKONANE","NIEWYKONANE")</f>
        <v>WYKONANE</v>
      </c>
      <c r="P35" s="8"/>
    </row>
    <row r="36" spans="1:16" hidden="1" x14ac:dyDescent="0.25">
      <c r="A36" s="174" t="s">
        <v>2119</v>
      </c>
      <c r="B36" s="172">
        <v>35</v>
      </c>
      <c r="C36" s="175" t="s">
        <v>1162</v>
      </c>
      <c r="D36" s="174" t="s">
        <v>2058</v>
      </c>
      <c r="E36" s="174" t="s">
        <v>2121</v>
      </c>
      <c r="F36" s="177">
        <v>164</v>
      </c>
      <c r="G36" s="177">
        <v>1383</v>
      </c>
      <c r="H36" s="172">
        <v>637</v>
      </c>
      <c r="I36" s="178">
        <v>0.86437491794474508</v>
      </c>
      <c r="J36" s="180">
        <v>44582</v>
      </c>
      <c r="K36" s="180">
        <v>44581</v>
      </c>
      <c r="L36" s="180">
        <v>44581</v>
      </c>
      <c r="M36" s="10"/>
      <c r="N36" s="181">
        <v>44596</v>
      </c>
      <c r="O36" s="170" t="str">
        <f>IF(Harm_el_zewn[[#This Row],[Data wykonania]]&lt;&gt;0,"WYKONANE","NIEWYKONANE")</f>
        <v>WYKONANE</v>
      </c>
      <c r="P36" s="8"/>
    </row>
    <row r="37" spans="1:16" hidden="1" x14ac:dyDescent="0.25">
      <c r="A37" s="174" t="s">
        <v>2120</v>
      </c>
      <c r="B37" s="172">
        <v>36</v>
      </c>
      <c r="C37" s="175" t="s">
        <v>1162</v>
      </c>
      <c r="D37" s="174" t="s">
        <v>2058</v>
      </c>
      <c r="E37" s="174" t="s">
        <v>2121</v>
      </c>
      <c r="F37" s="177">
        <v>152</v>
      </c>
      <c r="G37" s="177">
        <v>782</v>
      </c>
      <c r="H37" s="172">
        <v>517</v>
      </c>
      <c r="I37" s="178">
        <v>0.40419771429810902</v>
      </c>
      <c r="J37" s="180">
        <v>44582</v>
      </c>
      <c r="K37" s="180">
        <v>44581</v>
      </c>
      <c r="L37" s="180">
        <v>44581</v>
      </c>
      <c r="M37" s="10"/>
      <c r="N37" s="181">
        <v>44596</v>
      </c>
      <c r="O37" s="170" t="str">
        <f>IF(Harm_el_zewn[[#This Row],[Data wykonania]]&lt;&gt;0,"WYKONANE","NIEWYKONANE")</f>
        <v>WYKONANE</v>
      </c>
      <c r="P37" s="8"/>
    </row>
    <row r="38" spans="1:16" hidden="1" x14ac:dyDescent="0.25">
      <c r="A38" s="174" t="s">
        <v>2123</v>
      </c>
      <c r="B38" s="172">
        <v>37</v>
      </c>
      <c r="C38" s="175" t="s">
        <v>2203</v>
      </c>
      <c r="D38" s="174" t="s">
        <v>2058</v>
      </c>
      <c r="E38" s="174" t="s">
        <v>2121</v>
      </c>
      <c r="F38" s="177">
        <v>157</v>
      </c>
      <c r="G38" s="177">
        <v>1303</v>
      </c>
      <c r="H38" s="172">
        <v>575</v>
      </c>
      <c r="I38" s="178">
        <v>0.7239251851659898</v>
      </c>
      <c r="J38" s="180">
        <v>44587</v>
      </c>
      <c r="K38" s="180">
        <v>44587</v>
      </c>
      <c r="L38" s="180">
        <v>44587</v>
      </c>
      <c r="M38" s="10"/>
      <c r="N38" s="208">
        <v>44594</v>
      </c>
      <c r="O38" s="170" t="str">
        <f>IF(Harm_el_zewn[[#This Row],[Data wykonania]]&lt;&gt;0,"WYKONANE","NIEWYKONANE")</f>
        <v>WYKONANE</v>
      </c>
      <c r="P38" s="8"/>
    </row>
    <row r="39" spans="1:16" hidden="1" x14ac:dyDescent="0.25">
      <c r="A39" s="174" t="s">
        <v>2124</v>
      </c>
      <c r="B39" s="172">
        <v>38</v>
      </c>
      <c r="C39" s="175" t="s">
        <v>2203</v>
      </c>
      <c r="D39" s="174" t="s">
        <v>2058</v>
      </c>
      <c r="E39" s="174" t="s">
        <v>2121</v>
      </c>
      <c r="F39" s="177">
        <v>157</v>
      </c>
      <c r="G39" s="177">
        <v>475</v>
      </c>
      <c r="H39" s="172">
        <v>575</v>
      </c>
      <c r="I39" s="178">
        <v>0.15812499995745</v>
      </c>
      <c r="J39" s="180">
        <v>44587</v>
      </c>
      <c r="K39" s="180">
        <v>44587</v>
      </c>
      <c r="L39" s="180">
        <v>44587</v>
      </c>
      <c r="M39" s="10"/>
      <c r="N39" s="208">
        <v>44594</v>
      </c>
      <c r="O39" s="170" t="str">
        <f>IF(Harm_el_zewn[[#This Row],[Data wykonania]]&lt;&gt;0,"WYKONANE","NIEWYKONANE")</f>
        <v>WYKONANE</v>
      </c>
      <c r="P39" s="8"/>
    </row>
    <row r="40" spans="1:16" hidden="1" x14ac:dyDescent="0.25">
      <c r="A40" s="174" t="s">
        <v>2125</v>
      </c>
      <c r="B40" s="172">
        <v>39</v>
      </c>
      <c r="C40" s="175" t="s">
        <v>2203</v>
      </c>
      <c r="D40" s="174" t="s">
        <v>2058</v>
      </c>
      <c r="E40" s="174" t="s">
        <v>2121</v>
      </c>
      <c r="F40" s="177">
        <v>157</v>
      </c>
      <c r="G40" s="177">
        <v>1303</v>
      </c>
      <c r="H40" s="172">
        <v>575</v>
      </c>
      <c r="I40" s="178">
        <v>0.72392518752003998</v>
      </c>
      <c r="J40" s="180">
        <v>44587</v>
      </c>
      <c r="K40" s="180">
        <v>44587</v>
      </c>
      <c r="L40" s="180">
        <v>44587</v>
      </c>
      <c r="M40" s="10"/>
      <c r="N40" s="208">
        <v>44594</v>
      </c>
      <c r="O40" s="170" t="str">
        <f>IF(Harm_el_zewn[[#This Row],[Data wykonania]]&lt;&gt;0,"WYKONANE","NIEWYKONANE")</f>
        <v>WYKONANE</v>
      </c>
      <c r="P40" s="8"/>
    </row>
    <row r="41" spans="1:16" hidden="1" x14ac:dyDescent="0.25">
      <c r="A41" s="174" t="s">
        <v>2126</v>
      </c>
      <c r="B41" s="172">
        <v>40</v>
      </c>
      <c r="C41" s="175" t="s">
        <v>2203</v>
      </c>
      <c r="D41" s="174" t="s">
        <v>2058</v>
      </c>
      <c r="E41" s="174" t="s">
        <v>2121</v>
      </c>
      <c r="F41" s="177">
        <v>157</v>
      </c>
      <c r="G41" s="177">
        <v>475</v>
      </c>
      <c r="H41" s="172">
        <v>575</v>
      </c>
      <c r="I41" s="178">
        <v>0.15812500004255001</v>
      </c>
      <c r="J41" s="180">
        <v>44587</v>
      </c>
      <c r="K41" s="180">
        <v>44587</v>
      </c>
      <c r="L41" s="180">
        <v>44587</v>
      </c>
      <c r="M41" s="10"/>
      <c r="N41" s="208">
        <v>44594</v>
      </c>
      <c r="O41" s="170" t="str">
        <f>IF(Harm_el_zewn[[#This Row],[Data wykonania]]&lt;&gt;0,"WYKONANE","NIEWYKONANE")</f>
        <v>WYKONANE</v>
      </c>
      <c r="P41" s="8"/>
    </row>
    <row r="42" spans="1:16" hidden="1" x14ac:dyDescent="0.25">
      <c r="A42" s="174" t="s">
        <v>2127</v>
      </c>
      <c r="B42" s="172">
        <v>41</v>
      </c>
      <c r="C42" s="175" t="s">
        <v>2203</v>
      </c>
      <c r="D42" s="174" t="s">
        <v>2058</v>
      </c>
      <c r="E42" s="174" t="s">
        <v>2121</v>
      </c>
      <c r="F42" s="177">
        <v>157</v>
      </c>
      <c r="G42" s="177">
        <v>1275</v>
      </c>
      <c r="H42" s="172">
        <v>575</v>
      </c>
      <c r="I42" s="178">
        <v>0.72018812475626726</v>
      </c>
      <c r="J42" s="180">
        <v>44587</v>
      </c>
      <c r="K42" s="180">
        <v>44587</v>
      </c>
      <c r="L42" s="180">
        <v>44587</v>
      </c>
      <c r="M42" s="10"/>
      <c r="N42" s="208">
        <v>44594</v>
      </c>
      <c r="O42" s="170" t="str">
        <f>IF(Harm_el_zewn[[#This Row],[Data wykonania]]&lt;&gt;0,"WYKONANE","NIEWYKONANE")</f>
        <v>WYKONANE</v>
      </c>
      <c r="P42" s="8"/>
    </row>
    <row r="43" spans="1:16" hidden="1" x14ac:dyDescent="0.25">
      <c r="A43" s="174" t="s">
        <v>2128</v>
      </c>
      <c r="B43" s="172">
        <v>42</v>
      </c>
      <c r="C43" s="175" t="s">
        <v>2203</v>
      </c>
      <c r="D43" s="174" t="s">
        <v>2058</v>
      </c>
      <c r="E43" s="174" t="s">
        <v>2121</v>
      </c>
      <c r="F43" s="177">
        <v>157</v>
      </c>
      <c r="G43" s="177">
        <v>470</v>
      </c>
      <c r="H43" s="172">
        <v>575</v>
      </c>
      <c r="I43" s="178">
        <v>0.15525000004657499</v>
      </c>
      <c r="J43" s="180">
        <v>44587</v>
      </c>
      <c r="K43" s="180">
        <v>44587</v>
      </c>
      <c r="L43" s="180">
        <v>44587</v>
      </c>
      <c r="M43" s="10"/>
      <c r="N43" s="208">
        <v>44594</v>
      </c>
      <c r="O43" s="170" t="str">
        <f>IF(Harm_el_zewn[[#This Row],[Data wykonania]]&lt;&gt;0,"WYKONANE","NIEWYKONANE")</f>
        <v>WYKONANE</v>
      </c>
      <c r="P43" s="8"/>
    </row>
    <row r="44" spans="1:16" hidden="1" x14ac:dyDescent="0.25">
      <c r="A44" s="174" t="s">
        <v>2129</v>
      </c>
      <c r="B44" s="172">
        <v>43</v>
      </c>
      <c r="C44" s="175" t="s">
        <v>2203</v>
      </c>
      <c r="D44" s="174" t="s">
        <v>2058</v>
      </c>
      <c r="E44" s="174" t="s">
        <v>2121</v>
      </c>
      <c r="F44" s="177">
        <v>157</v>
      </c>
      <c r="G44" s="177">
        <v>1275</v>
      </c>
      <c r="H44" s="172">
        <v>575</v>
      </c>
      <c r="I44" s="178">
        <v>0.72018768819438506</v>
      </c>
      <c r="J44" s="180">
        <v>44587</v>
      </c>
      <c r="K44" s="180">
        <v>44587</v>
      </c>
      <c r="L44" s="180">
        <v>44587</v>
      </c>
      <c r="M44" s="10"/>
      <c r="N44" s="208">
        <v>44594</v>
      </c>
      <c r="O44" s="170" t="str">
        <f>IF(Harm_el_zewn[[#This Row],[Data wykonania]]&lt;&gt;0,"WYKONANE","NIEWYKONANE")</f>
        <v>WYKONANE</v>
      </c>
      <c r="P44" s="8"/>
    </row>
    <row r="45" spans="1:16" hidden="1" x14ac:dyDescent="0.25">
      <c r="A45" s="174" t="s">
        <v>2130</v>
      </c>
      <c r="B45" s="172">
        <v>44</v>
      </c>
      <c r="C45" s="175" t="s">
        <v>2203</v>
      </c>
      <c r="D45" s="174" t="s">
        <v>2058</v>
      </c>
      <c r="E45" s="174" t="s">
        <v>2121</v>
      </c>
      <c r="F45" s="177">
        <v>157</v>
      </c>
      <c r="G45" s="177">
        <v>1281</v>
      </c>
      <c r="H45" s="172">
        <v>575</v>
      </c>
      <c r="I45" s="178">
        <v>0.72392580358313563</v>
      </c>
      <c r="J45" s="180">
        <v>44587</v>
      </c>
      <c r="K45" s="180">
        <v>44587</v>
      </c>
      <c r="L45" s="180">
        <v>44587</v>
      </c>
      <c r="M45" s="10"/>
      <c r="N45" s="208">
        <v>44592</v>
      </c>
      <c r="O45" s="170" t="str">
        <f>IF(Harm_el_zewn[[#This Row],[Data wykonania]]&lt;&gt;0,"WYKONANE","NIEWYKONANE")</f>
        <v>WYKONANE</v>
      </c>
      <c r="P45" s="8"/>
    </row>
    <row r="46" spans="1:16" hidden="1" x14ac:dyDescent="0.25">
      <c r="A46" s="174" t="s">
        <v>2131</v>
      </c>
      <c r="B46" s="172">
        <v>45</v>
      </c>
      <c r="C46" s="175" t="s">
        <v>2203</v>
      </c>
      <c r="D46" s="174" t="s">
        <v>2058</v>
      </c>
      <c r="E46" s="174" t="s">
        <v>2121</v>
      </c>
      <c r="F46" s="177">
        <v>157</v>
      </c>
      <c r="G46" s="177">
        <v>470</v>
      </c>
      <c r="H46" s="172">
        <v>575</v>
      </c>
      <c r="I46" s="178">
        <v>0.15524999995342501</v>
      </c>
      <c r="J46" s="180">
        <v>44587</v>
      </c>
      <c r="K46" s="180">
        <v>44587</v>
      </c>
      <c r="L46" s="180">
        <v>44587</v>
      </c>
      <c r="M46" s="10"/>
      <c r="N46" s="208">
        <v>44592</v>
      </c>
      <c r="O46" s="170" t="str">
        <f>IF(Harm_el_zewn[[#This Row],[Data wykonania]]&lt;&gt;0,"WYKONANE","NIEWYKONANE")</f>
        <v>WYKONANE</v>
      </c>
      <c r="P46" s="8"/>
    </row>
    <row r="47" spans="1:16" hidden="1" x14ac:dyDescent="0.25">
      <c r="A47" s="174" t="s">
        <v>2132</v>
      </c>
      <c r="B47" s="172">
        <v>46</v>
      </c>
      <c r="C47" s="175" t="s">
        <v>2203</v>
      </c>
      <c r="D47" s="174" t="s">
        <v>2058</v>
      </c>
      <c r="E47" s="174" t="s">
        <v>2121</v>
      </c>
      <c r="F47" s="177">
        <v>157</v>
      </c>
      <c r="G47" s="177">
        <v>1281</v>
      </c>
      <c r="H47" s="172">
        <v>575</v>
      </c>
      <c r="I47" s="178">
        <v>0.72392586862714026</v>
      </c>
      <c r="J47" s="180">
        <v>44587</v>
      </c>
      <c r="K47" s="180">
        <v>44587</v>
      </c>
      <c r="L47" s="180">
        <v>44587</v>
      </c>
      <c r="M47" s="10"/>
      <c r="N47" s="208">
        <v>44592</v>
      </c>
      <c r="O47" s="170" t="str">
        <f>IF(Harm_el_zewn[[#This Row],[Data wykonania]]&lt;&gt;0,"WYKONANE","NIEWYKONANE")</f>
        <v>WYKONANE</v>
      </c>
      <c r="P47" s="8"/>
    </row>
    <row r="48" spans="1:16" hidden="1" x14ac:dyDescent="0.25">
      <c r="A48" s="174" t="s">
        <v>2133</v>
      </c>
      <c r="B48" s="172">
        <v>47</v>
      </c>
      <c r="C48" s="175" t="s">
        <v>2203</v>
      </c>
      <c r="D48" s="174" t="s">
        <v>2058</v>
      </c>
      <c r="E48" s="174" t="s">
        <v>2121</v>
      </c>
      <c r="F48" s="177">
        <v>157</v>
      </c>
      <c r="G48" s="177">
        <v>1438</v>
      </c>
      <c r="H48" s="172">
        <v>575</v>
      </c>
      <c r="I48" s="178">
        <v>0.81420018025690388</v>
      </c>
      <c r="J48" s="180">
        <v>44587</v>
      </c>
      <c r="K48" s="180">
        <v>44587</v>
      </c>
      <c r="L48" s="180">
        <v>44587</v>
      </c>
      <c r="M48" s="10"/>
      <c r="N48" s="208">
        <v>44592</v>
      </c>
      <c r="O48" s="170" t="str">
        <f>IF(Harm_el_zewn[[#This Row],[Data wykonania]]&lt;&gt;0,"WYKONANE","NIEWYKONANE")</f>
        <v>WYKONANE</v>
      </c>
      <c r="P48" s="8"/>
    </row>
    <row r="49" spans="1:16" hidden="1" x14ac:dyDescent="0.25">
      <c r="A49" s="174" t="s">
        <v>2134</v>
      </c>
      <c r="B49" s="172">
        <v>48</v>
      </c>
      <c r="C49" s="175" t="s">
        <v>2203</v>
      </c>
      <c r="D49" s="174" t="s">
        <v>2058</v>
      </c>
      <c r="E49" s="174" t="s">
        <v>2121</v>
      </c>
      <c r="F49" s="177">
        <v>157</v>
      </c>
      <c r="G49" s="177">
        <v>484</v>
      </c>
      <c r="H49" s="172">
        <v>575</v>
      </c>
      <c r="I49" s="178">
        <v>0.16243750000000001</v>
      </c>
      <c r="J49" s="180">
        <v>44587</v>
      </c>
      <c r="K49" s="180">
        <v>44587</v>
      </c>
      <c r="L49" s="180">
        <v>44587</v>
      </c>
      <c r="M49" s="10"/>
      <c r="N49" s="208">
        <v>44592</v>
      </c>
      <c r="O49" s="170" t="str">
        <f>IF(Harm_el_zewn[[#This Row],[Data wykonania]]&lt;&gt;0,"WYKONANE","NIEWYKONANE")</f>
        <v>WYKONANE</v>
      </c>
      <c r="P49" s="8"/>
    </row>
    <row r="50" spans="1:16" hidden="1" x14ac:dyDescent="0.25">
      <c r="A50" s="174" t="s">
        <v>2135</v>
      </c>
      <c r="B50" s="172">
        <v>49</v>
      </c>
      <c r="C50" s="175" t="s">
        <v>2203</v>
      </c>
      <c r="D50" s="174" t="s">
        <v>2058</v>
      </c>
      <c r="E50" s="174" t="s">
        <v>2121</v>
      </c>
      <c r="F50" s="177">
        <v>157</v>
      </c>
      <c r="G50" s="177">
        <v>1438</v>
      </c>
      <c r="H50" s="172">
        <v>575</v>
      </c>
      <c r="I50" s="178">
        <v>0.8142001836275542</v>
      </c>
      <c r="J50" s="180">
        <v>44587</v>
      </c>
      <c r="K50" s="180">
        <v>44587</v>
      </c>
      <c r="L50" s="180">
        <v>44587</v>
      </c>
      <c r="M50" s="10"/>
      <c r="N50" s="208">
        <v>44592</v>
      </c>
      <c r="O50" s="170" t="str">
        <f>IF(Harm_el_zewn[[#This Row],[Data wykonania]]&lt;&gt;0,"WYKONANE","NIEWYKONANE")</f>
        <v>WYKONANE</v>
      </c>
      <c r="P50" s="8"/>
    </row>
    <row r="51" spans="1:16" hidden="1" x14ac:dyDescent="0.25">
      <c r="A51" s="174" t="s">
        <v>2136</v>
      </c>
      <c r="B51" s="172">
        <v>50</v>
      </c>
      <c r="C51" s="175" t="s">
        <v>2203</v>
      </c>
      <c r="D51" s="174" t="s">
        <v>2058</v>
      </c>
      <c r="E51" s="174" t="s">
        <v>2121</v>
      </c>
      <c r="F51" s="177">
        <v>157</v>
      </c>
      <c r="G51" s="177">
        <v>1438</v>
      </c>
      <c r="H51" s="172">
        <v>575</v>
      </c>
      <c r="I51" s="178">
        <v>0.81420017977562886</v>
      </c>
      <c r="J51" s="180">
        <v>44587</v>
      </c>
      <c r="K51" s="180">
        <v>44587</v>
      </c>
      <c r="L51" s="180">
        <v>44587</v>
      </c>
      <c r="M51" s="10"/>
      <c r="N51" s="208">
        <v>44593</v>
      </c>
      <c r="O51" s="170" t="str">
        <f>IF(Harm_el_zewn[[#This Row],[Data wykonania]]&lt;&gt;0,"WYKONANE","NIEWYKONANE")</f>
        <v>WYKONANE</v>
      </c>
      <c r="P51" s="8"/>
    </row>
    <row r="52" spans="1:16" hidden="1" x14ac:dyDescent="0.25">
      <c r="A52" s="174" t="s">
        <v>2137</v>
      </c>
      <c r="B52" s="172">
        <v>51</v>
      </c>
      <c r="C52" s="175" t="s">
        <v>2203</v>
      </c>
      <c r="D52" s="174" t="s">
        <v>2058</v>
      </c>
      <c r="E52" s="174" t="s">
        <v>2121</v>
      </c>
      <c r="F52" s="177">
        <v>157</v>
      </c>
      <c r="G52" s="177">
        <v>484</v>
      </c>
      <c r="H52" s="172">
        <v>575</v>
      </c>
      <c r="I52" s="178">
        <v>0.16243750018112502</v>
      </c>
      <c r="J52" s="180">
        <v>44587</v>
      </c>
      <c r="K52" s="180">
        <v>44587</v>
      </c>
      <c r="L52" s="180">
        <v>44587</v>
      </c>
      <c r="M52" s="10"/>
      <c r="N52" s="208">
        <v>44593</v>
      </c>
      <c r="O52" s="170" t="str">
        <f>IF(Harm_el_zewn[[#This Row],[Data wykonania]]&lt;&gt;0,"WYKONANE","NIEWYKONANE")</f>
        <v>WYKONANE</v>
      </c>
      <c r="P52" s="8"/>
    </row>
    <row r="53" spans="1:16" hidden="1" x14ac:dyDescent="0.25">
      <c r="A53" s="174" t="s">
        <v>2138</v>
      </c>
      <c r="B53" s="172">
        <v>52</v>
      </c>
      <c r="C53" s="175" t="s">
        <v>2203</v>
      </c>
      <c r="D53" s="174" t="s">
        <v>2058</v>
      </c>
      <c r="E53" s="174" t="s">
        <v>2121</v>
      </c>
      <c r="F53" s="177">
        <v>157</v>
      </c>
      <c r="G53" s="177">
        <v>1438</v>
      </c>
      <c r="H53" s="172">
        <v>575</v>
      </c>
      <c r="I53" s="178">
        <v>0.81420017986130389</v>
      </c>
      <c r="J53" s="180">
        <v>44587</v>
      </c>
      <c r="K53" s="180">
        <v>44587</v>
      </c>
      <c r="L53" s="180">
        <v>44587</v>
      </c>
      <c r="M53" s="10"/>
      <c r="N53" s="208">
        <v>44593</v>
      </c>
      <c r="O53" s="170" t="str">
        <f>IF(Harm_el_zewn[[#This Row],[Data wykonania]]&lt;&gt;0,"WYKONANE","NIEWYKONANE")</f>
        <v>WYKONANE</v>
      </c>
      <c r="P53" s="8"/>
    </row>
    <row r="54" spans="1:16" hidden="1" x14ac:dyDescent="0.25">
      <c r="A54" s="174" t="s">
        <v>2139</v>
      </c>
      <c r="B54" s="172">
        <v>53</v>
      </c>
      <c r="C54" s="175" t="s">
        <v>2203</v>
      </c>
      <c r="D54" s="174" t="s">
        <v>2058</v>
      </c>
      <c r="E54" s="174" t="s">
        <v>2121</v>
      </c>
      <c r="F54" s="177">
        <v>157</v>
      </c>
      <c r="G54" s="177">
        <v>544</v>
      </c>
      <c r="H54" s="172">
        <v>575</v>
      </c>
      <c r="I54" s="178">
        <v>0.28750033658799834</v>
      </c>
      <c r="J54" s="180">
        <v>44587</v>
      </c>
      <c r="K54" s="180">
        <v>44587</v>
      </c>
      <c r="L54" s="180">
        <v>44587</v>
      </c>
      <c r="M54" s="10"/>
      <c r="N54" s="208">
        <v>44594</v>
      </c>
      <c r="O54" s="170" t="str">
        <f>IF(Harm_el_zewn[[#This Row],[Data wykonania]]&lt;&gt;0,"WYKONANE","NIEWYKONANE")</f>
        <v>WYKONANE</v>
      </c>
      <c r="P54" s="8"/>
    </row>
    <row r="55" spans="1:16" hidden="1" x14ac:dyDescent="0.25">
      <c r="A55" s="174" t="s">
        <v>2140</v>
      </c>
      <c r="B55" s="172">
        <v>54</v>
      </c>
      <c r="C55" s="175" t="s">
        <v>2203</v>
      </c>
      <c r="D55" s="174" t="s">
        <v>2058</v>
      </c>
      <c r="E55" s="174" t="s">
        <v>2121</v>
      </c>
      <c r="F55" s="177">
        <v>157</v>
      </c>
      <c r="G55" s="177">
        <v>490</v>
      </c>
      <c r="H55" s="172">
        <v>575</v>
      </c>
      <c r="I55" s="178">
        <v>0.16674999995744999</v>
      </c>
      <c r="J55" s="180">
        <v>44587</v>
      </c>
      <c r="K55" s="180">
        <v>44587</v>
      </c>
      <c r="L55" s="180">
        <v>44587</v>
      </c>
      <c r="M55" s="10"/>
      <c r="N55" s="208">
        <v>44594</v>
      </c>
      <c r="O55" s="170" t="str">
        <f>IF(Harm_el_zewn[[#This Row],[Data wykonania]]&lt;&gt;0,"WYKONANE","NIEWYKONANE")</f>
        <v>WYKONANE</v>
      </c>
      <c r="P55" s="8"/>
    </row>
    <row r="56" spans="1:16" hidden="1" x14ac:dyDescent="0.25">
      <c r="A56" s="174" t="s">
        <v>2141</v>
      </c>
      <c r="B56" s="172">
        <v>55</v>
      </c>
      <c r="C56" s="175" t="s">
        <v>2203</v>
      </c>
      <c r="D56" s="174" t="s">
        <v>2058</v>
      </c>
      <c r="E56" s="174" t="s">
        <v>2121</v>
      </c>
      <c r="F56" s="177">
        <v>157</v>
      </c>
      <c r="G56" s="177">
        <v>544</v>
      </c>
      <c r="H56" s="172">
        <v>575</v>
      </c>
      <c r="I56" s="178">
        <v>0.28750033664032332</v>
      </c>
      <c r="J56" s="180">
        <v>44587</v>
      </c>
      <c r="K56" s="180">
        <v>44587</v>
      </c>
      <c r="L56" s="180">
        <v>44587</v>
      </c>
      <c r="M56" s="10"/>
      <c r="N56" s="208">
        <v>44594</v>
      </c>
      <c r="O56" s="170" t="str">
        <f>IF(Harm_el_zewn[[#This Row],[Data wykonania]]&lt;&gt;0,"WYKONANE","NIEWYKONANE")</f>
        <v>WYKONANE</v>
      </c>
      <c r="P56" s="8"/>
    </row>
    <row r="57" spans="1:16" hidden="1" x14ac:dyDescent="0.25">
      <c r="A57" s="174" t="s">
        <v>2142</v>
      </c>
      <c r="B57" s="172">
        <v>56</v>
      </c>
      <c r="C57" s="175" t="s">
        <v>2203</v>
      </c>
      <c r="D57" s="174" t="s">
        <v>2058</v>
      </c>
      <c r="E57" s="174" t="s">
        <v>2121</v>
      </c>
      <c r="F57" s="177">
        <v>157</v>
      </c>
      <c r="G57" s="177">
        <v>490</v>
      </c>
      <c r="H57" s="172">
        <v>575</v>
      </c>
      <c r="I57" s="178">
        <v>0.16675000008510002</v>
      </c>
      <c r="J57" s="180">
        <v>44587</v>
      </c>
      <c r="K57" s="180">
        <v>44587</v>
      </c>
      <c r="L57" s="180">
        <v>44587</v>
      </c>
      <c r="M57" s="10"/>
      <c r="N57" s="208">
        <v>44594</v>
      </c>
      <c r="O57" s="170" t="str">
        <f>IF(Harm_el_zewn[[#This Row],[Data wykonania]]&lt;&gt;0,"WYKONANE","NIEWYKONANE")</f>
        <v>WYKONANE</v>
      </c>
      <c r="P57" s="8"/>
    </row>
    <row r="58" spans="1:16" hidden="1" x14ac:dyDescent="0.25">
      <c r="A58" s="174" t="s">
        <v>2143</v>
      </c>
      <c r="B58" s="172">
        <v>57</v>
      </c>
      <c r="C58" s="175" t="s">
        <v>2203</v>
      </c>
      <c r="D58" s="174" t="s">
        <v>2058</v>
      </c>
      <c r="E58" s="174" t="s">
        <v>2121</v>
      </c>
      <c r="F58" s="177">
        <v>157</v>
      </c>
      <c r="G58" s="177">
        <v>1824</v>
      </c>
      <c r="H58" s="172">
        <v>575</v>
      </c>
      <c r="I58" s="178">
        <v>1.036437670638557</v>
      </c>
      <c r="J58" s="180">
        <v>44587</v>
      </c>
      <c r="K58" s="180">
        <v>44587</v>
      </c>
      <c r="L58" s="180">
        <v>44587</v>
      </c>
      <c r="M58" s="10"/>
      <c r="N58" s="208">
        <v>44595</v>
      </c>
      <c r="O58" s="170" t="str">
        <f>IF(Harm_el_zewn[[#This Row],[Data wykonania]]&lt;&gt;0,"WYKONANE","NIEWYKONANE")</f>
        <v>WYKONANE</v>
      </c>
      <c r="P58" s="8"/>
    </row>
    <row r="59" spans="1:16" hidden="1" x14ac:dyDescent="0.25">
      <c r="A59" s="174" t="s">
        <v>2144</v>
      </c>
      <c r="B59" s="172">
        <v>58</v>
      </c>
      <c r="C59" s="175" t="s">
        <v>2203</v>
      </c>
      <c r="D59" s="174" t="s">
        <v>2058</v>
      </c>
      <c r="E59" s="174" t="s">
        <v>2121</v>
      </c>
      <c r="F59" s="177">
        <v>157</v>
      </c>
      <c r="G59" s="177">
        <v>475</v>
      </c>
      <c r="H59" s="172">
        <v>575</v>
      </c>
      <c r="I59" s="178">
        <v>0.15812500018112502</v>
      </c>
      <c r="J59" s="180">
        <v>44587</v>
      </c>
      <c r="K59" s="180">
        <v>44587</v>
      </c>
      <c r="L59" s="180">
        <v>44587</v>
      </c>
      <c r="M59" s="10"/>
      <c r="N59" s="208">
        <v>44595</v>
      </c>
      <c r="O59" s="170" t="str">
        <f>IF(Harm_el_zewn[[#This Row],[Data wykonania]]&lt;&gt;0,"WYKONANE","NIEWYKONANE")</f>
        <v>WYKONANE</v>
      </c>
      <c r="P59" s="8"/>
    </row>
    <row r="60" spans="1:16" hidden="1" x14ac:dyDescent="0.25">
      <c r="A60" s="174" t="s">
        <v>2145</v>
      </c>
      <c r="B60" s="172">
        <v>59</v>
      </c>
      <c r="C60" s="175" t="s">
        <v>2203</v>
      </c>
      <c r="D60" s="174" t="s">
        <v>2058</v>
      </c>
      <c r="E60" s="174" t="s">
        <v>2121</v>
      </c>
      <c r="F60" s="177">
        <v>157</v>
      </c>
      <c r="G60" s="177">
        <v>1824</v>
      </c>
      <c r="H60" s="172">
        <v>575</v>
      </c>
      <c r="I60" s="178">
        <v>1.036437670896732</v>
      </c>
      <c r="J60" s="180">
        <v>44587</v>
      </c>
      <c r="K60" s="180">
        <v>44587</v>
      </c>
      <c r="L60" s="180">
        <v>44587</v>
      </c>
      <c r="M60" s="10"/>
      <c r="N60" s="208">
        <v>44595</v>
      </c>
      <c r="O60" s="170" t="str">
        <f>IF(Harm_el_zewn[[#This Row],[Data wykonania]]&lt;&gt;0,"WYKONANE","NIEWYKONANE")</f>
        <v>WYKONANE</v>
      </c>
      <c r="P60" s="8"/>
    </row>
    <row r="61" spans="1:16" hidden="1" x14ac:dyDescent="0.25">
      <c r="A61" s="174" t="s">
        <v>2146</v>
      </c>
      <c r="B61" s="172">
        <v>60</v>
      </c>
      <c r="C61" s="175" t="s">
        <v>2203</v>
      </c>
      <c r="D61" s="174" t="s">
        <v>2058</v>
      </c>
      <c r="E61" s="174" t="s">
        <v>2121</v>
      </c>
      <c r="F61" s="177">
        <v>157</v>
      </c>
      <c r="G61" s="177">
        <v>1824</v>
      </c>
      <c r="H61" s="172">
        <v>575</v>
      </c>
      <c r="I61" s="178">
        <v>1.0364381759612444</v>
      </c>
      <c r="J61" s="180">
        <v>44587</v>
      </c>
      <c r="K61" s="180">
        <v>44587</v>
      </c>
      <c r="L61" s="180">
        <v>44587</v>
      </c>
      <c r="M61" s="10"/>
      <c r="N61" s="208">
        <v>44594</v>
      </c>
      <c r="O61" s="170" t="str">
        <f>IF(Harm_el_zewn[[#This Row],[Data wykonania]]&lt;&gt;0,"WYKONANE","NIEWYKONANE")</f>
        <v>WYKONANE</v>
      </c>
      <c r="P61" s="8"/>
    </row>
    <row r="62" spans="1:16" hidden="1" x14ac:dyDescent="0.25">
      <c r="A62" s="174" t="s">
        <v>2147</v>
      </c>
      <c r="B62" s="172">
        <v>61</v>
      </c>
      <c r="C62" s="175" t="s">
        <v>2203</v>
      </c>
      <c r="D62" s="174" t="s">
        <v>2058</v>
      </c>
      <c r="E62" s="174" t="s">
        <v>2121</v>
      </c>
      <c r="F62" s="177">
        <v>157</v>
      </c>
      <c r="G62" s="177">
        <v>475</v>
      </c>
      <c r="H62" s="172">
        <v>575</v>
      </c>
      <c r="I62" s="178">
        <v>0.15812499999999999</v>
      </c>
      <c r="J62" s="180">
        <v>44587</v>
      </c>
      <c r="K62" s="180">
        <v>44587</v>
      </c>
      <c r="L62" s="180">
        <v>44587</v>
      </c>
      <c r="M62" s="10"/>
      <c r="N62" s="208">
        <v>44594</v>
      </c>
      <c r="O62" s="170" t="str">
        <f>IF(Harm_el_zewn[[#This Row],[Data wykonania]]&lt;&gt;0,"WYKONANE","NIEWYKONANE")</f>
        <v>WYKONANE</v>
      </c>
      <c r="P62" s="8"/>
    </row>
    <row r="63" spans="1:16" hidden="1" x14ac:dyDescent="0.25">
      <c r="A63" s="174" t="s">
        <v>2148</v>
      </c>
      <c r="B63" s="172">
        <v>62</v>
      </c>
      <c r="C63" s="175" t="s">
        <v>2203</v>
      </c>
      <c r="D63" s="174" t="s">
        <v>2058</v>
      </c>
      <c r="E63" s="174" t="s">
        <v>2121</v>
      </c>
      <c r="F63" s="177">
        <v>157</v>
      </c>
      <c r="G63" s="177">
        <v>1824</v>
      </c>
      <c r="H63" s="172">
        <v>575</v>
      </c>
      <c r="I63" s="178">
        <v>1.0364381762516193</v>
      </c>
      <c r="J63" s="180">
        <v>44587</v>
      </c>
      <c r="K63" s="180">
        <v>44587</v>
      </c>
      <c r="L63" s="180">
        <v>44587</v>
      </c>
      <c r="M63" s="10"/>
      <c r="N63" s="208">
        <v>44594</v>
      </c>
      <c r="O63" s="170" t="str">
        <f>IF(Harm_el_zewn[[#This Row],[Data wykonania]]&lt;&gt;0,"WYKONANE","NIEWYKONANE")</f>
        <v>WYKONANE</v>
      </c>
      <c r="P63" s="8"/>
    </row>
    <row r="64" spans="1:16" hidden="1" x14ac:dyDescent="0.25">
      <c r="A64" s="174" t="s">
        <v>2149</v>
      </c>
      <c r="B64" s="172">
        <v>63</v>
      </c>
      <c r="C64" s="175" t="s">
        <v>2203</v>
      </c>
      <c r="D64" s="174" t="s">
        <v>2058</v>
      </c>
      <c r="E64" s="174" t="s">
        <v>2121</v>
      </c>
      <c r="F64" s="177">
        <v>157</v>
      </c>
      <c r="G64" s="177">
        <v>1303</v>
      </c>
      <c r="H64" s="172">
        <v>575</v>
      </c>
      <c r="I64" s="178">
        <v>0.72392518524533978</v>
      </c>
      <c r="J64" s="180">
        <v>44587</v>
      </c>
      <c r="K64" s="180">
        <v>44587</v>
      </c>
      <c r="L64" s="180">
        <v>44587</v>
      </c>
      <c r="M64" s="10"/>
      <c r="N64" s="208">
        <v>44622</v>
      </c>
      <c r="O64" s="170" t="str">
        <f>IF(Harm_el_zewn[[#This Row],[Data wykonania]]&lt;&gt;0,"WYKONANE","NIEWYKONANE")</f>
        <v>WYKONANE</v>
      </c>
      <c r="P64" s="8"/>
    </row>
    <row r="65" spans="1:16" hidden="1" x14ac:dyDescent="0.25">
      <c r="A65" s="174" t="s">
        <v>2150</v>
      </c>
      <c r="B65" s="172">
        <v>64</v>
      </c>
      <c r="C65" s="175" t="s">
        <v>2203</v>
      </c>
      <c r="D65" s="174" t="s">
        <v>2058</v>
      </c>
      <c r="E65" s="174" t="s">
        <v>2121</v>
      </c>
      <c r="F65" s="177">
        <v>157</v>
      </c>
      <c r="G65" s="177">
        <v>475</v>
      </c>
      <c r="H65" s="172">
        <v>575</v>
      </c>
      <c r="I65" s="178">
        <v>0.15812500004255001</v>
      </c>
      <c r="J65" s="180">
        <v>44587</v>
      </c>
      <c r="K65" s="180">
        <v>44587</v>
      </c>
      <c r="L65" s="180">
        <v>44587</v>
      </c>
      <c r="M65" s="10"/>
      <c r="N65" s="208">
        <v>44622</v>
      </c>
      <c r="O65" s="170" t="str">
        <f>IF(Harm_el_zewn[[#This Row],[Data wykonania]]&lt;&gt;0,"WYKONANE","NIEWYKONANE")</f>
        <v>WYKONANE</v>
      </c>
      <c r="P65" s="8"/>
    </row>
    <row r="66" spans="1:16" hidden="1" x14ac:dyDescent="0.25">
      <c r="A66" s="174" t="s">
        <v>2151</v>
      </c>
      <c r="B66" s="172">
        <v>65</v>
      </c>
      <c r="C66" s="175" t="s">
        <v>2203</v>
      </c>
      <c r="D66" s="174" t="s">
        <v>2058</v>
      </c>
      <c r="E66" s="174" t="s">
        <v>2121</v>
      </c>
      <c r="F66" s="177">
        <v>157</v>
      </c>
      <c r="G66" s="177">
        <v>1303</v>
      </c>
      <c r="H66" s="172">
        <v>575</v>
      </c>
      <c r="I66" s="178">
        <v>0.72392518782708992</v>
      </c>
      <c r="J66" s="180">
        <v>44587</v>
      </c>
      <c r="K66" s="180">
        <v>44587</v>
      </c>
      <c r="L66" s="180">
        <v>44587</v>
      </c>
      <c r="M66" s="10"/>
      <c r="N66" s="208">
        <v>44622</v>
      </c>
      <c r="O66" s="170" t="str">
        <f>IF(Harm_el_zewn[[#This Row],[Data wykonania]]&lt;&gt;0,"WYKONANE","NIEWYKONANE")</f>
        <v>WYKONANE</v>
      </c>
      <c r="P66" s="8"/>
    </row>
    <row r="67" spans="1:16" hidden="1" x14ac:dyDescent="0.25">
      <c r="A67" s="174" t="s">
        <v>2152</v>
      </c>
      <c r="B67" s="172">
        <v>66</v>
      </c>
      <c r="C67" s="175" t="s">
        <v>2203</v>
      </c>
      <c r="D67" s="174" t="s">
        <v>2058</v>
      </c>
      <c r="E67" s="174" t="s">
        <v>2121</v>
      </c>
      <c r="F67" s="177">
        <v>157</v>
      </c>
      <c r="G67" s="177">
        <v>475</v>
      </c>
      <c r="H67" s="172">
        <v>575</v>
      </c>
      <c r="I67" s="178">
        <v>0.15812499995745</v>
      </c>
      <c r="J67" s="180">
        <v>44587</v>
      </c>
      <c r="K67" s="180">
        <v>44587</v>
      </c>
      <c r="L67" s="180">
        <v>44587</v>
      </c>
      <c r="M67" s="10"/>
      <c r="N67" s="208">
        <v>44622</v>
      </c>
      <c r="O67" s="170" t="str">
        <f>IF(Harm_el_zewn[[#This Row],[Data wykonania]]&lt;&gt;0,"WYKONANE","NIEWYKONANE")</f>
        <v>WYKONANE</v>
      </c>
      <c r="P67" s="8"/>
    </row>
    <row r="68" spans="1:16" hidden="1" x14ac:dyDescent="0.25">
      <c r="A68" s="174" t="s">
        <v>2153</v>
      </c>
      <c r="B68" s="172">
        <v>67</v>
      </c>
      <c r="C68" s="175" t="s">
        <v>2203</v>
      </c>
      <c r="D68" s="174" t="s">
        <v>2058</v>
      </c>
      <c r="E68" s="174" t="s">
        <v>2121</v>
      </c>
      <c r="F68" s="177">
        <v>157</v>
      </c>
      <c r="G68" s="177">
        <v>1276</v>
      </c>
      <c r="H68" s="172">
        <v>575</v>
      </c>
      <c r="I68" s="178">
        <v>0.72105171813095326</v>
      </c>
      <c r="J68" s="180">
        <v>44587</v>
      </c>
      <c r="K68" s="180">
        <v>44587</v>
      </c>
      <c r="L68" s="180">
        <v>44587</v>
      </c>
      <c r="M68" s="10"/>
      <c r="N68" s="208">
        <v>44595</v>
      </c>
      <c r="O68" s="170" t="str">
        <f>IF(Harm_el_zewn[[#This Row],[Data wykonania]]&lt;&gt;0,"WYKONANE","NIEWYKONANE")</f>
        <v>WYKONANE</v>
      </c>
      <c r="P68" s="8"/>
    </row>
    <row r="69" spans="1:16" hidden="1" x14ac:dyDescent="0.25">
      <c r="A69" s="174" t="s">
        <v>2154</v>
      </c>
      <c r="B69" s="172">
        <v>68</v>
      </c>
      <c r="C69" s="175" t="s">
        <v>2203</v>
      </c>
      <c r="D69" s="174" t="s">
        <v>2058</v>
      </c>
      <c r="E69" s="174" t="s">
        <v>2121</v>
      </c>
      <c r="F69" s="177">
        <v>157</v>
      </c>
      <c r="G69" s="177">
        <v>470</v>
      </c>
      <c r="H69" s="172">
        <v>575</v>
      </c>
      <c r="I69" s="178">
        <v>0.15525000004657499</v>
      </c>
      <c r="J69" s="180">
        <v>44587</v>
      </c>
      <c r="K69" s="180">
        <v>44587</v>
      </c>
      <c r="L69" s="180">
        <v>44587</v>
      </c>
      <c r="M69" s="10"/>
      <c r="N69" s="208">
        <v>44595</v>
      </c>
      <c r="O69" s="170" t="str">
        <f>IF(Harm_el_zewn[[#This Row],[Data wykonania]]&lt;&gt;0,"WYKONANE","NIEWYKONANE")</f>
        <v>WYKONANE</v>
      </c>
      <c r="P69" s="8"/>
    </row>
    <row r="70" spans="1:16" hidden="1" x14ac:dyDescent="0.25">
      <c r="A70" s="174" t="s">
        <v>2155</v>
      </c>
      <c r="B70" s="172">
        <v>69</v>
      </c>
      <c r="C70" s="175" t="s">
        <v>2203</v>
      </c>
      <c r="D70" s="174" t="s">
        <v>2058</v>
      </c>
      <c r="E70" s="174" t="s">
        <v>2121</v>
      </c>
      <c r="F70" s="177">
        <v>157</v>
      </c>
      <c r="G70" s="177">
        <v>1276</v>
      </c>
      <c r="H70" s="172">
        <v>575</v>
      </c>
      <c r="I70" s="178">
        <v>0.72105171776870325</v>
      </c>
      <c r="J70" s="180">
        <v>44587</v>
      </c>
      <c r="K70" s="180">
        <v>44587</v>
      </c>
      <c r="L70" s="180">
        <v>44587</v>
      </c>
      <c r="M70" s="10"/>
      <c r="N70" s="208">
        <v>44595</v>
      </c>
      <c r="O70" s="170" t="str">
        <f>IF(Harm_el_zewn[[#This Row],[Data wykonania]]&lt;&gt;0,"WYKONANE","NIEWYKONANE")</f>
        <v>WYKONANE</v>
      </c>
      <c r="P70" s="8"/>
    </row>
    <row r="71" spans="1:16" hidden="1" x14ac:dyDescent="0.25">
      <c r="A71" s="174" t="s">
        <v>2156</v>
      </c>
      <c r="B71" s="172">
        <v>70</v>
      </c>
      <c r="C71" s="175" t="s">
        <v>2203</v>
      </c>
      <c r="D71" s="174" t="s">
        <v>2058</v>
      </c>
      <c r="E71" s="174" t="s">
        <v>2121</v>
      </c>
      <c r="F71" s="177">
        <v>157</v>
      </c>
      <c r="G71" s="177">
        <v>1266</v>
      </c>
      <c r="H71" s="172">
        <v>575</v>
      </c>
      <c r="I71" s="178">
        <v>0.71530019813136569</v>
      </c>
      <c r="J71" s="180">
        <v>44587</v>
      </c>
      <c r="K71" s="180">
        <v>44587</v>
      </c>
      <c r="L71" s="180">
        <v>44587</v>
      </c>
      <c r="M71" s="10"/>
      <c r="N71" s="208">
        <v>44593</v>
      </c>
      <c r="O71" s="170" t="str">
        <f>IF(Harm_el_zewn[[#This Row],[Data wykonania]]&lt;&gt;0,"WYKONANE","NIEWYKONANE")</f>
        <v>WYKONANE</v>
      </c>
      <c r="P71" s="8"/>
    </row>
    <row r="72" spans="1:16" hidden="1" x14ac:dyDescent="0.25">
      <c r="A72" s="174" t="s">
        <v>2157</v>
      </c>
      <c r="B72" s="172">
        <v>71</v>
      </c>
      <c r="C72" s="175" t="s">
        <v>2203</v>
      </c>
      <c r="D72" s="174" t="s">
        <v>2058</v>
      </c>
      <c r="E72" s="174" t="s">
        <v>2121</v>
      </c>
      <c r="F72" s="177">
        <v>157</v>
      </c>
      <c r="G72" s="177">
        <v>470</v>
      </c>
      <c r="H72" s="172">
        <v>575</v>
      </c>
      <c r="I72" s="178">
        <v>0.15525</v>
      </c>
      <c r="J72" s="180">
        <v>44587</v>
      </c>
      <c r="K72" s="180">
        <v>44587</v>
      </c>
      <c r="L72" s="180">
        <v>44587</v>
      </c>
      <c r="M72" s="10"/>
      <c r="N72" s="208">
        <v>44593</v>
      </c>
      <c r="O72" s="170" t="str">
        <f>IF(Harm_el_zewn[[#This Row],[Data wykonania]]&lt;&gt;0,"WYKONANE","NIEWYKONANE")</f>
        <v>WYKONANE</v>
      </c>
      <c r="P72" s="8"/>
    </row>
    <row r="73" spans="1:16" hidden="1" x14ac:dyDescent="0.25">
      <c r="A73" s="174" t="s">
        <v>2158</v>
      </c>
      <c r="B73" s="172">
        <v>72</v>
      </c>
      <c r="C73" s="175" t="s">
        <v>2203</v>
      </c>
      <c r="D73" s="174" t="s">
        <v>2058</v>
      </c>
      <c r="E73" s="174" t="s">
        <v>2121</v>
      </c>
      <c r="F73" s="177">
        <v>157</v>
      </c>
      <c r="G73" s="177">
        <v>1266</v>
      </c>
      <c r="H73" s="172">
        <v>575</v>
      </c>
      <c r="I73" s="178">
        <v>0.71530018911479021</v>
      </c>
      <c r="J73" s="180">
        <v>44587</v>
      </c>
      <c r="K73" s="180">
        <v>44587</v>
      </c>
      <c r="L73" s="180">
        <v>44587</v>
      </c>
      <c r="M73" s="10"/>
      <c r="N73" s="208">
        <v>44593</v>
      </c>
      <c r="O73" s="170" t="str">
        <f>IF(Harm_el_zewn[[#This Row],[Data wykonania]]&lt;&gt;0,"WYKONANE","NIEWYKONANE")</f>
        <v>WYKONANE</v>
      </c>
      <c r="P73" s="8"/>
    </row>
    <row r="74" spans="1:16" hidden="1" x14ac:dyDescent="0.25">
      <c r="A74" s="174" t="s">
        <v>2159</v>
      </c>
      <c r="B74" s="172">
        <v>73</v>
      </c>
      <c r="C74" s="175" t="s">
        <v>2203</v>
      </c>
      <c r="D74" s="174" t="s">
        <v>2058</v>
      </c>
      <c r="E74" s="174" t="s">
        <v>2121</v>
      </c>
      <c r="F74" s="177">
        <v>157</v>
      </c>
      <c r="G74" s="177">
        <v>1499</v>
      </c>
      <c r="H74" s="172">
        <v>575</v>
      </c>
      <c r="I74" s="178">
        <v>0.84927517761887339</v>
      </c>
      <c r="J74" s="180">
        <v>44587</v>
      </c>
      <c r="K74" s="180">
        <v>44587</v>
      </c>
      <c r="L74" s="180">
        <v>44587</v>
      </c>
      <c r="M74" s="10"/>
      <c r="N74" s="208">
        <v>44593</v>
      </c>
      <c r="O74" s="170" t="str">
        <f>IF(Harm_el_zewn[[#This Row],[Data wykonania]]&lt;&gt;0,"WYKONANE","NIEWYKONANE")</f>
        <v>WYKONANE</v>
      </c>
      <c r="P74" s="8"/>
    </row>
    <row r="75" spans="1:16" hidden="1" x14ac:dyDescent="0.25">
      <c r="A75" s="174" t="s">
        <v>2160</v>
      </c>
      <c r="B75" s="172">
        <v>74</v>
      </c>
      <c r="C75" s="175" t="s">
        <v>2203</v>
      </c>
      <c r="D75" s="174" t="s">
        <v>2058</v>
      </c>
      <c r="E75" s="174" t="s">
        <v>2121</v>
      </c>
      <c r="F75" s="177">
        <v>157</v>
      </c>
      <c r="G75" s="177">
        <v>484</v>
      </c>
      <c r="H75" s="172">
        <v>575</v>
      </c>
      <c r="I75" s="178">
        <v>0.16243750000000001</v>
      </c>
      <c r="J75" s="180">
        <v>44587</v>
      </c>
      <c r="K75" s="180">
        <v>44587</v>
      </c>
      <c r="L75" s="180">
        <v>44587</v>
      </c>
      <c r="M75" s="10"/>
      <c r="N75" s="208">
        <v>44593</v>
      </c>
      <c r="O75" s="170" t="str">
        <f>IF(Harm_el_zewn[[#This Row],[Data wykonania]]&lt;&gt;0,"WYKONANE","NIEWYKONANE")</f>
        <v>WYKONANE</v>
      </c>
      <c r="P75" s="8"/>
    </row>
    <row r="76" spans="1:16" hidden="1" x14ac:dyDescent="0.25">
      <c r="A76" s="174" t="s">
        <v>2161</v>
      </c>
      <c r="B76" s="172">
        <v>75</v>
      </c>
      <c r="C76" s="175" t="s">
        <v>2203</v>
      </c>
      <c r="D76" s="174" t="s">
        <v>2058</v>
      </c>
      <c r="E76" s="174" t="s">
        <v>2121</v>
      </c>
      <c r="F76" s="177">
        <v>157</v>
      </c>
      <c r="G76" s="177">
        <v>1499</v>
      </c>
      <c r="H76" s="172">
        <v>575</v>
      </c>
      <c r="I76" s="178">
        <v>0.84927524658840359</v>
      </c>
      <c r="J76" s="180">
        <v>44587</v>
      </c>
      <c r="K76" s="180">
        <v>44587</v>
      </c>
      <c r="L76" s="180">
        <v>44587</v>
      </c>
      <c r="M76" s="10"/>
      <c r="N76" s="208">
        <v>44593</v>
      </c>
      <c r="O76" s="170" t="str">
        <f>IF(Harm_el_zewn[[#This Row],[Data wykonania]]&lt;&gt;0,"WYKONANE","NIEWYKONANE")</f>
        <v>WYKONANE</v>
      </c>
      <c r="P76" s="8"/>
    </row>
    <row r="77" spans="1:16" hidden="1" x14ac:dyDescent="0.25">
      <c r="A77" s="174" t="s">
        <v>2162</v>
      </c>
      <c r="B77" s="172">
        <v>76</v>
      </c>
      <c r="C77" s="175" t="s">
        <v>2203</v>
      </c>
      <c r="D77" s="174" t="s">
        <v>2058</v>
      </c>
      <c r="E77" s="174" t="s">
        <v>2121</v>
      </c>
      <c r="F77" s="177">
        <v>157</v>
      </c>
      <c r="G77" s="177">
        <v>1438</v>
      </c>
      <c r="H77" s="172">
        <v>575</v>
      </c>
      <c r="I77" s="178">
        <v>0.8142001802109039</v>
      </c>
      <c r="J77" s="180">
        <v>44587</v>
      </c>
      <c r="K77" s="180">
        <v>44587</v>
      </c>
      <c r="L77" s="180">
        <v>44587</v>
      </c>
      <c r="M77" s="10"/>
      <c r="N77" s="208">
        <v>44595</v>
      </c>
      <c r="O77" s="170" t="str">
        <f>IF(Harm_el_zewn[[#This Row],[Data wykonania]]&lt;&gt;0,"WYKONANE","NIEWYKONANE")</f>
        <v>WYKONANE</v>
      </c>
      <c r="P77" s="8"/>
    </row>
    <row r="78" spans="1:16" hidden="1" x14ac:dyDescent="0.25">
      <c r="A78" s="174" t="s">
        <v>2163</v>
      </c>
      <c r="B78" s="172">
        <v>77</v>
      </c>
      <c r="C78" s="175" t="s">
        <v>2203</v>
      </c>
      <c r="D78" s="174" t="s">
        <v>2058</v>
      </c>
      <c r="E78" s="174" t="s">
        <v>2121</v>
      </c>
      <c r="F78" s="177">
        <v>157</v>
      </c>
      <c r="G78" s="177">
        <v>484</v>
      </c>
      <c r="H78" s="172">
        <v>575</v>
      </c>
      <c r="I78" s="178">
        <v>0.16243750000000001</v>
      </c>
      <c r="J78" s="180">
        <v>44587</v>
      </c>
      <c r="K78" s="180">
        <v>44587</v>
      </c>
      <c r="L78" s="180">
        <v>44587</v>
      </c>
      <c r="M78" s="10"/>
      <c r="N78" s="208">
        <v>44595</v>
      </c>
      <c r="O78" s="170" t="str">
        <f>IF(Harm_el_zewn[[#This Row],[Data wykonania]]&lt;&gt;0,"WYKONANE","NIEWYKONANE")</f>
        <v>WYKONANE</v>
      </c>
      <c r="P78" s="8"/>
    </row>
    <row r="79" spans="1:16" hidden="1" x14ac:dyDescent="0.25">
      <c r="A79" s="174" t="s">
        <v>2164</v>
      </c>
      <c r="B79" s="172">
        <v>78</v>
      </c>
      <c r="C79" s="175" t="s">
        <v>2203</v>
      </c>
      <c r="D79" s="174" t="s">
        <v>2058</v>
      </c>
      <c r="E79" s="174" t="s">
        <v>2121</v>
      </c>
      <c r="F79" s="177">
        <v>157</v>
      </c>
      <c r="G79" s="177">
        <v>1438</v>
      </c>
      <c r="H79" s="172">
        <v>575</v>
      </c>
      <c r="I79" s="178">
        <v>0.8142001799883789</v>
      </c>
      <c r="J79" s="180">
        <v>44587</v>
      </c>
      <c r="K79" s="180">
        <v>44587</v>
      </c>
      <c r="L79" s="180">
        <v>44587</v>
      </c>
      <c r="M79" s="10"/>
      <c r="N79" s="208">
        <v>44595</v>
      </c>
      <c r="O79" s="170" t="str">
        <f>IF(Harm_el_zewn[[#This Row],[Data wykonania]]&lt;&gt;0,"WYKONANE","NIEWYKONANE")</f>
        <v>WYKONANE</v>
      </c>
      <c r="P79" s="8"/>
    </row>
    <row r="80" spans="1:16" hidden="1" x14ac:dyDescent="0.25">
      <c r="A80" s="174" t="s">
        <v>2165</v>
      </c>
      <c r="B80" s="172">
        <v>79</v>
      </c>
      <c r="C80" s="175" t="s">
        <v>2203</v>
      </c>
      <c r="D80" s="174" t="s">
        <v>2058</v>
      </c>
      <c r="E80" s="174" t="s">
        <v>2121</v>
      </c>
      <c r="F80" s="177">
        <v>157</v>
      </c>
      <c r="G80" s="177">
        <v>544</v>
      </c>
      <c r="H80" s="172">
        <v>575</v>
      </c>
      <c r="I80" s="178">
        <v>0.28750033661329832</v>
      </c>
      <c r="J80" s="180">
        <v>44587</v>
      </c>
      <c r="K80" s="180">
        <v>44587</v>
      </c>
      <c r="L80" s="180">
        <v>44587</v>
      </c>
      <c r="M80" s="10"/>
      <c r="N80" s="208">
        <v>44595</v>
      </c>
      <c r="O80" s="170" t="str">
        <f>IF(Harm_el_zewn[[#This Row],[Data wykonania]]&lt;&gt;0,"WYKONANE","NIEWYKONANE")</f>
        <v>WYKONANE</v>
      </c>
      <c r="P80" s="8"/>
    </row>
    <row r="81" spans="1:16" hidden="1" x14ac:dyDescent="0.25">
      <c r="A81" s="174" t="s">
        <v>2166</v>
      </c>
      <c r="B81" s="172">
        <v>80</v>
      </c>
      <c r="C81" s="175" t="s">
        <v>2203</v>
      </c>
      <c r="D81" s="174" t="s">
        <v>2058</v>
      </c>
      <c r="E81" s="174" t="s">
        <v>2121</v>
      </c>
      <c r="F81" s="177">
        <v>157</v>
      </c>
      <c r="G81" s="177">
        <v>490</v>
      </c>
      <c r="H81" s="172">
        <v>575</v>
      </c>
      <c r="I81" s="178">
        <v>0.16675000004255</v>
      </c>
      <c r="J81" s="180">
        <v>44587</v>
      </c>
      <c r="K81" s="180">
        <v>44587</v>
      </c>
      <c r="L81" s="180">
        <v>44587</v>
      </c>
      <c r="M81" s="10"/>
      <c r="N81" s="208">
        <v>44595</v>
      </c>
      <c r="O81" s="170" t="str">
        <f>IF(Harm_el_zewn[[#This Row],[Data wykonania]]&lt;&gt;0,"WYKONANE","NIEWYKONANE")</f>
        <v>WYKONANE</v>
      </c>
      <c r="P81" s="8"/>
    </row>
    <row r="82" spans="1:16" hidden="1" x14ac:dyDescent="0.25">
      <c r="A82" s="174" t="s">
        <v>2167</v>
      </c>
      <c r="B82" s="172">
        <v>81</v>
      </c>
      <c r="C82" s="175" t="s">
        <v>2203</v>
      </c>
      <c r="D82" s="174" t="s">
        <v>2058</v>
      </c>
      <c r="E82" s="174" t="s">
        <v>2121</v>
      </c>
      <c r="F82" s="177">
        <v>157</v>
      </c>
      <c r="G82" s="177">
        <v>544</v>
      </c>
      <c r="H82" s="172">
        <v>575</v>
      </c>
      <c r="I82" s="178">
        <v>0.28750033656039836</v>
      </c>
      <c r="J82" s="180">
        <v>44587</v>
      </c>
      <c r="K82" s="180">
        <v>44587</v>
      </c>
      <c r="L82" s="180">
        <v>44587</v>
      </c>
      <c r="M82" s="10"/>
      <c r="N82" s="208">
        <v>44595</v>
      </c>
      <c r="O82" s="170" t="str">
        <f>IF(Harm_el_zewn[[#This Row],[Data wykonania]]&lt;&gt;0,"WYKONANE","NIEWYKONANE")</f>
        <v>WYKONANE</v>
      </c>
      <c r="P82" s="8"/>
    </row>
    <row r="83" spans="1:16" hidden="1" x14ac:dyDescent="0.25">
      <c r="A83" s="174" t="s">
        <v>2168</v>
      </c>
      <c r="B83" s="172">
        <v>82</v>
      </c>
      <c r="C83" s="175" t="s">
        <v>2203</v>
      </c>
      <c r="D83" s="174" t="s">
        <v>2058</v>
      </c>
      <c r="E83" s="174" t="s">
        <v>2121</v>
      </c>
      <c r="F83" s="177">
        <v>157</v>
      </c>
      <c r="G83" s="177">
        <v>490</v>
      </c>
      <c r="H83" s="172">
        <v>575</v>
      </c>
      <c r="I83" s="178">
        <v>0.16674999995744999</v>
      </c>
      <c r="J83" s="180">
        <v>44587</v>
      </c>
      <c r="K83" s="180">
        <v>44587</v>
      </c>
      <c r="L83" s="180">
        <v>44587</v>
      </c>
      <c r="M83" s="10"/>
      <c r="N83" s="208">
        <v>44595</v>
      </c>
      <c r="O83" s="170" t="str">
        <f>IF(Harm_el_zewn[[#This Row],[Data wykonania]]&lt;&gt;0,"WYKONANE","NIEWYKONANE")</f>
        <v>WYKONANE</v>
      </c>
      <c r="P83" s="8"/>
    </row>
    <row r="84" spans="1:16" hidden="1" x14ac:dyDescent="0.25">
      <c r="A84" s="174" t="s">
        <v>2169</v>
      </c>
      <c r="B84" s="172">
        <v>83</v>
      </c>
      <c r="C84" s="175" t="s">
        <v>2203</v>
      </c>
      <c r="D84" s="174" t="s">
        <v>2058</v>
      </c>
      <c r="E84" s="174" t="s">
        <v>2121</v>
      </c>
      <c r="F84" s="177">
        <v>157</v>
      </c>
      <c r="G84" s="177">
        <v>1726</v>
      </c>
      <c r="H84" s="172">
        <v>591</v>
      </c>
      <c r="I84" s="178">
        <v>0.95537646843357593</v>
      </c>
      <c r="J84" s="180">
        <v>44587</v>
      </c>
      <c r="K84" s="180">
        <v>44587</v>
      </c>
      <c r="L84" s="180">
        <v>44587</v>
      </c>
      <c r="M84" s="10"/>
      <c r="N84" s="208">
        <v>44592</v>
      </c>
      <c r="O84" s="170" t="str">
        <f>IF(Harm_el_zewn[[#This Row],[Data wykonania]]&lt;&gt;0,"WYKONANE","NIEWYKONANE")</f>
        <v>WYKONANE</v>
      </c>
      <c r="P84" s="8"/>
    </row>
    <row r="85" spans="1:16" hidden="1" x14ac:dyDescent="0.25">
      <c r="A85" s="174" t="s">
        <v>2170</v>
      </c>
      <c r="B85" s="172">
        <v>84</v>
      </c>
      <c r="C85" s="175" t="s">
        <v>2203</v>
      </c>
      <c r="D85" s="174" t="s">
        <v>2058</v>
      </c>
      <c r="E85" s="174" t="s">
        <v>2121</v>
      </c>
      <c r="F85" s="177">
        <v>157</v>
      </c>
      <c r="G85" s="177">
        <v>477</v>
      </c>
      <c r="H85" s="172">
        <v>638</v>
      </c>
      <c r="I85" s="178">
        <v>0.15620446163109195</v>
      </c>
      <c r="J85" s="180">
        <v>44587</v>
      </c>
      <c r="K85" s="180">
        <v>44587</v>
      </c>
      <c r="L85" s="180">
        <v>44587</v>
      </c>
      <c r="M85" s="10"/>
      <c r="N85" s="208">
        <v>44592</v>
      </c>
      <c r="O85" s="170" t="str">
        <f>IF(Harm_el_zewn[[#This Row],[Data wykonania]]&lt;&gt;0,"WYKONANE","NIEWYKONANE")</f>
        <v>WYKONANE</v>
      </c>
      <c r="P85" s="8"/>
    </row>
    <row r="86" spans="1:16" hidden="1" x14ac:dyDescent="0.25">
      <c r="A86" s="174" t="s">
        <v>2171</v>
      </c>
      <c r="B86" s="172">
        <v>85</v>
      </c>
      <c r="C86" s="175" t="s">
        <v>2203</v>
      </c>
      <c r="D86" s="174" t="s">
        <v>2058</v>
      </c>
      <c r="E86" s="174" t="s">
        <v>2121</v>
      </c>
      <c r="F86" s="177">
        <v>157</v>
      </c>
      <c r="G86" s="177">
        <v>1726</v>
      </c>
      <c r="H86" s="172">
        <v>529</v>
      </c>
      <c r="I86" s="178">
        <v>0.86959408937068794</v>
      </c>
      <c r="J86" s="180">
        <v>44587</v>
      </c>
      <c r="K86" s="180">
        <v>44587</v>
      </c>
      <c r="L86" s="180">
        <v>44587</v>
      </c>
      <c r="M86" s="10"/>
      <c r="N86" s="208">
        <v>44592</v>
      </c>
      <c r="O86" s="170" t="str">
        <f>IF(Harm_el_zewn[[#This Row],[Data wykonania]]&lt;&gt;0,"WYKONANE","NIEWYKONANE")</f>
        <v>WYKONANE</v>
      </c>
      <c r="P86" s="8"/>
    </row>
    <row r="87" spans="1:16" hidden="1" x14ac:dyDescent="0.25">
      <c r="A87" s="174" t="s">
        <v>2172</v>
      </c>
      <c r="B87" s="172">
        <v>86</v>
      </c>
      <c r="C87" s="175" t="s">
        <v>2203</v>
      </c>
      <c r="D87" s="174" t="s">
        <v>2058</v>
      </c>
      <c r="E87" s="174" t="s">
        <v>2121</v>
      </c>
      <c r="F87" s="177">
        <v>157</v>
      </c>
      <c r="G87" s="177">
        <v>477</v>
      </c>
      <c r="H87" s="172">
        <v>638</v>
      </c>
      <c r="I87" s="178">
        <v>0.15620051121225834</v>
      </c>
      <c r="J87" s="180">
        <v>44587</v>
      </c>
      <c r="K87" s="180">
        <v>44587</v>
      </c>
      <c r="L87" s="180">
        <v>44587</v>
      </c>
      <c r="M87" s="10"/>
      <c r="N87" s="208">
        <v>44592</v>
      </c>
      <c r="O87" s="170" t="str">
        <f>IF(Harm_el_zewn[[#This Row],[Data wykonania]]&lt;&gt;0,"WYKONANE","NIEWYKONANE")</f>
        <v>WYKONANE</v>
      </c>
      <c r="P87" s="8"/>
    </row>
    <row r="88" spans="1:16" hidden="1" x14ac:dyDescent="0.25">
      <c r="A88" s="174" t="s">
        <v>2173</v>
      </c>
      <c r="B88" s="172">
        <v>87</v>
      </c>
      <c r="C88" s="175" t="s">
        <v>2203</v>
      </c>
      <c r="D88" s="174" t="s">
        <v>2058</v>
      </c>
      <c r="E88" s="174" t="s">
        <v>2121</v>
      </c>
      <c r="F88" s="177">
        <v>157</v>
      </c>
      <c r="G88" s="177">
        <v>1726</v>
      </c>
      <c r="H88" s="172">
        <v>591</v>
      </c>
      <c r="I88" s="178">
        <v>0.95537646843357593</v>
      </c>
      <c r="J88" s="180">
        <v>44587</v>
      </c>
      <c r="K88" s="180">
        <v>44587</v>
      </c>
      <c r="L88" s="180">
        <v>44587</v>
      </c>
      <c r="M88" s="10"/>
      <c r="N88" s="208">
        <v>44593</v>
      </c>
      <c r="O88" s="170" t="str">
        <f>IF(Harm_el_zewn[[#This Row],[Data wykonania]]&lt;&gt;0,"WYKONANE","NIEWYKONANE")</f>
        <v>WYKONANE</v>
      </c>
      <c r="P88" s="8"/>
    </row>
    <row r="89" spans="1:16" hidden="1" x14ac:dyDescent="0.25">
      <c r="A89" s="174" t="s">
        <v>2174</v>
      </c>
      <c r="B89" s="172">
        <v>88</v>
      </c>
      <c r="C89" s="175" t="s">
        <v>2203</v>
      </c>
      <c r="D89" s="174" t="s">
        <v>2058</v>
      </c>
      <c r="E89" s="174" t="s">
        <v>2121</v>
      </c>
      <c r="F89" s="177">
        <v>157</v>
      </c>
      <c r="G89" s="177">
        <v>477</v>
      </c>
      <c r="H89" s="172">
        <v>638</v>
      </c>
      <c r="I89" s="178">
        <v>0.15620446177122588</v>
      </c>
      <c r="J89" s="180">
        <v>44587</v>
      </c>
      <c r="K89" s="180">
        <v>44587</v>
      </c>
      <c r="L89" s="180">
        <v>44587</v>
      </c>
      <c r="M89" s="10"/>
      <c r="N89" s="208">
        <v>44593</v>
      </c>
      <c r="O89" s="170" t="str">
        <f>IF(Harm_el_zewn[[#This Row],[Data wykonania]]&lt;&gt;0,"WYKONANE","NIEWYKONANE")</f>
        <v>WYKONANE</v>
      </c>
      <c r="P89" s="8"/>
    </row>
    <row r="90" spans="1:16" hidden="1" x14ac:dyDescent="0.25">
      <c r="A90" s="174" t="s">
        <v>2175</v>
      </c>
      <c r="B90" s="172">
        <v>89</v>
      </c>
      <c r="C90" s="175" t="s">
        <v>2203</v>
      </c>
      <c r="D90" s="174" t="s">
        <v>2058</v>
      </c>
      <c r="E90" s="174" t="s">
        <v>2121</v>
      </c>
      <c r="F90" s="177">
        <v>157</v>
      </c>
      <c r="G90" s="177">
        <v>1726</v>
      </c>
      <c r="H90" s="172">
        <v>529</v>
      </c>
      <c r="I90" s="178">
        <v>0.86959408937068794</v>
      </c>
      <c r="J90" s="180">
        <v>44587</v>
      </c>
      <c r="K90" s="180">
        <v>44587</v>
      </c>
      <c r="L90" s="180">
        <v>44587</v>
      </c>
      <c r="M90" s="10"/>
      <c r="N90" s="208">
        <v>44593</v>
      </c>
      <c r="O90" s="170" t="str">
        <f>IF(Harm_el_zewn[[#This Row],[Data wykonania]]&lt;&gt;0,"WYKONANE","NIEWYKONANE")</f>
        <v>WYKONANE</v>
      </c>
      <c r="P90" s="8"/>
    </row>
    <row r="91" spans="1:16" hidden="1" x14ac:dyDescent="0.25">
      <c r="A91" s="174" t="s">
        <v>2176</v>
      </c>
      <c r="B91" s="172">
        <v>90</v>
      </c>
      <c r="C91" s="175" t="s">
        <v>2203</v>
      </c>
      <c r="D91" s="174" t="s">
        <v>2058</v>
      </c>
      <c r="E91" s="174" t="s">
        <v>2121</v>
      </c>
      <c r="F91" s="177">
        <v>157</v>
      </c>
      <c r="G91" s="177">
        <v>477</v>
      </c>
      <c r="H91" s="172">
        <v>638</v>
      </c>
      <c r="I91" s="178">
        <v>0.15620051121225834</v>
      </c>
      <c r="J91" s="180">
        <v>44587</v>
      </c>
      <c r="K91" s="180">
        <v>44587</v>
      </c>
      <c r="L91" s="180">
        <v>44587</v>
      </c>
      <c r="M91" s="10"/>
      <c r="N91" s="208">
        <v>44593</v>
      </c>
      <c r="O91" s="170" t="str">
        <f>IF(Harm_el_zewn[[#This Row],[Data wykonania]]&lt;&gt;0,"WYKONANE","NIEWYKONANE")</f>
        <v>WYKONANE</v>
      </c>
      <c r="P91" s="8"/>
    </row>
    <row r="92" spans="1:16" hidden="1" x14ac:dyDescent="0.25">
      <c r="A92" s="174" t="s">
        <v>2177</v>
      </c>
      <c r="B92" s="172">
        <v>91</v>
      </c>
      <c r="C92" s="175" t="s">
        <v>2203</v>
      </c>
      <c r="D92" s="174" t="s">
        <v>2058</v>
      </c>
      <c r="E92" s="174" t="s">
        <v>2121</v>
      </c>
      <c r="F92" s="177">
        <v>157</v>
      </c>
      <c r="G92" s="177">
        <v>1064</v>
      </c>
      <c r="H92" s="172">
        <v>591</v>
      </c>
      <c r="I92" s="178">
        <v>0.57936059479142399</v>
      </c>
      <c r="J92" s="180">
        <v>44587</v>
      </c>
      <c r="K92" s="180">
        <v>44587</v>
      </c>
      <c r="L92" s="180">
        <v>44587</v>
      </c>
      <c r="M92" s="10"/>
      <c r="N92" s="208">
        <v>44594</v>
      </c>
      <c r="O92" s="170" t="str">
        <f>IF(Harm_el_zewn[[#This Row],[Data wykonania]]&lt;&gt;0,"WYKONANE","NIEWYKONANE")</f>
        <v>WYKONANE</v>
      </c>
      <c r="P92" s="8"/>
    </row>
    <row r="93" spans="1:16" hidden="1" x14ac:dyDescent="0.25">
      <c r="A93" s="174" t="s">
        <v>2178</v>
      </c>
      <c r="B93" s="172">
        <v>92</v>
      </c>
      <c r="C93" s="175" t="s">
        <v>2203</v>
      </c>
      <c r="D93" s="174" t="s">
        <v>2058</v>
      </c>
      <c r="E93" s="174" t="s">
        <v>2121</v>
      </c>
      <c r="F93" s="177">
        <v>157</v>
      </c>
      <c r="G93" s="177">
        <v>812</v>
      </c>
      <c r="H93" s="172">
        <v>638</v>
      </c>
      <c r="I93" s="178">
        <v>0.34648829178574453</v>
      </c>
      <c r="J93" s="180">
        <v>44587</v>
      </c>
      <c r="K93" s="180">
        <v>44587</v>
      </c>
      <c r="L93" s="180">
        <v>44587</v>
      </c>
      <c r="M93" s="10"/>
      <c r="N93" s="208">
        <v>44594</v>
      </c>
      <c r="O93" s="170" t="str">
        <f>IF(Harm_el_zewn[[#This Row],[Data wykonania]]&lt;&gt;0,"WYKONANE","NIEWYKONANE")</f>
        <v>WYKONANE</v>
      </c>
      <c r="P93" s="8"/>
    </row>
    <row r="94" spans="1:16" hidden="1" x14ac:dyDescent="0.25">
      <c r="A94" s="174" t="s">
        <v>2179</v>
      </c>
      <c r="B94" s="172">
        <v>93</v>
      </c>
      <c r="C94" s="175" t="s">
        <v>2203</v>
      </c>
      <c r="D94" s="174" t="s">
        <v>2058</v>
      </c>
      <c r="E94" s="174" t="s">
        <v>2121</v>
      </c>
      <c r="F94" s="177">
        <v>157</v>
      </c>
      <c r="G94" s="177">
        <v>1064</v>
      </c>
      <c r="H94" s="172">
        <v>529</v>
      </c>
      <c r="I94" s="178">
        <v>0.527340144945603</v>
      </c>
      <c r="J94" s="180">
        <v>44587</v>
      </c>
      <c r="K94" s="180">
        <v>44587</v>
      </c>
      <c r="L94" s="180">
        <v>44587</v>
      </c>
      <c r="M94" s="10"/>
      <c r="N94" s="208">
        <v>44594</v>
      </c>
      <c r="O94" s="170" t="str">
        <f>IF(Harm_el_zewn[[#This Row],[Data wykonania]]&lt;&gt;0,"WYKONANE","NIEWYKONANE")</f>
        <v>WYKONANE</v>
      </c>
      <c r="P94" s="8"/>
    </row>
    <row r="95" spans="1:16" hidden="1" x14ac:dyDescent="0.25">
      <c r="A95" s="174" t="s">
        <v>2180</v>
      </c>
      <c r="B95" s="172">
        <v>94</v>
      </c>
      <c r="C95" s="175" t="s">
        <v>2203</v>
      </c>
      <c r="D95" s="174" t="s">
        <v>2058</v>
      </c>
      <c r="E95" s="174" t="s">
        <v>2121</v>
      </c>
      <c r="F95" s="177">
        <v>157</v>
      </c>
      <c r="G95" s="177">
        <v>812</v>
      </c>
      <c r="H95" s="172">
        <v>638</v>
      </c>
      <c r="I95" s="178">
        <v>0.34648284599621165</v>
      </c>
      <c r="J95" s="180">
        <v>44587</v>
      </c>
      <c r="K95" s="180">
        <v>44587</v>
      </c>
      <c r="L95" s="180">
        <v>44587</v>
      </c>
      <c r="M95" s="10"/>
      <c r="N95" s="208">
        <v>44594</v>
      </c>
      <c r="O95" s="170" t="str">
        <f>IF(Harm_el_zewn[[#This Row],[Data wykonania]]&lt;&gt;0,"WYKONANE","NIEWYKONANE")</f>
        <v>WYKONANE</v>
      </c>
      <c r="P95" s="8"/>
    </row>
    <row r="96" spans="1:16" hidden="1" x14ac:dyDescent="0.25">
      <c r="A96" s="174" t="s">
        <v>2181</v>
      </c>
      <c r="B96" s="172">
        <v>95</v>
      </c>
      <c r="C96" s="175" t="s">
        <v>2203</v>
      </c>
      <c r="D96" s="174" t="s">
        <v>2058</v>
      </c>
      <c r="E96" s="174" t="s">
        <v>2121</v>
      </c>
      <c r="F96" s="177">
        <v>157</v>
      </c>
      <c r="G96" s="177">
        <v>1174</v>
      </c>
      <c r="H96" s="172">
        <v>591</v>
      </c>
      <c r="I96" s="178">
        <v>0.64184143300947194</v>
      </c>
      <c r="J96" s="180">
        <v>44587</v>
      </c>
      <c r="K96" s="180">
        <v>44587</v>
      </c>
      <c r="L96" s="180">
        <v>44587</v>
      </c>
      <c r="M96" s="10"/>
      <c r="N96" s="208">
        <v>44594</v>
      </c>
      <c r="O96" s="170" t="str">
        <f>IF(Harm_el_zewn[[#This Row],[Data wykonania]]&lt;&gt;0,"WYKONANE","NIEWYKONANE")</f>
        <v>WYKONANE</v>
      </c>
      <c r="P96" s="8"/>
    </row>
    <row r="97" spans="1:16" hidden="1" x14ac:dyDescent="0.25">
      <c r="A97" s="174" t="s">
        <v>2182</v>
      </c>
      <c r="B97" s="172">
        <v>96</v>
      </c>
      <c r="C97" s="175" t="s">
        <v>2203</v>
      </c>
      <c r="D97" s="174" t="s">
        <v>2058</v>
      </c>
      <c r="E97" s="174" t="s">
        <v>2121</v>
      </c>
      <c r="F97" s="177">
        <v>157</v>
      </c>
      <c r="G97" s="177">
        <v>485</v>
      </c>
      <c r="H97" s="172">
        <v>638</v>
      </c>
      <c r="I97" s="178">
        <v>0.16046673398907957</v>
      </c>
      <c r="J97" s="180">
        <v>44587</v>
      </c>
      <c r="K97" s="180">
        <v>44587</v>
      </c>
      <c r="L97" s="180">
        <v>44587</v>
      </c>
      <c r="M97" s="10"/>
      <c r="N97" s="208">
        <v>44594</v>
      </c>
      <c r="O97" s="170" t="str">
        <f>IF(Harm_el_zewn[[#This Row],[Data wykonania]]&lt;&gt;0,"WYKONANE","NIEWYKONANE")</f>
        <v>WYKONANE</v>
      </c>
      <c r="P97" s="8"/>
    </row>
    <row r="98" spans="1:16" hidden="1" x14ac:dyDescent="0.25">
      <c r="A98" s="174" t="s">
        <v>2183</v>
      </c>
      <c r="B98" s="172">
        <v>97</v>
      </c>
      <c r="C98" s="175" t="s">
        <v>2203</v>
      </c>
      <c r="D98" s="174" t="s">
        <v>2058</v>
      </c>
      <c r="E98" s="174" t="s">
        <v>2121</v>
      </c>
      <c r="F98" s="177">
        <v>157</v>
      </c>
      <c r="G98" s="177">
        <v>1174</v>
      </c>
      <c r="H98" s="172">
        <v>529</v>
      </c>
      <c r="I98" s="178">
        <v>0.58421085719375498</v>
      </c>
      <c r="J98" s="180">
        <v>44587</v>
      </c>
      <c r="K98" s="180">
        <v>44587</v>
      </c>
      <c r="L98" s="180">
        <v>44587</v>
      </c>
      <c r="M98" s="10"/>
      <c r="N98" s="208">
        <v>44594</v>
      </c>
      <c r="O98" s="170" t="str">
        <f>IF(Harm_el_zewn[[#This Row],[Data wykonania]]&lt;&gt;0,"WYKONANE","NIEWYKONANE")</f>
        <v>WYKONANE</v>
      </c>
      <c r="P98" s="8"/>
    </row>
    <row r="99" spans="1:16" hidden="1" x14ac:dyDescent="0.25">
      <c r="A99" s="174" t="s">
        <v>2184</v>
      </c>
      <c r="B99" s="172">
        <v>98</v>
      </c>
      <c r="C99" s="175" t="s">
        <v>2203</v>
      </c>
      <c r="D99" s="174" t="s">
        <v>2058</v>
      </c>
      <c r="E99" s="174" t="s">
        <v>2121</v>
      </c>
      <c r="F99" s="177">
        <v>157</v>
      </c>
      <c r="G99" s="177">
        <v>485</v>
      </c>
      <c r="H99" s="172">
        <v>638</v>
      </c>
      <c r="I99" s="178">
        <v>0.16046013998204872</v>
      </c>
      <c r="J99" s="180">
        <v>44587</v>
      </c>
      <c r="K99" s="180">
        <v>44587</v>
      </c>
      <c r="L99" s="180">
        <v>44587</v>
      </c>
      <c r="M99" s="10"/>
      <c r="N99" s="208">
        <v>44594</v>
      </c>
      <c r="O99" s="170" t="str">
        <f>IF(Harm_el_zewn[[#This Row],[Data wykonania]]&lt;&gt;0,"WYKONANE","NIEWYKONANE")</f>
        <v>WYKONANE</v>
      </c>
      <c r="P99" s="8"/>
    </row>
    <row r="100" spans="1:16" hidden="1" x14ac:dyDescent="0.25">
      <c r="A100" s="174" t="s">
        <v>2185</v>
      </c>
      <c r="B100" s="172">
        <v>99</v>
      </c>
      <c r="C100" s="175" t="s">
        <v>2203</v>
      </c>
      <c r="D100" s="174" t="s">
        <v>2058</v>
      </c>
      <c r="E100" s="174" t="s">
        <v>2121</v>
      </c>
      <c r="F100" s="177">
        <v>157</v>
      </c>
      <c r="G100" s="177">
        <v>470</v>
      </c>
      <c r="H100" s="172">
        <v>575</v>
      </c>
      <c r="I100" s="178">
        <v>0.15524999995342501</v>
      </c>
      <c r="J100" s="180">
        <v>44587</v>
      </c>
      <c r="K100" s="180">
        <v>44587</v>
      </c>
      <c r="L100" s="180">
        <v>44587</v>
      </c>
      <c r="M100" s="10"/>
      <c r="N100" s="208">
        <v>44592</v>
      </c>
      <c r="O100" s="170" t="str">
        <f>IF(Harm_el_zewn[[#This Row],[Data wykonania]]&lt;&gt;0,"WYKONANE","NIEWYKONANE")</f>
        <v>WYKONANE</v>
      </c>
      <c r="P100" s="8"/>
    </row>
    <row r="101" spans="1:16" hidden="1" x14ac:dyDescent="0.25">
      <c r="A101" s="174" t="s">
        <v>2186</v>
      </c>
      <c r="B101" s="172">
        <v>100</v>
      </c>
      <c r="C101" s="175" t="s">
        <v>2203</v>
      </c>
      <c r="D101" s="174" t="s">
        <v>2058</v>
      </c>
      <c r="E101" s="174" t="s">
        <v>2121</v>
      </c>
      <c r="F101" s="177">
        <v>157</v>
      </c>
      <c r="G101" s="177">
        <v>470</v>
      </c>
      <c r="H101" s="172">
        <v>575</v>
      </c>
      <c r="I101" s="178">
        <v>0.15525000004657499</v>
      </c>
      <c r="J101" s="180">
        <v>44587</v>
      </c>
      <c r="K101" s="180">
        <v>44587</v>
      </c>
      <c r="L101" s="180">
        <v>44587</v>
      </c>
      <c r="M101" s="10"/>
      <c r="N101" s="208">
        <v>44594</v>
      </c>
      <c r="O101" s="170" t="str">
        <f>IF(Harm_el_zewn[[#This Row],[Data wykonania]]&lt;&gt;0,"WYKONANE","NIEWYKONANE")</f>
        <v>WYKONANE</v>
      </c>
      <c r="P101" s="8"/>
    </row>
    <row r="102" spans="1:16" hidden="1" x14ac:dyDescent="0.25">
      <c r="A102" s="174" t="s">
        <v>2187</v>
      </c>
      <c r="B102" s="172">
        <v>101</v>
      </c>
      <c r="C102" s="175" t="s">
        <v>2203</v>
      </c>
      <c r="D102" s="174" t="s">
        <v>2058</v>
      </c>
      <c r="E102" s="174" t="s">
        <v>2121</v>
      </c>
      <c r="F102" s="177">
        <v>157</v>
      </c>
      <c r="G102" s="177">
        <v>482</v>
      </c>
      <c r="H102" s="172">
        <v>575</v>
      </c>
      <c r="I102" s="178">
        <v>0.16243750000000001</v>
      </c>
      <c r="J102" s="180">
        <v>44587</v>
      </c>
      <c r="K102" s="180">
        <v>44587</v>
      </c>
      <c r="L102" s="180">
        <v>44587</v>
      </c>
      <c r="M102" s="10"/>
      <c r="N102" s="208">
        <v>44592</v>
      </c>
      <c r="O102" s="170" t="str">
        <f>IF(Harm_el_zewn[[#This Row],[Data wykonania]]&lt;&gt;0,"WYKONANE","NIEWYKONANE")</f>
        <v>WYKONANE</v>
      </c>
      <c r="P102" s="8"/>
    </row>
    <row r="103" spans="1:16" hidden="1" x14ac:dyDescent="0.25">
      <c r="A103" s="174" t="s">
        <v>2188</v>
      </c>
      <c r="B103" s="172">
        <v>102</v>
      </c>
      <c r="C103" s="175" t="s">
        <v>2203</v>
      </c>
      <c r="D103" s="174" t="s">
        <v>2058</v>
      </c>
      <c r="E103" s="174" t="s">
        <v>2121</v>
      </c>
      <c r="F103" s="177">
        <v>157</v>
      </c>
      <c r="G103" s="177">
        <v>482</v>
      </c>
      <c r="H103" s="172">
        <v>575</v>
      </c>
      <c r="I103" s="178">
        <v>0.16243750009257502</v>
      </c>
      <c r="J103" s="180">
        <v>44587</v>
      </c>
      <c r="K103" s="180">
        <v>44587</v>
      </c>
      <c r="L103" s="180">
        <v>44587</v>
      </c>
      <c r="M103" s="10"/>
      <c r="N103" s="208">
        <v>44593</v>
      </c>
      <c r="O103" s="170" t="str">
        <f>IF(Harm_el_zewn[[#This Row],[Data wykonania]]&lt;&gt;0,"WYKONANE","NIEWYKONANE")</f>
        <v>WYKONANE</v>
      </c>
      <c r="P103" s="8"/>
    </row>
    <row r="104" spans="1:16" hidden="1" x14ac:dyDescent="0.25">
      <c r="A104" s="174" t="s">
        <v>2189</v>
      </c>
      <c r="B104" s="172">
        <v>103</v>
      </c>
      <c r="C104" s="175" t="s">
        <v>2203</v>
      </c>
      <c r="D104" s="174" t="s">
        <v>2058</v>
      </c>
      <c r="E104" s="174" t="s">
        <v>2121</v>
      </c>
      <c r="F104" s="177">
        <v>157</v>
      </c>
      <c r="G104" s="177">
        <v>475</v>
      </c>
      <c r="H104" s="172">
        <v>575</v>
      </c>
      <c r="I104" s="178">
        <v>0.15812500009314998</v>
      </c>
      <c r="J104" s="180">
        <v>44587</v>
      </c>
      <c r="K104" s="180">
        <v>44587</v>
      </c>
      <c r="L104" s="180">
        <v>44587</v>
      </c>
      <c r="M104" s="10"/>
      <c r="N104" s="208">
        <v>44595</v>
      </c>
      <c r="O104" s="170" t="str">
        <f>IF(Harm_el_zewn[[#This Row],[Data wykonania]]&lt;&gt;0,"WYKONANE","NIEWYKONANE")</f>
        <v>WYKONANE</v>
      </c>
      <c r="P104" s="8"/>
    </row>
    <row r="105" spans="1:16" hidden="1" x14ac:dyDescent="0.25">
      <c r="A105" s="174" t="s">
        <v>2190</v>
      </c>
      <c r="B105" s="172">
        <v>104</v>
      </c>
      <c r="C105" s="175" t="s">
        <v>2203</v>
      </c>
      <c r="D105" s="174" t="s">
        <v>2058</v>
      </c>
      <c r="E105" s="174" t="s">
        <v>2121</v>
      </c>
      <c r="F105" s="177">
        <v>157</v>
      </c>
      <c r="G105" s="177">
        <v>475</v>
      </c>
      <c r="H105" s="172">
        <v>575</v>
      </c>
      <c r="I105" s="178">
        <v>0.15812499999999999</v>
      </c>
      <c r="J105" s="180">
        <v>44587</v>
      </c>
      <c r="K105" s="180">
        <v>44587</v>
      </c>
      <c r="L105" s="180">
        <v>44587</v>
      </c>
      <c r="M105" s="10"/>
      <c r="N105" s="208">
        <v>44594</v>
      </c>
      <c r="O105" s="170" t="str">
        <f>IF(Harm_el_zewn[[#This Row],[Data wykonania]]&lt;&gt;0,"WYKONANE","NIEWYKONANE")</f>
        <v>WYKONANE</v>
      </c>
      <c r="P105" s="8"/>
    </row>
    <row r="106" spans="1:16" hidden="1" x14ac:dyDescent="0.25">
      <c r="A106" s="174" t="s">
        <v>2191</v>
      </c>
      <c r="B106" s="172">
        <v>105</v>
      </c>
      <c r="C106" s="175" t="s">
        <v>2203</v>
      </c>
      <c r="D106" s="174" t="s">
        <v>2058</v>
      </c>
      <c r="E106" s="174" t="s">
        <v>2121</v>
      </c>
      <c r="F106" s="177">
        <v>157</v>
      </c>
      <c r="G106" s="177">
        <v>482</v>
      </c>
      <c r="H106" s="172">
        <v>575</v>
      </c>
      <c r="I106" s="178">
        <v>0.16243750000000001</v>
      </c>
      <c r="J106" s="180">
        <v>44587</v>
      </c>
      <c r="K106" s="180">
        <v>44587</v>
      </c>
      <c r="L106" s="180">
        <v>44587</v>
      </c>
      <c r="M106" s="10"/>
      <c r="N106" s="208">
        <v>44595</v>
      </c>
      <c r="O106" s="170" t="str">
        <f>IF(Harm_el_zewn[[#This Row],[Data wykonania]]&lt;&gt;0,"WYKONANE","NIEWYKONANE")</f>
        <v>WYKONANE</v>
      </c>
      <c r="P106" s="8"/>
    </row>
    <row r="107" spans="1:16" hidden="1" x14ac:dyDescent="0.25">
      <c r="A107" s="174" t="s">
        <v>2192</v>
      </c>
      <c r="B107" s="172">
        <v>106</v>
      </c>
      <c r="C107" s="175" t="s">
        <v>2203</v>
      </c>
      <c r="D107" s="174" t="s">
        <v>2058</v>
      </c>
      <c r="E107" s="174" t="s">
        <v>2121</v>
      </c>
      <c r="F107" s="177">
        <v>157</v>
      </c>
      <c r="G107" s="177">
        <v>482</v>
      </c>
      <c r="H107" s="172">
        <v>575</v>
      </c>
      <c r="I107" s="178">
        <v>0.16243750000000001</v>
      </c>
      <c r="J107" s="180">
        <v>44587</v>
      </c>
      <c r="K107" s="180">
        <v>44587</v>
      </c>
      <c r="L107" s="180">
        <v>44587</v>
      </c>
      <c r="M107" s="10"/>
      <c r="N107" s="208">
        <v>44593</v>
      </c>
      <c r="O107" s="170" t="str">
        <f>IF(Harm_el_zewn[[#This Row],[Data wykonania]]&lt;&gt;0,"WYKONANE","NIEWYKONANE")</f>
        <v>WYKONANE</v>
      </c>
      <c r="P107" s="8"/>
    </row>
    <row r="108" spans="1:16" hidden="1" x14ac:dyDescent="0.25">
      <c r="A108" s="174" t="s">
        <v>2193</v>
      </c>
      <c r="B108" s="172">
        <v>107</v>
      </c>
      <c r="C108" s="175" t="s">
        <v>2203</v>
      </c>
      <c r="D108" s="174" t="s">
        <v>2058</v>
      </c>
      <c r="E108" s="174" t="s">
        <v>2121</v>
      </c>
      <c r="F108" s="177">
        <v>157</v>
      </c>
      <c r="G108" s="177">
        <v>470</v>
      </c>
      <c r="H108" s="172">
        <v>575</v>
      </c>
      <c r="I108" s="178">
        <v>0.15525</v>
      </c>
      <c r="J108" s="180">
        <v>44587</v>
      </c>
      <c r="K108" s="180">
        <v>44587</v>
      </c>
      <c r="L108" s="180">
        <v>44587</v>
      </c>
      <c r="M108" s="10"/>
      <c r="N108" s="208">
        <v>44595</v>
      </c>
      <c r="O108" s="170" t="str">
        <f>IF(Harm_el_zewn[[#This Row],[Data wykonania]]&lt;&gt;0,"WYKONANE","NIEWYKONANE")</f>
        <v>WYKONANE</v>
      </c>
      <c r="P108" s="8"/>
    </row>
    <row r="109" spans="1:16" hidden="1" x14ac:dyDescent="0.25">
      <c r="A109" s="174" t="s">
        <v>2194</v>
      </c>
      <c r="B109" s="172">
        <v>108</v>
      </c>
      <c r="C109" s="175" t="s">
        <v>2203</v>
      </c>
      <c r="D109" s="174" t="s">
        <v>2058</v>
      </c>
      <c r="E109" s="174" t="s">
        <v>2121</v>
      </c>
      <c r="F109" s="177">
        <v>157</v>
      </c>
      <c r="G109" s="177">
        <v>470</v>
      </c>
      <c r="H109" s="172">
        <v>575</v>
      </c>
      <c r="I109" s="178">
        <v>0.15524999995342501</v>
      </c>
      <c r="J109" s="180">
        <v>44587</v>
      </c>
      <c r="K109" s="180">
        <v>44587</v>
      </c>
      <c r="L109" s="180">
        <v>44587</v>
      </c>
      <c r="M109" s="10"/>
      <c r="N109" s="208">
        <v>44593</v>
      </c>
      <c r="O109" s="170" t="str">
        <f>IF(Harm_el_zewn[[#This Row],[Data wykonania]]&lt;&gt;0,"WYKONANE","NIEWYKONANE")</f>
        <v>WYKONANE</v>
      </c>
      <c r="P109" s="8"/>
    </row>
    <row r="110" spans="1:16" hidden="1" x14ac:dyDescent="0.25">
      <c r="A110" s="174" t="s">
        <v>2195</v>
      </c>
      <c r="B110" s="172">
        <v>109</v>
      </c>
      <c r="C110" s="175" t="s">
        <v>2203</v>
      </c>
      <c r="D110" s="174" t="s">
        <v>2058</v>
      </c>
      <c r="E110" s="174" t="s">
        <v>2121</v>
      </c>
      <c r="F110" s="177">
        <v>157</v>
      </c>
      <c r="G110" s="177">
        <v>1064</v>
      </c>
      <c r="H110" s="172">
        <v>591</v>
      </c>
      <c r="I110" s="178">
        <v>0.57936059479142399</v>
      </c>
      <c r="J110" s="180">
        <v>44587</v>
      </c>
      <c r="K110" s="180">
        <v>44587</v>
      </c>
      <c r="L110" s="180">
        <v>44587</v>
      </c>
      <c r="M110" s="10"/>
      <c r="N110" s="208">
        <v>44593</v>
      </c>
      <c r="O110" s="170" t="str">
        <f>IF(Harm_el_zewn[[#This Row],[Data wykonania]]&lt;&gt;0,"WYKONANE","NIEWYKONANE")</f>
        <v>WYKONANE</v>
      </c>
      <c r="P110" s="8"/>
    </row>
    <row r="111" spans="1:16" hidden="1" x14ac:dyDescent="0.25">
      <c r="A111" s="174" t="s">
        <v>2196</v>
      </c>
      <c r="B111" s="172">
        <v>110</v>
      </c>
      <c r="C111" s="175" t="s">
        <v>2203</v>
      </c>
      <c r="D111" s="174" t="s">
        <v>2058</v>
      </c>
      <c r="E111" s="174" t="s">
        <v>2121</v>
      </c>
      <c r="F111" s="177">
        <v>157</v>
      </c>
      <c r="G111" s="177">
        <v>812</v>
      </c>
      <c r="H111" s="172">
        <v>591</v>
      </c>
      <c r="I111" s="178">
        <v>0.34648022246562166</v>
      </c>
      <c r="J111" s="180">
        <v>44587</v>
      </c>
      <c r="K111" s="180">
        <v>44587</v>
      </c>
      <c r="L111" s="180">
        <v>44587</v>
      </c>
      <c r="M111" s="10"/>
      <c r="N111" s="208">
        <v>44593</v>
      </c>
      <c r="O111" s="170" t="str">
        <f>IF(Harm_el_zewn[[#This Row],[Data wykonania]]&lt;&gt;0,"WYKONANE","NIEWYKONANE")</f>
        <v>WYKONANE</v>
      </c>
      <c r="P111" s="8"/>
    </row>
    <row r="112" spans="1:16" hidden="1" x14ac:dyDescent="0.25">
      <c r="A112" s="174" t="s">
        <v>2197</v>
      </c>
      <c r="B112" s="172">
        <v>111</v>
      </c>
      <c r="C112" s="175" t="s">
        <v>2203</v>
      </c>
      <c r="D112" s="174" t="s">
        <v>2058</v>
      </c>
      <c r="E112" s="174" t="s">
        <v>2121</v>
      </c>
      <c r="F112" s="177">
        <v>157</v>
      </c>
      <c r="G112" s="177">
        <v>1064</v>
      </c>
      <c r="H112" s="172">
        <v>529</v>
      </c>
      <c r="I112" s="178">
        <v>0.52734014496111303</v>
      </c>
      <c r="J112" s="180">
        <v>44587</v>
      </c>
      <c r="K112" s="180">
        <v>44587</v>
      </c>
      <c r="L112" s="180">
        <v>44587</v>
      </c>
      <c r="M112" s="10"/>
      <c r="N112" s="208">
        <v>44593</v>
      </c>
      <c r="O112" s="170" t="str">
        <f>IF(Harm_el_zewn[[#This Row],[Data wykonania]]&lt;&gt;0,"WYKONANE","NIEWYKONANE")</f>
        <v>WYKONANE</v>
      </c>
      <c r="P112" s="8"/>
    </row>
    <row r="113" spans="1:16" hidden="1" x14ac:dyDescent="0.25">
      <c r="A113" s="174" t="s">
        <v>2198</v>
      </c>
      <c r="B113" s="172">
        <v>112</v>
      </c>
      <c r="C113" s="175" t="s">
        <v>2203</v>
      </c>
      <c r="D113" s="174" t="s">
        <v>2058</v>
      </c>
      <c r="E113" s="174" t="s">
        <v>2121</v>
      </c>
      <c r="F113" s="177">
        <v>157</v>
      </c>
      <c r="G113" s="177">
        <v>812</v>
      </c>
      <c r="H113" s="172">
        <v>591</v>
      </c>
      <c r="I113" s="178">
        <v>0.3464800504148684</v>
      </c>
      <c r="J113" s="180">
        <v>44587</v>
      </c>
      <c r="K113" s="180">
        <v>44587</v>
      </c>
      <c r="L113" s="180">
        <v>44587</v>
      </c>
      <c r="M113" s="10"/>
      <c r="N113" s="208">
        <v>44593</v>
      </c>
      <c r="O113" s="170" t="str">
        <f>IF(Harm_el_zewn[[#This Row],[Data wykonania]]&lt;&gt;0,"WYKONANE","NIEWYKONANE")</f>
        <v>WYKONANE</v>
      </c>
      <c r="P113" s="8"/>
    </row>
    <row r="114" spans="1:16" hidden="1" x14ac:dyDescent="0.25">
      <c r="A114" s="174" t="s">
        <v>2199</v>
      </c>
      <c r="B114" s="172">
        <v>113</v>
      </c>
      <c r="C114" s="175" t="s">
        <v>2203</v>
      </c>
      <c r="D114" s="174" t="s">
        <v>2058</v>
      </c>
      <c r="E114" s="174" t="s">
        <v>2121</v>
      </c>
      <c r="F114" s="177">
        <v>157</v>
      </c>
      <c r="G114" s="177">
        <v>1174</v>
      </c>
      <c r="H114" s="172">
        <v>591</v>
      </c>
      <c r="I114" s="178">
        <v>0.64184143300947194</v>
      </c>
      <c r="J114" s="180">
        <v>44587</v>
      </c>
      <c r="K114" s="180">
        <v>44587</v>
      </c>
      <c r="L114" s="180">
        <v>44587</v>
      </c>
      <c r="M114" s="10"/>
      <c r="N114" s="208">
        <v>44593</v>
      </c>
      <c r="O114" s="170" t="str">
        <f>IF(Harm_el_zewn[[#This Row],[Data wykonania]]&lt;&gt;0,"WYKONANE","NIEWYKONANE")</f>
        <v>WYKONANE</v>
      </c>
      <c r="P114" s="8"/>
    </row>
    <row r="115" spans="1:16" hidden="1" x14ac:dyDescent="0.25">
      <c r="A115" s="174" t="s">
        <v>2200</v>
      </c>
      <c r="B115" s="172">
        <v>114</v>
      </c>
      <c r="C115" s="175" t="s">
        <v>2203</v>
      </c>
      <c r="D115" s="174" t="s">
        <v>2058</v>
      </c>
      <c r="E115" s="174" t="s">
        <v>2121</v>
      </c>
      <c r="F115" s="177">
        <v>157</v>
      </c>
      <c r="G115" s="177">
        <v>485</v>
      </c>
      <c r="H115" s="172">
        <v>591</v>
      </c>
      <c r="I115" s="178">
        <v>0.1604667340794835</v>
      </c>
      <c r="J115" s="180">
        <v>44587</v>
      </c>
      <c r="K115" s="180">
        <v>44587</v>
      </c>
      <c r="L115" s="180">
        <v>44587</v>
      </c>
      <c r="M115" s="10"/>
      <c r="N115" s="208">
        <v>44593</v>
      </c>
      <c r="O115" s="170" t="str">
        <f>IF(Harm_el_zewn[[#This Row],[Data wykonania]]&lt;&gt;0,"WYKONANE","NIEWYKONANE")</f>
        <v>WYKONANE</v>
      </c>
      <c r="P115" s="8"/>
    </row>
    <row r="116" spans="1:16" hidden="1" x14ac:dyDescent="0.25">
      <c r="A116" s="174" t="s">
        <v>2201</v>
      </c>
      <c r="B116" s="172">
        <v>115</v>
      </c>
      <c r="C116" s="175" t="s">
        <v>2203</v>
      </c>
      <c r="D116" s="174" t="s">
        <v>2058</v>
      </c>
      <c r="E116" s="174" t="s">
        <v>2121</v>
      </c>
      <c r="F116" s="177">
        <v>157</v>
      </c>
      <c r="G116" s="177">
        <v>1174</v>
      </c>
      <c r="H116" s="172">
        <v>529</v>
      </c>
      <c r="I116" s="178">
        <v>0.58421085719375498</v>
      </c>
      <c r="J116" s="180">
        <v>44587</v>
      </c>
      <c r="K116" s="180">
        <v>44587</v>
      </c>
      <c r="L116" s="180">
        <v>44587</v>
      </c>
      <c r="M116" s="10"/>
      <c r="N116" s="208">
        <v>44593</v>
      </c>
      <c r="O116" s="170" t="str">
        <f>IF(Harm_el_zewn[[#This Row],[Data wykonania]]&lt;&gt;0,"WYKONANE","NIEWYKONANE")</f>
        <v>WYKONANE</v>
      </c>
      <c r="P116" s="8"/>
    </row>
    <row r="117" spans="1:16" hidden="1" x14ac:dyDescent="0.25">
      <c r="A117" s="174" t="s">
        <v>2202</v>
      </c>
      <c r="B117" s="172">
        <v>116</v>
      </c>
      <c r="C117" s="175" t="s">
        <v>2203</v>
      </c>
      <c r="D117" s="174" t="s">
        <v>2058</v>
      </c>
      <c r="E117" s="174" t="s">
        <v>2121</v>
      </c>
      <c r="F117" s="177">
        <v>157</v>
      </c>
      <c r="G117" s="177">
        <v>485</v>
      </c>
      <c r="H117" s="172">
        <v>591</v>
      </c>
      <c r="I117" s="178">
        <v>0.16046014063053868</v>
      </c>
      <c r="J117" s="180">
        <v>44587</v>
      </c>
      <c r="K117" s="180">
        <v>44587</v>
      </c>
      <c r="L117" s="180">
        <v>44587</v>
      </c>
      <c r="M117" s="10"/>
      <c r="N117" s="208">
        <v>44593</v>
      </c>
      <c r="O117" s="170" t="str">
        <f>IF(Harm_el_zewn[[#This Row],[Data wykonania]]&lt;&gt;0,"WYKONANE","NIEWYKONANE")</f>
        <v>WYKONANE</v>
      </c>
      <c r="P117" s="8"/>
    </row>
    <row r="118" spans="1:16" x14ac:dyDescent="0.25">
      <c r="A118" s="174" t="s">
        <v>2210</v>
      </c>
      <c r="B118" s="172">
        <v>117</v>
      </c>
      <c r="C118" s="175" t="s">
        <v>2326</v>
      </c>
      <c r="D118" s="174" t="s">
        <v>2058</v>
      </c>
      <c r="E118" s="174" t="s">
        <v>2121</v>
      </c>
      <c r="F118" s="177">
        <v>127</v>
      </c>
      <c r="G118" s="177">
        <v>1275</v>
      </c>
      <c r="H118" s="172">
        <v>1032</v>
      </c>
      <c r="I118" s="178">
        <v>1.2612671324692439</v>
      </c>
      <c r="J118" s="180">
        <v>44589</v>
      </c>
      <c r="K118" s="180">
        <v>44587</v>
      </c>
      <c r="L118" s="180">
        <v>44588</v>
      </c>
      <c r="M118" s="10"/>
      <c r="N118" s="169"/>
      <c r="O118" s="181" t="str">
        <f>IF(Harm_el_zewn[[#This Row],[Data wykonania]]&lt;&gt;0,"WYKONANE","NIEWYKONANE")</f>
        <v>NIEWYKONANE</v>
      </c>
      <c r="P118" s="8"/>
    </row>
    <row r="119" spans="1:16" x14ac:dyDescent="0.25">
      <c r="A119" s="174" t="s">
        <v>2211</v>
      </c>
      <c r="B119" s="172">
        <v>118</v>
      </c>
      <c r="C119" s="175" t="s">
        <v>2326</v>
      </c>
      <c r="D119" s="174" t="s">
        <v>2058</v>
      </c>
      <c r="E119" s="174" t="s">
        <v>2121</v>
      </c>
      <c r="F119" s="177">
        <v>127</v>
      </c>
      <c r="G119" s="177">
        <v>470</v>
      </c>
      <c r="H119" s="172">
        <v>1032</v>
      </c>
      <c r="I119" s="178">
        <v>0.27188973130196686</v>
      </c>
      <c r="J119" s="180">
        <v>44589</v>
      </c>
      <c r="K119" s="180">
        <v>44587</v>
      </c>
      <c r="L119" s="180">
        <v>44588</v>
      </c>
      <c r="M119" s="10"/>
      <c r="N119" s="169"/>
      <c r="O119" s="181" t="str">
        <f>IF(Harm_el_zewn[[#This Row],[Data wykonania]]&lt;&gt;0,"WYKONANE","NIEWYKONANE")</f>
        <v>NIEWYKONANE</v>
      </c>
      <c r="P119" s="8"/>
    </row>
    <row r="120" spans="1:16" x14ac:dyDescent="0.25">
      <c r="A120" s="174" t="s">
        <v>2212</v>
      </c>
      <c r="B120" s="172">
        <v>119</v>
      </c>
      <c r="C120" s="175" t="s">
        <v>2326</v>
      </c>
      <c r="D120" s="174" t="s">
        <v>2058</v>
      </c>
      <c r="E120" s="174" t="s">
        <v>2121</v>
      </c>
      <c r="F120" s="177">
        <v>127</v>
      </c>
      <c r="G120" s="177">
        <v>470</v>
      </c>
      <c r="H120" s="172">
        <v>1032</v>
      </c>
      <c r="I120" s="178">
        <v>0.27188973153760471</v>
      </c>
      <c r="J120" s="180">
        <v>44589</v>
      </c>
      <c r="K120" s="180">
        <v>44587</v>
      </c>
      <c r="L120" s="180">
        <v>44588</v>
      </c>
      <c r="M120" s="10"/>
      <c r="N120" s="169"/>
      <c r="O120" s="181" t="str">
        <f>IF(Harm_el_zewn[[#This Row],[Data wykonania]]&lt;&gt;0,"WYKONANE","NIEWYKONANE")</f>
        <v>NIEWYKONANE</v>
      </c>
      <c r="P120" s="8"/>
    </row>
    <row r="121" spans="1:16" x14ac:dyDescent="0.25">
      <c r="A121" s="174" t="s">
        <v>2213</v>
      </c>
      <c r="B121" s="172">
        <v>120</v>
      </c>
      <c r="C121" s="175" t="s">
        <v>2326</v>
      </c>
      <c r="D121" s="174" t="s">
        <v>2058</v>
      </c>
      <c r="E121" s="174" t="s">
        <v>2121</v>
      </c>
      <c r="F121" s="177">
        <v>127</v>
      </c>
      <c r="G121" s="177">
        <v>1438</v>
      </c>
      <c r="H121" s="172">
        <v>1032</v>
      </c>
      <c r="I121" s="178">
        <v>1.4259192012651092</v>
      </c>
      <c r="J121" s="180">
        <v>44589</v>
      </c>
      <c r="K121" s="180">
        <v>44587</v>
      </c>
      <c r="L121" s="180">
        <v>44588</v>
      </c>
      <c r="M121" s="10"/>
      <c r="N121" s="169"/>
      <c r="O121" s="181" t="str">
        <f>IF(Harm_el_zewn[[#This Row],[Data wykonania]]&lt;&gt;0,"WYKONANE","NIEWYKONANE")</f>
        <v>NIEWYKONANE</v>
      </c>
      <c r="P121" s="8"/>
    </row>
    <row r="122" spans="1:16" x14ac:dyDescent="0.25">
      <c r="A122" s="174" t="s">
        <v>2214</v>
      </c>
      <c r="B122" s="172">
        <v>121</v>
      </c>
      <c r="C122" s="175" t="s">
        <v>2326</v>
      </c>
      <c r="D122" s="174" t="s">
        <v>2058</v>
      </c>
      <c r="E122" s="174" t="s">
        <v>2121</v>
      </c>
      <c r="F122" s="177">
        <v>127</v>
      </c>
      <c r="G122" s="177">
        <v>484</v>
      </c>
      <c r="H122" s="172">
        <v>1032</v>
      </c>
      <c r="I122" s="178">
        <v>0.28447721877689996</v>
      </c>
      <c r="J122" s="180">
        <v>44589</v>
      </c>
      <c r="K122" s="180">
        <v>44587</v>
      </c>
      <c r="L122" s="180">
        <v>44588</v>
      </c>
      <c r="M122" s="10"/>
      <c r="N122" s="169"/>
      <c r="O122" s="181" t="str">
        <f>IF(Harm_el_zewn[[#This Row],[Data wykonania]]&lt;&gt;0,"WYKONANE","NIEWYKONANE")</f>
        <v>NIEWYKONANE</v>
      </c>
      <c r="P122" s="8"/>
    </row>
    <row r="123" spans="1:16" x14ac:dyDescent="0.25">
      <c r="A123" s="174" t="s">
        <v>2215</v>
      </c>
      <c r="B123" s="172">
        <v>122</v>
      </c>
      <c r="C123" s="175" t="s">
        <v>2326</v>
      </c>
      <c r="D123" s="174" t="s">
        <v>2058</v>
      </c>
      <c r="E123" s="174" t="s">
        <v>2121</v>
      </c>
      <c r="F123" s="177">
        <v>127</v>
      </c>
      <c r="G123" s="177">
        <v>484</v>
      </c>
      <c r="H123" s="172">
        <v>1032</v>
      </c>
      <c r="I123" s="178">
        <v>0.28447865692789998</v>
      </c>
      <c r="J123" s="180">
        <v>44589</v>
      </c>
      <c r="K123" s="180">
        <v>44587</v>
      </c>
      <c r="L123" s="180">
        <v>44588</v>
      </c>
      <c r="M123" s="10"/>
      <c r="N123" s="169"/>
      <c r="O123" s="181" t="str">
        <f>IF(Harm_el_zewn[[#This Row],[Data wykonania]]&lt;&gt;0,"WYKONANE","NIEWYKONANE")</f>
        <v>NIEWYKONANE</v>
      </c>
      <c r="P123" s="8"/>
    </row>
    <row r="124" spans="1:16" x14ac:dyDescent="0.25">
      <c r="A124" s="174" t="s">
        <v>2216</v>
      </c>
      <c r="B124" s="172">
        <v>123</v>
      </c>
      <c r="C124" s="175" t="s">
        <v>2326</v>
      </c>
      <c r="D124" s="174" t="s">
        <v>2058</v>
      </c>
      <c r="E124" s="174" t="s">
        <v>2121</v>
      </c>
      <c r="F124" s="177">
        <v>127</v>
      </c>
      <c r="G124" s="177">
        <v>475</v>
      </c>
      <c r="H124" s="172">
        <v>1032</v>
      </c>
      <c r="I124" s="178">
        <v>0.27692472616848202</v>
      </c>
      <c r="J124" s="180">
        <v>44589</v>
      </c>
      <c r="K124" s="180">
        <v>44587</v>
      </c>
      <c r="L124" s="180">
        <v>44588</v>
      </c>
      <c r="M124" s="10"/>
      <c r="N124" s="169"/>
      <c r="O124" s="181" t="str">
        <f>IF(Harm_el_zewn[[#This Row],[Data wykonania]]&lt;&gt;0,"WYKONANE","NIEWYKONANE")</f>
        <v>NIEWYKONANE</v>
      </c>
      <c r="P124" s="8"/>
    </row>
    <row r="125" spans="1:16" x14ac:dyDescent="0.25">
      <c r="A125" s="174" t="s">
        <v>2217</v>
      </c>
      <c r="B125" s="172">
        <v>124</v>
      </c>
      <c r="C125" s="175" t="s">
        <v>2326</v>
      </c>
      <c r="D125" s="174" t="s">
        <v>2058</v>
      </c>
      <c r="E125" s="174" t="s">
        <v>2121</v>
      </c>
      <c r="F125" s="177">
        <v>127</v>
      </c>
      <c r="G125" s="177">
        <v>475</v>
      </c>
      <c r="H125" s="172">
        <v>1032</v>
      </c>
      <c r="I125" s="178">
        <v>0.27692472631751791</v>
      </c>
      <c r="J125" s="180">
        <v>44589</v>
      </c>
      <c r="K125" s="180">
        <v>44587</v>
      </c>
      <c r="L125" s="180">
        <v>44588</v>
      </c>
      <c r="M125" s="10"/>
      <c r="N125" s="169"/>
      <c r="O125" s="181" t="str">
        <f>IF(Harm_el_zewn[[#This Row],[Data wykonania]]&lt;&gt;0,"WYKONANE","NIEWYKONANE")</f>
        <v>NIEWYKONANE</v>
      </c>
      <c r="P125" s="8"/>
    </row>
    <row r="126" spans="1:16" x14ac:dyDescent="0.25">
      <c r="A126" s="174" t="s">
        <v>2218</v>
      </c>
      <c r="B126" s="172">
        <v>125</v>
      </c>
      <c r="C126" s="175" t="s">
        <v>2326</v>
      </c>
      <c r="D126" s="174" t="s">
        <v>2058</v>
      </c>
      <c r="E126" s="174" t="s">
        <v>2121</v>
      </c>
      <c r="F126" s="177">
        <v>127</v>
      </c>
      <c r="G126" s="177">
        <v>1303</v>
      </c>
      <c r="H126" s="172">
        <v>1032</v>
      </c>
      <c r="I126" s="178">
        <v>1.2678120039127498</v>
      </c>
      <c r="J126" s="180">
        <v>44589</v>
      </c>
      <c r="K126" s="180">
        <v>44587</v>
      </c>
      <c r="L126" s="180">
        <v>44588</v>
      </c>
      <c r="M126" s="10"/>
      <c r="N126" s="169"/>
      <c r="O126" s="181" t="str">
        <f>IF(Harm_el_zewn[[#This Row],[Data wykonania]]&lt;&gt;0,"WYKONANE","NIEWYKONANE")</f>
        <v>NIEWYKONANE</v>
      </c>
      <c r="P126" s="8"/>
    </row>
    <row r="127" spans="1:16" x14ac:dyDescent="0.25">
      <c r="A127" s="174" t="s">
        <v>2219</v>
      </c>
      <c r="B127" s="172">
        <v>126</v>
      </c>
      <c r="C127" s="175" t="s">
        <v>2326</v>
      </c>
      <c r="D127" s="174" t="s">
        <v>2058</v>
      </c>
      <c r="E127" s="174" t="s">
        <v>2121</v>
      </c>
      <c r="F127" s="177">
        <v>127</v>
      </c>
      <c r="G127" s="177">
        <v>1303</v>
      </c>
      <c r="H127" s="172">
        <v>1032</v>
      </c>
      <c r="I127" s="178">
        <v>1.2678120037506233</v>
      </c>
      <c r="J127" s="180">
        <v>44589</v>
      </c>
      <c r="K127" s="180">
        <v>44587</v>
      </c>
      <c r="L127" s="180">
        <v>44588</v>
      </c>
      <c r="M127" s="10"/>
      <c r="N127" s="169"/>
      <c r="O127" s="181" t="str">
        <f>IF(Harm_el_zewn[[#This Row],[Data wykonania]]&lt;&gt;0,"WYKONANE","NIEWYKONANE")</f>
        <v>NIEWYKONANE</v>
      </c>
      <c r="P127" s="8"/>
    </row>
    <row r="128" spans="1:16" x14ac:dyDescent="0.25">
      <c r="A128" s="174" t="s">
        <v>2220</v>
      </c>
      <c r="B128" s="172">
        <v>127</v>
      </c>
      <c r="C128" s="175" t="s">
        <v>2326</v>
      </c>
      <c r="D128" s="174" t="s">
        <v>2058</v>
      </c>
      <c r="E128" s="174" t="s">
        <v>2121</v>
      </c>
      <c r="F128" s="177">
        <v>127</v>
      </c>
      <c r="G128" s="177">
        <v>490</v>
      </c>
      <c r="H128" s="172">
        <v>1032</v>
      </c>
      <c r="I128" s="178">
        <v>0.29202971123628207</v>
      </c>
      <c r="J128" s="180">
        <v>44589</v>
      </c>
      <c r="K128" s="180">
        <v>44587</v>
      </c>
      <c r="L128" s="180">
        <v>44588</v>
      </c>
      <c r="M128" s="10"/>
      <c r="N128" s="169"/>
      <c r="O128" s="181" t="str">
        <f>IF(Harm_el_zewn[[#This Row],[Data wykonania]]&lt;&gt;0,"WYKONANE","NIEWYKONANE")</f>
        <v>NIEWYKONANE</v>
      </c>
      <c r="P128" s="8"/>
    </row>
    <row r="129" spans="1:16" x14ac:dyDescent="0.25">
      <c r="A129" s="174" t="s">
        <v>2221</v>
      </c>
      <c r="B129" s="172">
        <v>128</v>
      </c>
      <c r="C129" s="175" t="s">
        <v>2326</v>
      </c>
      <c r="D129" s="174" t="s">
        <v>2058</v>
      </c>
      <c r="E129" s="174" t="s">
        <v>2121</v>
      </c>
      <c r="F129" s="177">
        <v>127</v>
      </c>
      <c r="G129" s="177">
        <v>490</v>
      </c>
      <c r="H129" s="172">
        <v>1032</v>
      </c>
      <c r="I129" s="178">
        <v>0.29202971138531791</v>
      </c>
      <c r="J129" s="180">
        <v>44589</v>
      </c>
      <c r="K129" s="180">
        <v>44587</v>
      </c>
      <c r="L129" s="180">
        <v>44588</v>
      </c>
      <c r="M129" s="10"/>
      <c r="N129" s="169"/>
      <c r="O129" s="181" t="str">
        <f>IF(Harm_el_zewn[[#This Row],[Data wykonania]]&lt;&gt;0,"WYKONANE","NIEWYKONANE")</f>
        <v>NIEWYKONANE</v>
      </c>
      <c r="P129" s="8"/>
    </row>
    <row r="130" spans="1:16" x14ac:dyDescent="0.25">
      <c r="A130" s="174" t="s">
        <v>2222</v>
      </c>
      <c r="B130" s="172">
        <v>129</v>
      </c>
      <c r="C130" s="175" t="s">
        <v>2326</v>
      </c>
      <c r="D130" s="174" t="s">
        <v>2058</v>
      </c>
      <c r="E130" s="174" t="s">
        <v>2121</v>
      </c>
      <c r="F130" s="177">
        <v>127</v>
      </c>
      <c r="G130" s="177">
        <v>544</v>
      </c>
      <c r="H130" s="172">
        <v>1032</v>
      </c>
      <c r="I130" s="178">
        <v>0.50350006503093669</v>
      </c>
      <c r="J130" s="180">
        <v>44589</v>
      </c>
      <c r="K130" s="180">
        <v>44587</v>
      </c>
      <c r="L130" s="180">
        <v>44588</v>
      </c>
      <c r="M130" s="10"/>
      <c r="N130" s="169"/>
      <c r="O130" s="181" t="str">
        <f>IF(Harm_el_zewn[[#This Row],[Data wykonania]]&lt;&gt;0,"WYKONANE","NIEWYKONANE")</f>
        <v>NIEWYKONANE</v>
      </c>
      <c r="P130" s="8"/>
    </row>
    <row r="131" spans="1:16" x14ac:dyDescent="0.25">
      <c r="A131" s="174" t="s">
        <v>2223</v>
      </c>
      <c r="B131" s="172">
        <v>130</v>
      </c>
      <c r="C131" s="175" t="s">
        <v>2326</v>
      </c>
      <c r="D131" s="174" t="s">
        <v>2058</v>
      </c>
      <c r="E131" s="174" t="s">
        <v>2121</v>
      </c>
      <c r="F131" s="177">
        <v>127</v>
      </c>
      <c r="G131" s="177">
        <v>544</v>
      </c>
      <c r="H131" s="172">
        <v>1032</v>
      </c>
      <c r="I131" s="178">
        <v>0.50350006512257373</v>
      </c>
      <c r="J131" s="180">
        <v>44589</v>
      </c>
      <c r="K131" s="180">
        <v>44587</v>
      </c>
      <c r="L131" s="180">
        <v>44588</v>
      </c>
      <c r="M131" s="10"/>
      <c r="N131" s="169"/>
      <c r="O131" s="181" t="str">
        <f>IF(Harm_el_zewn[[#This Row],[Data wykonania]]&lt;&gt;0,"WYKONANE","NIEWYKONANE")</f>
        <v>NIEWYKONANE</v>
      </c>
      <c r="P131" s="8"/>
    </row>
    <row r="132" spans="1:16" x14ac:dyDescent="0.25">
      <c r="A132" s="174" t="s">
        <v>2224</v>
      </c>
      <c r="B132" s="172">
        <v>131</v>
      </c>
      <c r="C132" s="175" t="s">
        <v>2326</v>
      </c>
      <c r="D132" s="174" t="s">
        <v>2058</v>
      </c>
      <c r="E132" s="174" t="s">
        <v>2121</v>
      </c>
      <c r="F132" s="177">
        <v>127</v>
      </c>
      <c r="G132" s="177">
        <v>1825</v>
      </c>
      <c r="H132" s="172">
        <v>1032</v>
      </c>
      <c r="I132" s="178">
        <v>1.815117536783696</v>
      </c>
      <c r="J132" s="180">
        <v>44589</v>
      </c>
      <c r="K132" s="180">
        <v>44587</v>
      </c>
      <c r="L132" s="180">
        <v>44588</v>
      </c>
      <c r="M132" s="10"/>
      <c r="N132" s="169"/>
      <c r="O132" s="181" t="str">
        <f>IF(Harm_el_zewn[[#This Row],[Data wykonania]]&lt;&gt;0,"WYKONANE","NIEWYKONANE")</f>
        <v>NIEWYKONANE</v>
      </c>
      <c r="P132" s="8"/>
    </row>
    <row r="133" spans="1:16" x14ac:dyDescent="0.25">
      <c r="A133" s="174" t="s">
        <v>2225</v>
      </c>
      <c r="B133" s="172">
        <v>132</v>
      </c>
      <c r="C133" s="175" t="s">
        <v>2326</v>
      </c>
      <c r="D133" s="174" t="s">
        <v>2058</v>
      </c>
      <c r="E133" s="174" t="s">
        <v>2121</v>
      </c>
      <c r="F133" s="177">
        <v>127</v>
      </c>
      <c r="G133" s="177">
        <v>475</v>
      </c>
      <c r="H133" s="172">
        <v>1032</v>
      </c>
      <c r="I133" s="178">
        <v>0.27692472656020467</v>
      </c>
      <c r="J133" s="180">
        <v>44589</v>
      </c>
      <c r="K133" s="180">
        <v>44587</v>
      </c>
      <c r="L133" s="180">
        <v>44588</v>
      </c>
      <c r="M133" s="10"/>
      <c r="N133" s="169"/>
      <c r="O133" s="181" t="str">
        <f>IF(Harm_el_zewn[[#This Row],[Data wykonania]]&lt;&gt;0,"WYKONANE","NIEWYKONANE")</f>
        <v>NIEWYKONANE</v>
      </c>
      <c r="P133" s="8"/>
    </row>
    <row r="134" spans="1:16" x14ac:dyDescent="0.25">
      <c r="A134" s="174" t="s">
        <v>2226</v>
      </c>
      <c r="B134" s="172">
        <v>133</v>
      </c>
      <c r="C134" s="175" t="s">
        <v>2326</v>
      </c>
      <c r="D134" s="174" t="s">
        <v>2058</v>
      </c>
      <c r="E134" s="174" t="s">
        <v>2121</v>
      </c>
      <c r="F134" s="177">
        <v>127</v>
      </c>
      <c r="G134" s="177">
        <v>475</v>
      </c>
      <c r="H134" s="172">
        <v>1032</v>
      </c>
      <c r="I134" s="178">
        <v>0.27692472624300002</v>
      </c>
      <c r="J134" s="180">
        <v>44589</v>
      </c>
      <c r="K134" s="180">
        <v>44587</v>
      </c>
      <c r="L134" s="180">
        <v>44588</v>
      </c>
      <c r="M134" s="10"/>
      <c r="N134" s="169"/>
      <c r="O134" s="181" t="str">
        <f>IF(Harm_el_zewn[[#This Row],[Data wykonania]]&lt;&gt;0,"WYKONANE","NIEWYKONANE")</f>
        <v>NIEWYKONANE</v>
      </c>
      <c r="P134" s="8"/>
    </row>
    <row r="135" spans="1:16" x14ac:dyDescent="0.25">
      <c r="A135" s="174" t="s">
        <v>2227</v>
      </c>
      <c r="B135" s="172">
        <v>134</v>
      </c>
      <c r="C135" s="175" t="s">
        <v>2326</v>
      </c>
      <c r="D135" s="174" t="s">
        <v>2058</v>
      </c>
      <c r="E135" s="174" t="s">
        <v>2121</v>
      </c>
      <c r="F135" s="177">
        <v>127</v>
      </c>
      <c r="G135" s="177">
        <v>470</v>
      </c>
      <c r="H135" s="172">
        <v>1032</v>
      </c>
      <c r="I135" s="178">
        <v>0.27188973113883308</v>
      </c>
      <c r="J135" s="180">
        <v>44589</v>
      </c>
      <c r="K135" s="180">
        <v>44587</v>
      </c>
      <c r="L135" s="180">
        <v>44588</v>
      </c>
      <c r="M135" s="10"/>
      <c r="N135" s="169"/>
      <c r="O135" s="181" t="str">
        <f>IF(Harm_el_zewn[[#This Row],[Data wykonania]]&lt;&gt;0,"WYKONANE","NIEWYKONANE")</f>
        <v>NIEWYKONANE</v>
      </c>
      <c r="P135" s="8"/>
    </row>
    <row r="136" spans="1:16" x14ac:dyDescent="0.25">
      <c r="A136" s="174" t="s">
        <v>2228</v>
      </c>
      <c r="B136" s="172">
        <v>135</v>
      </c>
      <c r="C136" s="175" t="s">
        <v>2326</v>
      </c>
      <c r="D136" s="174" t="s">
        <v>2058</v>
      </c>
      <c r="E136" s="174" t="s">
        <v>2121</v>
      </c>
      <c r="F136" s="177">
        <v>127</v>
      </c>
      <c r="G136" s="177">
        <v>470</v>
      </c>
      <c r="H136" s="172">
        <v>1032</v>
      </c>
      <c r="I136" s="178">
        <v>0.27188973190620003</v>
      </c>
      <c r="J136" s="180">
        <v>44589</v>
      </c>
      <c r="K136" s="180">
        <v>44587</v>
      </c>
      <c r="L136" s="180">
        <v>44588</v>
      </c>
      <c r="M136" s="10"/>
      <c r="N136" s="169"/>
      <c r="O136" s="181" t="str">
        <f>IF(Harm_el_zewn[[#This Row],[Data wykonania]]&lt;&gt;0,"WYKONANE","NIEWYKONANE")</f>
        <v>NIEWYKONANE</v>
      </c>
      <c r="P136" s="8"/>
    </row>
    <row r="137" spans="1:16" x14ac:dyDescent="0.25">
      <c r="A137" s="174" t="s">
        <v>2229</v>
      </c>
      <c r="B137" s="172">
        <v>136</v>
      </c>
      <c r="C137" s="175" t="s">
        <v>2326</v>
      </c>
      <c r="D137" s="174" t="s">
        <v>2058</v>
      </c>
      <c r="E137" s="174" t="s">
        <v>2121</v>
      </c>
      <c r="F137" s="177">
        <v>127</v>
      </c>
      <c r="G137" s="177">
        <v>484</v>
      </c>
      <c r="H137" s="172">
        <v>1032</v>
      </c>
      <c r="I137" s="178">
        <v>0.28447721877689996</v>
      </c>
      <c r="J137" s="180">
        <v>44589</v>
      </c>
      <c r="K137" s="180">
        <v>44587</v>
      </c>
      <c r="L137" s="180">
        <v>44588</v>
      </c>
      <c r="M137" s="10"/>
      <c r="N137" s="169"/>
      <c r="O137" s="181" t="str">
        <f>IF(Harm_el_zewn[[#This Row],[Data wykonania]]&lt;&gt;0,"WYKONANE","NIEWYKONANE")</f>
        <v>NIEWYKONANE</v>
      </c>
      <c r="P137" s="8"/>
    </row>
    <row r="138" spans="1:16" x14ac:dyDescent="0.25">
      <c r="A138" s="174" t="s">
        <v>2230</v>
      </c>
      <c r="B138" s="172">
        <v>137</v>
      </c>
      <c r="C138" s="175" t="s">
        <v>2326</v>
      </c>
      <c r="D138" s="174" t="s">
        <v>2058</v>
      </c>
      <c r="E138" s="174" t="s">
        <v>2121</v>
      </c>
      <c r="F138" s="177">
        <v>127</v>
      </c>
      <c r="G138" s="177">
        <v>484</v>
      </c>
      <c r="H138" s="172">
        <v>1032</v>
      </c>
      <c r="I138" s="178">
        <v>0.28447865692789998</v>
      </c>
      <c r="J138" s="180">
        <v>44589</v>
      </c>
      <c r="K138" s="180">
        <v>44587</v>
      </c>
      <c r="L138" s="180">
        <v>44588</v>
      </c>
      <c r="M138" s="10"/>
      <c r="N138" s="169"/>
      <c r="O138" s="181" t="str">
        <f>IF(Harm_el_zewn[[#This Row],[Data wykonania]]&lt;&gt;0,"WYKONANE","NIEWYKONANE")</f>
        <v>NIEWYKONANE</v>
      </c>
      <c r="P138" s="8"/>
    </row>
    <row r="139" spans="1:16" x14ac:dyDescent="0.25">
      <c r="A139" s="174" t="s">
        <v>2231</v>
      </c>
      <c r="B139" s="172">
        <v>138</v>
      </c>
      <c r="C139" s="175" t="s">
        <v>2326</v>
      </c>
      <c r="D139" s="174" t="s">
        <v>2058</v>
      </c>
      <c r="E139" s="174" t="s">
        <v>2121</v>
      </c>
      <c r="F139" s="177">
        <v>127</v>
      </c>
      <c r="G139" s="177">
        <v>1438</v>
      </c>
      <c r="H139" s="172">
        <v>1032</v>
      </c>
      <c r="I139" s="178">
        <v>1.4259120451256839</v>
      </c>
      <c r="J139" s="180">
        <v>44589</v>
      </c>
      <c r="K139" s="180">
        <v>44587</v>
      </c>
      <c r="L139" s="180">
        <v>44588</v>
      </c>
      <c r="M139" s="10"/>
      <c r="N139" s="169"/>
      <c r="O139" s="181" t="str">
        <f>IF(Harm_el_zewn[[#This Row],[Data wykonania]]&lt;&gt;0,"WYKONANE","NIEWYKONANE")</f>
        <v>NIEWYKONANE</v>
      </c>
      <c r="P139" s="8"/>
    </row>
    <row r="140" spans="1:16" x14ac:dyDescent="0.25">
      <c r="A140" s="174" t="s">
        <v>2232</v>
      </c>
      <c r="B140" s="172">
        <v>139</v>
      </c>
      <c r="C140" s="175" t="s">
        <v>2326</v>
      </c>
      <c r="D140" s="174" t="s">
        <v>2058</v>
      </c>
      <c r="E140" s="174" t="s">
        <v>2121</v>
      </c>
      <c r="F140" s="177">
        <v>127</v>
      </c>
      <c r="G140" s="177">
        <v>475</v>
      </c>
      <c r="H140" s="172">
        <v>1032</v>
      </c>
      <c r="I140" s="178">
        <v>0.27692472631751791</v>
      </c>
      <c r="J140" s="180">
        <v>44589</v>
      </c>
      <c r="K140" s="180">
        <v>44587</v>
      </c>
      <c r="L140" s="180">
        <v>44588</v>
      </c>
      <c r="M140" s="10"/>
      <c r="N140" s="169"/>
      <c r="O140" s="181" t="str">
        <f>IF(Harm_el_zewn[[#This Row],[Data wykonania]]&lt;&gt;0,"WYKONANE","NIEWYKONANE")</f>
        <v>NIEWYKONANE</v>
      </c>
      <c r="P140" s="8"/>
    </row>
    <row r="141" spans="1:16" x14ac:dyDescent="0.25">
      <c r="A141" s="174" t="s">
        <v>2233</v>
      </c>
      <c r="B141" s="172">
        <v>140</v>
      </c>
      <c r="C141" s="175" t="s">
        <v>2326</v>
      </c>
      <c r="D141" s="174" t="s">
        <v>2058</v>
      </c>
      <c r="E141" s="174" t="s">
        <v>2121</v>
      </c>
      <c r="F141" s="177">
        <v>127</v>
      </c>
      <c r="G141" s="177">
        <v>475</v>
      </c>
      <c r="H141" s="172">
        <v>1032</v>
      </c>
      <c r="I141" s="178">
        <v>0.27692472616848202</v>
      </c>
      <c r="J141" s="180">
        <v>44589</v>
      </c>
      <c r="K141" s="180">
        <v>44587</v>
      </c>
      <c r="L141" s="180">
        <v>44588</v>
      </c>
      <c r="M141" s="10"/>
      <c r="N141" s="169"/>
      <c r="O141" s="181" t="str">
        <f>IF(Harm_el_zewn[[#This Row],[Data wykonania]]&lt;&gt;0,"WYKONANE","NIEWYKONANE")</f>
        <v>NIEWYKONANE</v>
      </c>
      <c r="P141" s="8"/>
    </row>
    <row r="142" spans="1:16" x14ac:dyDescent="0.25">
      <c r="A142" s="174" t="s">
        <v>2234</v>
      </c>
      <c r="B142" s="172">
        <v>141</v>
      </c>
      <c r="C142" s="175" t="s">
        <v>2326</v>
      </c>
      <c r="D142" s="174" t="s">
        <v>2058</v>
      </c>
      <c r="E142" s="174" t="s">
        <v>2121</v>
      </c>
      <c r="F142" s="177">
        <v>127</v>
      </c>
      <c r="G142" s="177">
        <v>1303</v>
      </c>
      <c r="H142" s="172">
        <v>1032</v>
      </c>
      <c r="I142" s="178">
        <v>1.2678120037274621</v>
      </c>
      <c r="J142" s="180">
        <v>44589</v>
      </c>
      <c r="K142" s="180">
        <v>44587</v>
      </c>
      <c r="L142" s="180">
        <v>44588</v>
      </c>
      <c r="M142" s="10"/>
      <c r="N142" s="169"/>
      <c r="O142" s="181" t="str">
        <f>IF(Harm_el_zewn[[#This Row],[Data wykonania]]&lt;&gt;0,"WYKONANE","NIEWYKONANE")</f>
        <v>NIEWYKONANE</v>
      </c>
      <c r="P142" s="8"/>
    </row>
    <row r="143" spans="1:16" x14ac:dyDescent="0.25">
      <c r="A143" s="174" t="s">
        <v>2235</v>
      </c>
      <c r="B143" s="172">
        <v>142</v>
      </c>
      <c r="C143" s="175" t="s">
        <v>2326</v>
      </c>
      <c r="D143" s="174" t="s">
        <v>2058</v>
      </c>
      <c r="E143" s="174" t="s">
        <v>2121</v>
      </c>
      <c r="F143" s="177">
        <v>127</v>
      </c>
      <c r="G143" s="177">
        <v>1303</v>
      </c>
      <c r="H143" s="172">
        <v>1032</v>
      </c>
      <c r="I143" s="178">
        <v>1.2678120038895888</v>
      </c>
      <c r="J143" s="180">
        <v>44589</v>
      </c>
      <c r="K143" s="180">
        <v>44587</v>
      </c>
      <c r="L143" s="180">
        <v>44588</v>
      </c>
      <c r="M143" s="10"/>
      <c r="N143" s="169"/>
      <c r="O143" s="181" t="str">
        <f>IF(Harm_el_zewn[[#This Row],[Data wykonania]]&lt;&gt;0,"WYKONANE","NIEWYKONANE")</f>
        <v>NIEWYKONANE</v>
      </c>
      <c r="P143" s="8"/>
    </row>
    <row r="144" spans="1:16" x14ac:dyDescent="0.25">
      <c r="A144" s="174" t="s">
        <v>2236</v>
      </c>
      <c r="B144" s="172">
        <v>143</v>
      </c>
      <c r="C144" s="175" t="s">
        <v>2326</v>
      </c>
      <c r="D144" s="174" t="s">
        <v>2058</v>
      </c>
      <c r="E144" s="174" t="s">
        <v>2121</v>
      </c>
      <c r="F144" s="177">
        <v>127</v>
      </c>
      <c r="G144" s="177">
        <v>490</v>
      </c>
      <c r="H144" s="172">
        <v>1032</v>
      </c>
      <c r="I144" s="178">
        <v>0.29202971145983586</v>
      </c>
      <c r="J144" s="180">
        <v>44589</v>
      </c>
      <c r="K144" s="180">
        <v>44587</v>
      </c>
      <c r="L144" s="180">
        <v>44588</v>
      </c>
      <c r="M144" s="10"/>
      <c r="N144" s="169"/>
      <c r="O144" s="181" t="str">
        <f>IF(Harm_el_zewn[[#This Row],[Data wykonania]]&lt;&gt;0,"WYKONANE","NIEWYKONANE")</f>
        <v>NIEWYKONANE</v>
      </c>
      <c r="P144" s="8"/>
    </row>
    <row r="145" spans="1:16" x14ac:dyDescent="0.25">
      <c r="A145" s="174" t="s">
        <v>2237</v>
      </c>
      <c r="B145" s="172">
        <v>144</v>
      </c>
      <c r="C145" s="175" t="s">
        <v>2326</v>
      </c>
      <c r="D145" s="174" t="s">
        <v>2058</v>
      </c>
      <c r="E145" s="174" t="s">
        <v>2121</v>
      </c>
      <c r="F145" s="177">
        <v>127</v>
      </c>
      <c r="G145" s="177">
        <v>490</v>
      </c>
      <c r="H145" s="172">
        <v>1032</v>
      </c>
      <c r="I145" s="178">
        <v>0.29202971123628207</v>
      </c>
      <c r="J145" s="180">
        <v>44589</v>
      </c>
      <c r="K145" s="180">
        <v>44587</v>
      </c>
      <c r="L145" s="180">
        <v>44588</v>
      </c>
      <c r="M145" s="10"/>
      <c r="N145" s="169"/>
      <c r="O145" s="181" t="str">
        <f>IF(Harm_el_zewn[[#This Row],[Data wykonania]]&lt;&gt;0,"WYKONANE","NIEWYKONANE")</f>
        <v>NIEWYKONANE</v>
      </c>
      <c r="P145" s="8"/>
    </row>
    <row r="146" spans="1:16" x14ac:dyDescent="0.25">
      <c r="A146" s="174" t="s">
        <v>2238</v>
      </c>
      <c r="B146" s="172">
        <v>145</v>
      </c>
      <c r="C146" s="175" t="s">
        <v>2326</v>
      </c>
      <c r="D146" s="174" t="s">
        <v>2058</v>
      </c>
      <c r="E146" s="174" t="s">
        <v>2121</v>
      </c>
      <c r="F146" s="177">
        <v>127</v>
      </c>
      <c r="G146" s="177">
        <v>544</v>
      </c>
      <c r="H146" s="172">
        <v>1032</v>
      </c>
      <c r="I146" s="178">
        <v>0.5035000650752447</v>
      </c>
      <c r="J146" s="180">
        <v>44589</v>
      </c>
      <c r="K146" s="180">
        <v>44587</v>
      </c>
      <c r="L146" s="180">
        <v>44588</v>
      </c>
      <c r="M146" s="10"/>
      <c r="N146" s="169"/>
      <c r="O146" s="181" t="str">
        <f>IF(Harm_el_zewn[[#This Row],[Data wykonania]]&lt;&gt;0,"WYKONANE","NIEWYKONANE")</f>
        <v>NIEWYKONANE</v>
      </c>
      <c r="P146" s="8"/>
    </row>
    <row r="147" spans="1:16" x14ac:dyDescent="0.25">
      <c r="A147" s="174" t="s">
        <v>2239</v>
      </c>
      <c r="B147" s="172">
        <v>146</v>
      </c>
      <c r="C147" s="175" t="s">
        <v>2326</v>
      </c>
      <c r="D147" s="174" t="s">
        <v>2058</v>
      </c>
      <c r="E147" s="174" t="s">
        <v>2121</v>
      </c>
      <c r="F147" s="177">
        <v>127</v>
      </c>
      <c r="G147" s="177">
        <v>544</v>
      </c>
      <c r="H147" s="172">
        <v>1032</v>
      </c>
      <c r="I147" s="178">
        <v>0.5035000649826008</v>
      </c>
      <c r="J147" s="180">
        <v>44589</v>
      </c>
      <c r="K147" s="180">
        <v>44587</v>
      </c>
      <c r="L147" s="180">
        <v>44588</v>
      </c>
      <c r="M147" s="10"/>
      <c r="N147" s="169"/>
      <c r="O147" s="181" t="str">
        <f>IF(Harm_el_zewn[[#This Row],[Data wykonania]]&lt;&gt;0,"WYKONANE","NIEWYKONANE")</f>
        <v>NIEWYKONANE</v>
      </c>
      <c r="P147" s="8"/>
    </row>
    <row r="148" spans="1:16" x14ac:dyDescent="0.25">
      <c r="A148" s="174" t="s">
        <v>2240</v>
      </c>
      <c r="B148" s="172">
        <v>147</v>
      </c>
      <c r="C148" s="175" t="s">
        <v>2326</v>
      </c>
      <c r="D148" s="174" t="s">
        <v>2058</v>
      </c>
      <c r="E148" s="174" t="s">
        <v>2121</v>
      </c>
      <c r="F148" s="177">
        <v>127</v>
      </c>
      <c r="G148" s="177">
        <v>1266</v>
      </c>
      <c r="H148" s="172">
        <v>1032</v>
      </c>
      <c r="I148" s="178">
        <v>1.2527081147990069</v>
      </c>
      <c r="J148" s="180">
        <v>44589</v>
      </c>
      <c r="K148" s="180">
        <v>44587</v>
      </c>
      <c r="L148" s="180">
        <v>44588</v>
      </c>
      <c r="M148" s="10"/>
      <c r="N148" s="169"/>
      <c r="O148" s="181" t="str">
        <f>IF(Harm_el_zewn[[#This Row],[Data wykonania]]&lt;&gt;0,"WYKONANE","NIEWYKONANE")</f>
        <v>NIEWYKONANE</v>
      </c>
      <c r="P148" s="8"/>
    </row>
    <row r="149" spans="1:16" x14ac:dyDescent="0.25">
      <c r="A149" s="174" t="s">
        <v>2241</v>
      </c>
      <c r="B149" s="172">
        <v>148</v>
      </c>
      <c r="C149" s="175" t="s">
        <v>2326</v>
      </c>
      <c r="D149" s="174" t="s">
        <v>2058</v>
      </c>
      <c r="E149" s="174" t="s">
        <v>2121</v>
      </c>
      <c r="F149" s="177">
        <v>127</v>
      </c>
      <c r="G149" s="177">
        <v>1281</v>
      </c>
      <c r="H149" s="172">
        <v>1032</v>
      </c>
      <c r="I149" s="178">
        <v>1.267815064096236</v>
      </c>
      <c r="J149" s="180">
        <v>44589</v>
      </c>
      <c r="K149" s="180">
        <v>44587</v>
      </c>
      <c r="L149" s="180">
        <v>44588</v>
      </c>
      <c r="M149" s="10"/>
      <c r="N149" s="169"/>
      <c r="O149" s="181" t="str">
        <f>IF(Harm_el_zewn[[#This Row],[Data wykonania]]&lt;&gt;0,"WYKONANE","NIEWYKONANE")</f>
        <v>NIEWYKONANE</v>
      </c>
      <c r="P149" s="8"/>
    </row>
    <row r="150" spans="1:16" x14ac:dyDescent="0.25">
      <c r="A150" s="174" t="s">
        <v>2242</v>
      </c>
      <c r="B150" s="172">
        <v>149</v>
      </c>
      <c r="C150" s="175" t="s">
        <v>2326</v>
      </c>
      <c r="D150" s="174" t="s">
        <v>2058</v>
      </c>
      <c r="E150" s="174" t="s">
        <v>2121</v>
      </c>
      <c r="F150" s="177">
        <v>127</v>
      </c>
      <c r="G150" s="177">
        <v>1275</v>
      </c>
      <c r="H150" s="172">
        <v>1032</v>
      </c>
      <c r="I150" s="178">
        <v>1.2612683793929598</v>
      </c>
      <c r="J150" s="180">
        <v>44589</v>
      </c>
      <c r="K150" s="180">
        <v>44587</v>
      </c>
      <c r="L150" s="180">
        <v>44588</v>
      </c>
      <c r="M150" s="10"/>
      <c r="N150" s="169"/>
      <c r="O150" s="181" t="str">
        <f>IF(Harm_el_zewn[[#This Row],[Data wykonania]]&lt;&gt;0,"WYKONANE","NIEWYKONANE")</f>
        <v>NIEWYKONANE</v>
      </c>
      <c r="P150" s="8"/>
    </row>
    <row r="151" spans="1:16" x14ac:dyDescent="0.25">
      <c r="A151" s="174" t="s">
        <v>2243</v>
      </c>
      <c r="B151" s="172">
        <v>150</v>
      </c>
      <c r="C151" s="175" t="s">
        <v>2326</v>
      </c>
      <c r="D151" s="174" t="s">
        <v>2058</v>
      </c>
      <c r="E151" s="174" t="s">
        <v>2121</v>
      </c>
      <c r="F151" s="177">
        <v>127</v>
      </c>
      <c r="G151" s="177">
        <v>1281</v>
      </c>
      <c r="H151" s="172">
        <v>1032</v>
      </c>
      <c r="I151" s="178">
        <v>1.2678150635041201</v>
      </c>
      <c r="J151" s="180">
        <v>44589</v>
      </c>
      <c r="K151" s="180">
        <v>44587</v>
      </c>
      <c r="L151" s="180">
        <v>44588</v>
      </c>
      <c r="M151" s="10"/>
      <c r="N151" s="169"/>
      <c r="O151" s="181" t="str">
        <f>IF(Harm_el_zewn[[#This Row],[Data wykonania]]&lt;&gt;0,"WYKONANE","NIEWYKONANE")</f>
        <v>NIEWYKONANE</v>
      </c>
      <c r="P151" s="8"/>
    </row>
    <row r="152" spans="1:16" x14ac:dyDescent="0.25">
      <c r="A152" s="174" t="s">
        <v>2244</v>
      </c>
      <c r="B152" s="172">
        <v>151</v>
      </c>
      <c r="C152" s="175" t="s">
        <v>2326</v>
      </c>
      <c r="D152" s="174" t="s">
        <v>2058</v>
      </c>
      <c r="E152" s="174" t="s">
        <v>2121</v>
      </c>
      <c r="F152" s="177">
        <v>127</v>
      </c>
      <c r="G152" s="177">
        <v>470</v>
      </c>
      <c r="H152" s="172">
        <v>1032</v>
      </c>
      <c r="I152" s="178">
        <v>0.27188973113883308</v>
      </c>
      <c r="J152" s="180">
        <v>44589</v>
      </c>
      <c r="K152" s="180">
        <v>44587</v>
      </c>
      <c r="L152" s="180">
        <v>44588</v>
      </c>
      <c r="M152" s="10"/>
      <c r="N152" s="169"/>
      <c r="O152" s="181" t="str">
        <f>IF(Harm_el_zewn[[#This Row],[Data wykonania]]&lt;&gt;0,"WYKONANE","NIEWYKONANE")</f>
        <v>NIEWYKONANE</v>
      </c>
      <c r="P152" s="8"/>
    </row>
    <row r="153" spans="1:16" x14ac:dyDescent="0.25">
      <c r="A153" s="174" t="s">
        <v>2245</v>
      </c>
      <c r="B153" s="172">
        <v>152</v>
      </c>
      <c r="C153" s="175" t="s">
        <v>2326</v>
      </c>
      <c r="D153" s="174" t="s">
        <v>2058</v>
      </c>
      <c r="E153" s="174" t="s">
        <v>2121</v>
      </c>
      <c r="F153" s="177">
        <v>127</v>
      </c>
      <c r="G153" s="177">
        <v>470</v>
      </c>
      <c r="H153" s="172">
        <v>1032</v>
      </c>
      <c r="I153" s="178">
        <v>0.27188973138353378</v>
      </c>
      <c r="J153" s="180">
        <v>44589</v>
      </c>
      <c r="K153" s="180">
        <v>44587</v>
      </c>
      <c r="L153" s="180">
        <v>44588</v>
      </c>
      <c r="M153" s="10"/>
      <c r="N153" s="169"/>
      <c r="O153" s="181" t="str">
        <f>IF(Harm_el_zewn[[#This Row],[Data wykonania]]&lt;&gt;0,"WYKONANE","NIEWYKONANE")</f>
        <v>NIEWYKONANE</v>
      </c>
      <c r="P153" s="8"/>
    </row>
    <row r="154" spans="1:16" x14ac:dyDescent="0.25">
      <c r="A154" s="174" t="s">
        <v>2246</v>
      </c>
      <c r="B154" s="172">
        <v>153</v>
      </c>
      <c r="C154" s="175" t="s">
        <v>2326</v>
      </c>
      <c r="D154" s="174" t="s">
        <v>2058</v>
      </c>
      <c r="E154" s="174" t="s">
        <v>2121</v>
      </c>
      <c r="F154" s="177">
        <v>127</v>
      </c>
      <c r="G154" s="177">
        <v>1438</v>
      </c>
      <c r="H154" s="172">
        <v>1032</v>
      </c>
      <c r="I154" s="178">
        <v>1.4259120000000001</v>
      </c>
      <c r="J154" s="180">
        <v>44589</v>
      </c>
      <c r="K154" s="180">
        <v>44587</v>
      </c>
      <c r="L154" s="180">
        <v>44588</v>
      </c>
      <c r="M154" s="10"/>
      <c r="N154" s="169"/>
      <c r="O154" s="181" t="str">
        <f>IF(Harm_el_zewn[[#This Row],[Data wykonania]]&lt;&gt;0,"WYKONANE","NIEWYKONANE")</f>
        <v>NIEWYKONANE</v>
      </c>
      <c r="P154" s="8"/>
    </row>
    <row r="155" spans="1:16" x14ac:dyDescent="0.25">
      <c r="A155" s="174" t="s">
        <v>2247</v>
      </c>
      <c r="B155" s="172">
        <v>154</v>
      </c>
      <c r="C155" s="175" t="s">
        <v>2326</v>
      </c>
      <c r="D155" s="174" t="s">
        <v>2058</v>
      </c>
      <c r="E155" s="174" t="s">
        <v>2121</v>
      </c>
      <c r="F155" s="177">
        <v>127</v>
      </c>
      <c r="G155" s="177">
        <v>1438</v>
      </c>
      <c r="H155" s="172">
        <v>1032</v>
      </c>
      <c r="I155" s="178">
        <v>1.4259120000000001</v>
      </c>
      <c r="J155" s="180">
        <v>44589</v>
      </c>
      <c r="K155" s="180">
        <v>44587</v>
      </c>
      <c r="L155" s="180">
        <v>44588</v>
      </c>
      <c r="M155" s="10"/>
      <c r="N155" s="169"/>
      <c r="O155" s="181" t="str">
        <f>IF(Harm_el_zewn[[#This Row],[Data wykonania]]&lt;&gt;0,"WYKONANE","NIEWYKONANE")</f>
        <v>NIEWYKONANE</v>
      </c>
      <c r="P155" s="8"/>
    </row>
    <row r="156" spans="1:16" x14ac:dyDescent="0.25">
      <c r="A156" s="174" t="s">
        <v>2248</v>
      </c>
      <c r="B156" s="172">
        <v>155</v>
      </c>
      <c r="C156" s="175" t="s">
        <v>2326</v>
      </c>
      <c r="D156" s="174" t="s">
        <v>2058</v>
      </c>
      <c r="E156" s="174" t="s">
        <v>2121</v>
      </c>
      <c r="F156" s="177">
        <v>127</v>
      </c>
      <c r="G156" s="177">
        <v>1438</v>
      </c>
      <c r="H156" s="172">
        <v>1032</v>
      </c>
      <c r="I156" s="178">
        <v>1.4259120000140981</v>
      </c>
      <c r="J156" s="180">
        <v>44589</v>
      </c>
      <c r="K156" s="180">
        <v>44587</v>
      </c>
      <c r="L156" s="180">
        <v>44588</v>
      </c>
      <c r="M156" s="10"/>
      <c r="N156" s="169"/>
      <c r="O156" s="181" t="str">
        <f>IF(Harm_el_zewn[[#This Row],[Data wykonania]]&lt;&gt;0,"WYKONANE","NIEWYKONANE")</f>
        <v>NIEWYKONANE</v>
      </c>
      <c r="P156" s="8"/>
    </row>
    <row r="157" spans="1:16" x14ac:dyDescent="0.25">
      <c r="A157" s="174" t="s">
        <v>2249</v>
      </c>
      <c r="B157" s="172">
        <v>156</v>
      </c>
      <c r="C157" s="175" t="s">
        <v>2326</v>
      </c>
      <c r="D157" s="174" t="s">
        <v>2058</v>
      </c>
      <c r="E157" s="174" t="s">
        <v>2121</v>
      </c>
      <c r="F157" s="177">
        <v>127</v>
      </c>
      <c r="G157" s="177">
        <v>482</v>
      </c>
      <c r="H157" s="172">
        <v>1032</v>
      </c>
      <c r="I157" s="178">
        <v>0.28447721877689996</v>
      </c>
      <c r="J157" s="180">
        <v>44589</v>
      </c>
      <c r="K157" s="180">
        <v>44587</v>
      </c>
      <c r="L157" s="180">
        <v>44588</v>
      </c>
      <c r="M157" s="10"/>
      <c r="N157" s="169"/>
      <c r="O157" s="181" t="str">
        <f>IF(Harm_el_zewn[[#This Row],[Data wykonania]]&lt;&gt;0,"WYKONANE","NIEWYKONANE")</f>
        <v>NIEWYKONANE</v>
      </c>
      <c r="P157" s="8"/>
    </row>
    <row r="158" spans="1:16" x14ac:dyDescent="0.25">
      <c r="A158" s="174" t="s">
        <v>2250</v>
      </c>
      <c r="B158" s="172">
        <v>157</v>
      </c>
      <c r="C158" s="175" t="s">
        <v>2326</v>
      </c>
      <c r="D158" s="174" t="s">
        <v>2058</v>
      </c>
      <c r="E158" s="174" t="s">
        <v>2121</v>
      </c>
      <c r="F158" s="177">
        <v>127</v>
      </c>
      <c r="G158" s="177">
        <v>482</v>
      </c>
      <c r="H158" s="172">
        <v>1032</v>
      </c>
      <c r="I158" s="178">
        <v>0.28447865692789998</v>
      </c>
      <c r="J158" s="180">
        <v>44589</v>
      </c>
      <c r="K158" s="180">
        <v>44587</v>
      </c>
      <c r="L158" s="180">
        <v>44588</v>
      </c>
      <c r="M158" s="10"/>
      <c r="N158" s="169"/>
      <c r="O158" s="181" t="str">
        <f>IF(Harm_el_zewn[[#This Row],[Data wykonania]]&lt;&gt;0,"WYKONANE","NIEWYKONANE")</f>
        <v>NIEWYKONANE</v>
      </c>
      <c r="P158" s="8"/>
    </row>
    <row r="159" spans="1:16" x14ac:dyDescent="0.25">
      <c r="A159" s="174" t="s">
        <v>2251</v>
      </c>
      <c r="B159" s="172">
        <v>158</v>
      </c>
      <c r="C159" s="175" t="s">
        <v>2326</v>
      </c>
      <c r="D159" s="174" t="s">
        <v>2058</v>
      </c>
      <c r="E159" s="174" t="s">
        <v>2121</v>
      </c>
      <c r="F159" s="177">
        <v>127</v>
      </c>
      <c r="G159" s="177">
        <v>1824</v>
      </c>
      <c r="H159" s="172">
        <v>1032</v>
      </c>
      <c r="I159" s="178">
        <v>1.8151176635498909</v>
      </c>
      <c r="J159" s="180">
        <v>44589</v>
      </c>
      <c r="K159" s="180">
        <v>44587</v>
      </c>
      <c r="L159" s="180">
        <v>44588</v>
      </c>
      <c r="M159" s="10"/>
      <c r="N159" s="169"/>
      <c r="O159" s="181" t="str">
        <f>IF(Harm_el_zewn[[#This Row],[Data wykonania]]&lt;&gt;0,"WYKONANE","NIEWYKONANE")</f>
        <v>NIEWYKONANE</v>
      </c>
      <c r="P159" s="8"/>
    </row>
    <row r="160" spans="1:16" x14ac:dyDescent="0.25">
      <c r="A160" s="174" t="s">
        <v>2252</v>
      </c>
      <c r="B160" s="172">
        <v>159</v>
      </c>
      <c r="C160" s="175" t="s">
        <v>2326</v>
      </c>
      <c r="D160" s="174" t="s">
        <v>2058</v>
      </c>
      <c r="E160" s="174" t="s">
        <v>2121</v>
      </c>
      <c r="F160" s="177">
        <v>127</v>
      </c>
      <c r="G160" s="177">
        <v>1825</v>
      </c>
      <c r="H160" s="172">
        <v>1032</v>
      </c>
      <c r="I160" s="178">
        <v>1.8151175362086991</v>
      </c>
      <c r="J160" s="180">
        <v>44589</v>
      </c>
      <c r="K160" s="180">
        <v>44587</v>
      </c>
      <c r="L160" s="180">
        <v>44588</v>
      </c>
      <c r="M160" s="10"/>
      <c r="N160" s="169"/>
      <c r="O160" s="181" t="str">
        <f>IF(Harm_el_zewn[[#This Row],[Data wykonania]]&lt;&gt;0,"WYKONANE","NIEWYKONANE")</f>
        <v>NIEWYKONANE</v>
      </c>
      <c r="P160" s="8"/>
    </row>
    <row r="161" spans="1:16" x14ac:dyDescent="0.25">
      <c r="A161" s="174" t="s">
        <v>2253</v>
      </c>
      <c r="B161" s="172">
        <v>160</v>
      </c>
      <c r="C161" s="175" t="s">
        <v>2326</v>
      </c>
      <c r="D161" s="174" t="s">
        <v>2058</v>
      </c>
      <c r="E161" s="174" t="s">
        <v>2121</v>
      </c>
      <c r="F161" s="177">
        <v>127</v>
      </c>
      <c r="G161" s="177">
        <v>1824</v>
      </c>
      <c r="H161" s="172">
        <v>1032</v>
      </c>
      <c r="I161" s="178">
        <v>1.8151176629738868</v>
      </c>
      <c r="J161" s="180">
        <v>44589</v>
      </c>
      <c r="K161" s="180">
        <v>44587</v>
      </c>
      <c r="L161" s="180">
        <v>44588</v>
      </c>
      <c r="M161" s="10"/>
      <c r="N161" s="169"/>
      <c r="O161" s="181" t="str">
        <f>IF(Harm_el_zewn[[#This Row],[Data wykonania]]&lt;&gt;0,"WYKONANE","NIEWYKONANE")</f>
        <v>NIEWYKONANE</v>
      </c>
      <c r="P161" s="8"/>
    </row>
    <row r="162" spans="1:16" x14ac:dyDescent="0.25">
      <c r="A162" s="174" t="s">
        <v>2254</v>
      </c>
      <c r="B162" s="172">
        <v>161</v>
      </c>
      <c r="C162" s="175" t="s">
        <v>2326</v>
      </c>
      <c r="D162" s="174" t="s">
        <v>2058</v>
      </c>
      <c r="E162" s="174" t="s">
        <v>2121</v>
      </c>
      <c r="F162" s="177">
        <v>127</v>
      </c>
      <c r="G162" s="177">
        <v>475</v>
      </c>
      <c r="H162" s="172">
        <v>1032</v>
      </c>
      <c r="I162" s="178">
        <v>0.27692472640613386</v>
      </c>
      <c r="J162" s="180">
        <v>44589</v>
      </c>
      <c r="K162" s="180">
        <v>44587</v>
      </c>
      <c r="L162" s="180">
        <v>44588</v>
      </c>
      <c r="M162" s="10"/>
      <c r="N162" s="169"/>
      <c r="O162" s="181" t="str">
        <f>IF(Harm_el_zewn[[#This Row],[Data wykonania]]&lt;&gt;0,"WYKONANE","NIEWYKONANE")</f>
        <v>NIEWYKONANE</v>
      </c>
      <c r="P162" s="8"/>
    </row>
    <row r="163" spans="1:16" x14ac:dyDescent="0.25">
      <c r="A163" s="174" t="s">
        <v>2255</v>
      </c>
      <c r="B163" s="172">
        <v>162</v>
      </c>
      <c r="C163" s="175" t="s">
        <v>2326</v>
      </c>
      <c r="D163" s="174" t="s">
        <v>2058</v>
      </c>
      <c r="E163" s="174" t="s">
        <v>2121</v>
      </c>
      <c r="F163" s="177">
        <v>127</v>
      </c>
      <c r="G163" s="177">
        <v>475</v>
      </c>
      <c r="H163" s="172">
        <v>1032</v>
      </c>
      <c r="I163" s="178">
        <v>0.27692472624300002</v>
      </c>
      <c r="J163" s="180">
        <v>44589</v>
      </c>
      <c r="K163" s="180">
        <v>44587</v>
      </c>
      <c r="L163" s="180">
        <v>44588</v>
      </c>
      <c r="M163" s="10"/>
      <c r="N163" s="169"/>
      <c r="O163" s="181" t="str">
        <f>IF(Harm_el_zewn[[#This Row],[Data wykonania]]&lt;&gt;0,"WYKONANE","NIEWYKONANE")</f>
        <v>NIEWYKONANE</v>
      </c>
      <c r="P163" s="8"/>
    </row>
    <row r="164" spans="1:16" x14ac:dyDescent="0.25">
      <c r="A164" s="174" t="s">
        <v>2256</v>
      </c>
      <c r="B164" s="172">
        <v>163</v>
      </c>
      <c r="C164" s="175" t="s">
        <v>2326</v>
      </c>
      <c r="D164" s="174" t="s">
        <v>2058</v>
      </c>
      <c r="E164" s="174" t="s">
        <v>2121</v>
      </c>
      <c r="F164" s="177">
        <v>127</v>
      </c>
      <c r="G164" s="177">
        <v>1499</v>
      </c>
      <c r="H164" s="172">
        <v>1032</v>
      </c>
      <c r="I164" s="178">
        <v>1.4873390451317261</v>
      </c>
      <c r="J164" s="180">
        <v>44589</v>
      </c>
      <c r="K164" s="180">
        <v>44587</v>
      </c>
      <c r="L164" s="180">
        <v>44588</v>
      </c>
      <c r="M164" s="10"/>
      <c r="N164" s="169"/>
      <c r="O164" s="181" t="str">
        <f>IF(Harm_el_zewn[[#This Row],[Data wykonania]]&lt;&gt;0,"WYKONANE","NIEWYKONANE")</f>
        <v>NIEWYKONANE</v>
      </c>
      <c r="P164" s="8"/>
    </row>
    <row r="165" spans="1:16" x14ac:dyDescent="0.25">
      <c r="A165" s="174" t="s">
        <v>2257</v>
      </c>
      <c r="B165" s="172">
        <v>164</v>
      </c>
      <c r="C165" s="175" t="s">
        <v>2326</v>
      </c>
      <c r="D165" s="174" t="s">
        <v>2058</v>
      </c>
      <c r="E165" s="174" t="s">
        <v>2121</v>
      </c>
      <c r="F165" s="177">
        <v>127</v>
      </c>
      <c r="G165" s="177">
        <v>1438</v>
      </c>
      <c r="H165" s="172">
        <v>1032</v>
      </c>
      <c r="I165" s="178">
        <v>1.4259120451478378</v>
      </c>
      <c r="J165" s="180">
        <v>44589</v>
      </c>
      <c r="K165" s="180">
        <v>44587</v>
      </c>
      <c r="L165" s="180">
        <v>44588</v>
      </c>
      <c r="M165" s="10"/>
      <c r="N165" s="169"/>
      <c r="O165" s="181" t="str">
        <f>IF(Harm_el_zewn[[#This Row],[Data wykonania]]&lt;&gt;0,"WYKONANE","NIEWYKONANE")</f>
        <v>NIEWYKONANE</v>
      </c>
      <c r="P165" s="8"/>
    </row>
    <row r="166" spans="1:16" x14ac:dyDescent="0.25">
      <c r="A166" s="174" t="s">
        <v>2258</v>
      </c>
      <c r="B166" s="172">
        <v>165</v>
      </c>
      <c r="C166" s="175" t="s">
        <v>2326</v>
      </c>
      <c r="D166" s="174" t="s">
        <v>2058</v>
      </c>
      <c r="E166" s="174" t="s">
        <v>2121</v>
      </c>
      <c r="F166" s="177">
        <v>127</v>
      </c>
      <c r="G166" s="177">
        <v>1499</v>
      </c>
      <c r="H166" s="172">
        <v>1032</v>
      </c>
      <c r="I166" s="178">
        <v>1.487339045141796</v>
      </c>
      <c r="J166" s="180">
        <v>44589</v>
      </c>
      <c r="K166" s="180">
        <v>44587</v>
      </c>
      <c r="L166" s="180">
        <v>44588</v>
      </c>
      <c r="M166" s="10"/>
      <c r="N166" s="169"/>
      <c r="O166" s="181" t="str">
        <f>IF(Harm_el_zewn[[#This Row],[Data wykonania]]&lt;&gt;0,"WYKONANE","NIEWYKONANE")</f>
        <v>NIEWYKONANE</v>
      </c>
      <c r="P166" s="8"/>
    </row>
    <row r="167" spans="1:16" x14ac:dyDescent="0.25">
      <c r="A167" s="174" t="s">
        <v>2259</v>
      </c>
      <c r="B167" s="172">
        <v>166</v>
      </c>
      <c r="C167" s="175" t="s">
        <v>2326</v>
      </c>
      <c r="D167" s="174" t="s">
        <v>2058</v>
      </c>
      <c r="E167" s="174" t="s">
        <v>2121</v>
      </c>
      <c r="F167" s="177">
        <v>127</v>
      </c>
      <c r="G167" s="177">
        <v>482</v>
      </c>
      <c r="H167" s="172">
        <v>1032</v>
      </c>
      <c r="I167" s="178">
        <v>0.28448009361554999</v>
      </c>
      <c r="J167" s="180">
        <v>44589</v>
      </c>
      <c r="K167" s="180">
        <v>44587</v>
      </c>
      <c r="L167" s="180">
        <v>44588</v>
      </c>
      <c r="M167" s="10"/>
      <c r="N167" s="169"/>
      <c r="O167" s="181" t="str">
        <f>IF(Harm_el_zewn[[#This Row],[Data wykonania]]&lt;&gt;0,"WYKONANE","NIEWYKONANE")</f>
        <v>NIEWYKONANE</v>
      </c>
      <c r="P167" s="8"/>
    </row>
    <row r="168" spans="1:16" x14ac:dyDescent="0.25">
      <c r="A168" s="174" t="s">
        <v>2260</v>
      </c>
      <c r="B168" s="172">
        <v>167</v>
      </c>
      <c r="C168" s="175" t="s">
        <v>2326</v>
      </c>
      <c r="D168" s="174" t="s">
        <v>2058</v>
      </c>
      <c r="E168" s="174" t="s">
        <v>2121</v>
      </c>
      <c r="F168" s="177">
        <v>127</v>
      </c>
      <c r="G168" s="177">
        <v>482</v>
      </c>
      <c r="H168" s="172">
        <v>1032</v>
      </c>
      <c r="I168" s="178">
        <v>0.28447721877689996</v>
      </c>
      <c r="J168" s="180">
        <v>44589</v>
      </c>
      <c r="K168" s="180">
        <v>44587</v>
      </c>
      <c r="L168" s="180">
        <v>44588</v>
      </c>
      <c r="M168" s="10"/>
      <c r="N168" s="169"/>
      <c r="O168" s="181" t="str">
        <f>IF(Harm_el_zewn[[#This Row],[Data wykonania]]&lt;&gt;0,"WYKONANE","NIEWYKONANE")</f>
        <v>NIEWYKONANE</v>
      </c>
      <c r="P168" s="8"/>
    </row>
    <row r="169" spans="1:16" x14ac:dyDescent="0.25">
      <c r="A169" s="174" t="s">
        <v>2261</v>
      </c>
      <c r="B169" s="172">
        <v>168</v>
      </c>
      <c r="C169" s="175" t="s">
        <v>2326</v>
      </c>
      <c r="D169" s="174" t="s">
        <v>2058</v>
      </c>
      <c r="E169" s="174" t="s">
        <v>2121</v>
      </c>
      <c r="F169" s="177">
        <v>127</v>
      </c>
      <c r="G169" s="177">
        <v>1276</v>
      </c>
      <c r="H169" s="172">
        <v>1032</v>
      </c>
      <c r="I169" s="178">
        <v>1.2627810371522799</v>
      </c>
      <c r="J169" s="180">
        <v>44589</v>
      </c>
      <c r="K169" s="180">
        <v>44587</v>
      </c>
      <c r="L169" s="180">
        <v>44588</v>
      </c>
      <c r="M169" s="10"/>
      <c r="N169" s="169"/>
      <c r="O169" s="181" t="str">
        <f>IF(Harm_el_zewn[[#This Row],[Data wykonania]]&lt;&gt;0,"WYKONANE","NIEWYKONANE")</f>
        <v>NIEWYKONANE</v>
      </c>
      <c r="P169" s="8"/>
    </row>
    <row r="170" spans="1:16" x14ac:dyDescent="0.25">
      <c r="A170" s="174" t="s">
        <v>2262</v>
      </c>
      <c r="B170" s="172">
        <v>169</v>
      </c>
      <c r="C170" s="175" t="s">
        <v>2326</v>
      </c>
      <c r="D170" s="174" t="s">
        <v>2058</v>
      </c>
      <c r="E170" s="174" t="s">
        <v>2121</v>
      </c>
      <c r="F170" s="177">
        <v>127</v>
      </c>
      <c r="G170" s="177">
        <v>1266</v>
      </c>
      <c r="H170" s="172">
        <v>1032</v>
      </c>
      <c r="I170" s="178">
        <v>1.2527081147265029</v>
      </c>
      <c r="J170" s="180">
        <v>44589</v>
      </c>
      <c r="K170" s="180">
        <v>44587</v>
      </c>
      <c r="L170" s="180">
        <v>44588</v>
      </c>
      <c r="M170" s="10"/>
      <c r="N170" s="169"/>
      <c r="O170" s="181" t="str">
        <f>IF(Harm_el_zewn[[#This Row],[Data wykonania]]&lt;&gt;0,"WYKONANE","NIEWYKONANE")</f>
        <v>NIEWYKONANE</v>
      </c>
      <c r="P170" s="8"/>
    </row>
    <row r="171" spans="1:16" x14ac:dyDescent="0.25">
      <c r="A171" s="174" t="s">
        <v>2263</v>
      </c>
      <c r="B171" s="172">
        <v>170</v>
      </c>
      <c r="C171" s="175" t="s">
        <v>2326</v>
      </c>
      <c r="D171" s="174" t="s">
        <v>2058</v>
      </c>
      <c r="E171" s="174" t="s">
        <v>2121</v>
      </c>
      <c r="F171" s="177">
        <v>127</v>
      </c>
      <c r="G171" s="177">
        <v>1276</v>
      </c>
      <c r="H171" s="172">
        <v>1032</v>
      </c>
      <c r="I171" s="178">
        <v>1.2627810370787689</v>
      </c>
      <c r="J171" s="180">
        <v>44589</v>
      </c>
      <c r="K171" s="180">
        <v>44587</v>
      </c>
      <c r="L171" s="180">
        <v>44588</v>
      </c>
      <c r="M171" s="10"/>
      <c r="N171" s="169"/>
      <c r="O171" s="181" t="str">
        <f>IF(Harm_el_zewn[[#This Row],[Data wykonania]]&lt;&gt;0,"WYKONANE","NIEWYKONANE")</f>
        <v>NIEWYKONANE</v>
      </c>
      <c r="P171" s="8"/>
    </row>
    <row r="172" spans="1:16" x14ac:dyDescent="0.25">
      <c r="A172" s="174" t="s">
        <v>2264</v>
      </c>
      <c r="B172" s="172">
        <v>171</v>
      </c>
      <c r="C172" s="175" t="s">
        <v>2326</v>
      </c>
      <c r="D172" s="174" t="s">
        <v>2058</v>
      </c>
      <c r="E172" s="174" t="s">
        <v>2121</v>
      </c>
      <c r="F172" s="177">
        <v>127</v>
      </c>
      <c r="G172" s="177">
        <v>470</v>
      </c>
      <c r="H172" s="172">
        <v>1032</v>
      </c>
      <c r="I172" s="178">
        <v>0.27188973190620003</v>
      </c>
      <c r="J172" s="180">
        <v>44589</v>
      </c>
      <c r="K172" s="180">
        <v>44587</v>
      </c>
      <c r="L172" s="180">
        <v>44588</v>
      </c>
      <c r="M172" s="10"/>
      <c r="N172" s="169"/>
      <c r="O172" s="181" t="str">
        <f>IF(Harm_el_zewn[[#This Row],[Data wykonania]]&lt;&gt;0,"WYKONANE","NIEWYKONANE")</f>
        <v>NIEWYKONANE</v>
      </c>
      <c r="P172" s="8"/>
    </row>
    <row r="173" spans="1:16" x14ac:dyDescent="0.25">
      <c r="A173" s="174" t="s">
        <v>2265</v>
      </c>
      <c r="B173" s="172">
        <v>172</v>
      </c>
      <c r="C173" s="175" t="s">
        <v>2326</v>
      </c>
      <c r="D173" s="174" t="s">
        <v>2058</v>
      </c>
      <c r="E173" s="174" t="s">
        <v>2121</v>
      </c>
      <c r="F173" s="177">
        <v>127</v>
      </c>
      <c r="G173" s="177">
        <v>470</v>
      </c>
      <c r="H173" s="172">
        <v>1032</v>
      </c>
      <c r="I173" s="178">
        <v>0.27188973130196686</v>
      </c>
      <c r="J173" s="180">
        <v>44589</v>
      </c>
      <c r="K173" s="180">
        <v>44587</v>
      </c>
      <c r="L173" s="180">
        <v>44588</v>
      </c>
      <c r="M173" s="10"/>
      <c r="N173" s="169"/>
      <c r="O173" s="181" t="str">
        <f>IF(Harm_el_zewn[[#This Row],[Data wykonania]]&lt;&gt;0,"WYKONANE","NIEWYKONANE")</f>
        <v>NIEWYKONANE</v>
      </c>
      <c r="P173" s="8"/>
    </row>
    <row r="174" spans="1:16" x14ac:dyDescent="0.25">
      <c r="A174" s="174" t="s">
        <v>2296</v>
      </c>
      <c r="B174" s="172">
        <v>173</v>
      </c>
      <c r="C174" s="175" t="s">
        <v>116</v>
      </c>
      <c r="D174" s="174" t="s">
        <v>2058</v>
      </c>
      <c r="E174" s="174" t="s">
        <v>2121</v>
      </c>
      <c r="F174" s="177">
        <v>280</v>
      </c>
      <c r="G174" s="177">
        <v>2017</v>
      </c>
      <c r="H174" s="172">
        <v>879</v>
      </c>
      <c r="I174" s="178">
        <v>1.7730318552090785</v>
      </c>
      <c r="J174" s="180">
        <v>44589</v>
      </c>
      <c r="K174" s="180">
        <v>44589</v>
      </c>
      <c r="L174" s="180">
        <v>44589</v>
      </c>
      <c r="M174" s="10"/>
      <c r="N174" s="169"/>
      <c r="O174" s="181" t="str">
        <f>IF(Harm_el_zewn[[#This Row],[Data wykonania]]&lt;&gt;0,"WYKONANE","NIEWYKONANE")</f>
        <v>NIEWYKONANE</v>
      </c>
      <c r="P174" s="8"/>
    </row>
    <row r="175" spans="1:16" x14ac:dyDescent="0.25">
      <c r="A175" s="174" t="s">
        <v>2297</v>
      </c>
      <c r="B175" s="172">
        <v>174</v>
      </c>
      <c r="C175" s="175" t="s">
        <v>116</v>
      </c>
      <c r="D175" s="174" t="s">
        <v>2058</v>
      </c>
      <c r="E175" s="174" t="s">
        <v>2121</v>
      </c>
      <c r="F175" s="177">
        <v>280</v>
      </c>
      <c r="G175" s="177">
        <v>2017</v>
      </c>
      <c r="H175" s="172">
        <v>879</v>
      </c>
      <c r="I175" s="178">
        <v>1.7730012451264665</v>
      </c>
      <c r="J175" s="180">
        <v>44589</v>
      </c>
      <c r="K175" s="180">
        <v>44589</v>
      </c>
      <c r="L175" s="180">
        <v>44589</v>
      </c>
      <c r="M175" s="10"/>
      <c r="N175" s="169"/>
      <c r="O175" s="181" t="str">
        <f>IF(Harm_el_zewn[[#This Row],[Data wykonania]]&lt;&gt;0,"WYKONANE","NIEWYKONANE")</f>
        <v>NIEWYKONANE</v>
      </c>
      <c r="P175" s="8"/>
    </row>
    <row r="176" spans="1:16" x14ac:dyDescent="0.25">
      <c r="A176" s="174" t="s">
        <v>2298</v>
      </c>
      <c r="B176" s="172">
        <v>175</v>
      </c>
      <c r="C176" s="175" t="s">
        <v>116</v>
      </c>
      <c r="D176" s="174" t="s">
        <v>2058</v>
      </c>
      <c r="E176" s="174" t="s">
        <v>2121</v>
      </c>
      <c r="F176" s="177">
        <v>280</v>
      </c>
      <c r="G176" s="177">
        <v>2017</v>
      </c>
      <c r="H176" s="172">
        <v>879</v>
      </c>
      <c r="I176" s="178">
        <v>1.7730012427539001</v>
      </c>
      <c r="J176" s="180">
        <v>44589</v>
      </c>
      <c r="K176" s="180">
        <v>44589</v>
      </c>
      <c r="L176" s="180">
        <v>44589</v>
      </c>
      <c r="M176" s="10"/>
      <c r="N176" s="169"/>
      <c r="O176" s="181" t="str">
        <f>IF(Harm_el_zewn[[#This Row],[Data wykonania]]&lt;&gt;0,"WYKONANE","NIEWYKONANE")</f>
        <v>NIEWYKONANE</v>
      </c>
      <c r="P176" s="8"/>
    </row>
    <row r="177" spans="1:16" x14ac:dyDescent="0.25">
      <c r="A177" s="174" t="s">
        <v>2299</v>
      </c>
      <c r="B177" s="172">
        <v>176</v>
      </c>
      <c r="C177" s="175" t="s">
        <v>116</v>
      </c>
      <c r="D177" s="174" t="s">
        <v>2058</v>
      </c>
      <c r="E177" s="174" t="s">
        <v>2121</v>
      </c>
      <c r="F177" s="177">
        <v>280</v>
      </c>
      <c r="G177" s="177">
        <v>2017</v>
      </c>
      <c r="H177" s="172">
        <v>879</v>
      </c>
      <c r="I177" s="178">
        <v>1.7730318729098327</v>
      </c>
      <c r="J177" s="180">
        <v>44589</v>
      </c>
      <c r="K177" s="180">
        <v>44589</v>
      </c>
      <c r="L177" s="180">
        <v>44589</v>
      </c>
      <c r="M177" s="10"/>
      <c r="N177" s="169"/>
      <c r="O177" s="181" t="str">
        <f>IF(Harm_el_zewn[[#This Row],[Data wykonania]]&lt;&gt;0,"WYKONANE","NIEWYKONANE")</f>
        <v>NIEWYKONANE</v>
      </c>
      <c r="P177" s="8"/>
    </row>
    <row r="178" spans="1:16" x14ac:dyDescent="0.25">
      <c r="A178" s="174" t="s">
        <v>2300</v>
      </c>
      <c r="B178" s="172">
        <v>177</v>
      </c>
      <c r="C178" s="175" t="s">
        <v>116</v>
      </c>
      <c r="D178" s="174" t="s">
        <v>2058</v>
      </c>
      <c r="E178" s="174" t="s">
        <v>2121</v>
      </c>
      <c r="F178" s="177">
        <v>280</v>
      </c>
      <c r="G178" s="177">
        <v>2017</v>
      </c>
      <c r="H178" s="172">
        <v>879</v>
      </c>
      <c r="I178" s="178">
        <v>1.7730318732605377</v>
      </c>
      <c r="J178" s="180">
        <v>44589</v>
      </c>
      <c r="K178" s="180">
        <v>44589</v>
      </c>
      <c r="L178" s="180">
        <v>44589</v>
      </c>
      <c r="M178" s="10"/>
      <c r="N178" s="169"/>
      <c r="O178" s="181" t="str">
        <f>IF(Harm_el_zewn[[#This Row],[Data wykonania]]&lt;&gt;0,"WYKONANE","NIEWYKONANE")</f>
        <v>NIEWYKONANE</v>
      </c>
      <c r="P178" s="8"/>
    </row>
    <row r="179" spans="1:16" x14ac:dyDescent="0.25">
      <c r="A179" s="174" t="s">
        <v>2301</v>
      </c>
      <c r="B179" s="172">
        <v>178</v>
      </c>
      <c r="C179" s="175" t="s">
        <v>116</v>
      </c>
      <c r="D179" s="174" t="s">
        <v>2058</v>
      </c>
      <c r="E179" s="174" t="s">
        <v>2121</v>
      </c>
      <c r="F179" s="177">
        <v>280</v>
      </c>
      <c r="G179" s="177">
        <v>2017</v>
      </c>
      <c r="H179" s="172">
        <v>879</v>
      </c>
      <c r="I179" s="178">
        <v>1.7730318732605377</v>
      </c>
      <c r="J179" s="180">
        <v>44589</v>
      </c>
      <c r="K179" s="180">
        <v>44589</v>
      </c>
      <c r="L179" s="180">
        <v>44589</v>
      </c>
      <c r="M179" s="10"/>
      <c r="N179" s="169"/>
      <c r="O179" s="181" t="str">
        <f>IF(Harm_el_zewn[[#This Row],[Data wykonania]]&lt;&gt;0,"WYKONANE","NIEWYKONANE")</f>
        <v>NIEWYKONANE</v>
      </c>
      <c r="P179" s="8"/>
    </row>
    <row r="180" spans="1:16" x14ac:dyDescent="0.25">
      <c r="A180" s="174" t="s">
        <v>2302</v>
      </c>
      <c r="B180" s="172">
        <v>179</v>
      </c>
      <c r="C180" s="175" t="s">
        <v>116</v>
      </c>
      <c r="D180" s="174" t="s">
        <v>2058</v>
      </c>
      <c r="E180" s="174" t="s">
        <v>2121</v>
      </c>
      <c r="F180" s="177">
        <v>280</v>
      </c>
      <c r="G180" s="177">
        <v>2017</v>
      </c>
      <c r="H180" s="172">
        <v>879</v>
      </c>
      <c r="I180" s="178">
        <v>1.7730318729098327</v>
      </c>
      <c r="J180" s="180">
        <v>44589</v>
      </c>
      <c r="K180" s="180">
        <v>44589</v>
      </c>
      <c r="L180" s="180">
        <v>44589</v>
      </c>
      <c r="M180" s="10"/>
      <c r="N180" s="169"/>
      <c r="O180" s="181" t="str">
        <f>IF(Harm_el_zewn[[#This Row],[Data wykonania]]&lt;&gt;0,"WYKONANE","NIEWYKONANE")</f>
        <v>NIEWYKONANE</v>
      </c>
      <c r="P180" s="8"/>
    </row>
    <row r="181" spans="1:16" x14ac:dyDescent="0.25">
      <c r="A181" s="174" t="s">
        <v>2303</v>
      </c>
      <c r="B181" s="172">
        <v>180</v>
      </c>
      <c r="C181" s="175" t="s">
        <v>116</v>
      </c>
      <c r="D181" s="174" t="s">
        <v>2058</v>
      </c>
      <c r="E181" s="174" t="s">
        <v>2121</v>
      </c>
      <c r="F181" s="177">
        <v>280</v>
      </c>
      <c r="G181" s="177">
        <v>2017</v>
      </c>
      <c r="H181" s="172">
        <v>879</v>
      </c>
      <c r="I181" s="178">
        <v>1.7730318732605377</v>
      </c>
      <c r="J181" s="180">
        <v>44589</v>
      </c>
      <c r="K181" s="180">
        <v>44589</v>
      </c>
      <c r="L181" s="180">
        <v>44589</v>
      </c>
      <c r="M181" s="10"/>
      <c r="N181" s="169"/>
      <c r="O181" s="181" t="str">
        <f>IF(Harm_el_zewn[[#This Row],[Data wykonania]]&lt;&gt;0,"WYKONANE","NIEWYKONANE")</f>
        <v>NIEWYKONANE</v>
      </c>
      <c r="P181" s="8"/>
    </row>
    <row r="182" spans="1:16" x14ac:dyDescent="0.25">
      <c r="A182" s="174" t="s">
        <v>2304</v>
      </c>
      <c r="B182" s="172">
        <v>181</v>
      </c>
      <c r="C182" s="175" t="s">
        <v>116</v>
      </c>
      <c r="D182" s="174" t="s">
        <v>2058</v>
      </c>
      <c r="E182" s="174" t="s">
        <v>2121</v>
      </c>
      <c r="F182" s="177">
        <v>280</v>
      </c>
      <c r="G182" s="177">
        <v>2017</v>
      </c>
      <c r="H182" s="172">
        <v>879</v>
      </c>
      <c r="I182" s="178">
        <v>1.773078622497952</v>
      </c>
      <c r="J182" s="180">
        <v>44589</v>
      </c>
      <c r="K182" s="180">
        <v>44589</v>
      </c>
      <c r="L182" s="180">
        <v>44589</v>
      </c>
      <c r="M182" s="10"/>
      <c r="N182" s="169"/>
      <c r="O182" s="181" t="str">
        <f>IF(Harm_el_zewn[[#This Row],[Data wykonania]]&lt;&gt;0,"WYKONANE","NIEWYKONANE")</f>
        <v>NIEWYKONANE</v>
      </c>
      <c r="P182" s="8"/>
    </row>
    <row r="183" spans="1:16" x14ac:dyDescent="0.25">
      <c r="A183" s="174" t="s">
        <v>2305</v>
      </c>
      <c r="B183" s="172">
        <v>182</v>
      </c>
      <c r="C183" s="175" t="s">
        <v>116</v>
      </c>
      <c r="D183" s="174" t="s">
        <v>2058</v>
      </c>
      <c r="E183" s="174" t="s">
        <v>2121</v>
      </c>
      <c r="F183" s="177">
        <v>280</v>
      </c>
      <c r="G183" s="177">
        <v>2017</v>
      </c>
      <c r="H183" s="172">
        <v>879</v>
      </c>
      <c r="I183" s="178">
        <v>1.7730644311881858</v>
      </c>
      <c r="J183" s="180">
        <v>44589</v>
      </c>
      <c r="K183" s="180">
        <v>44589</v>
      </c>
      <c r="L183" s="180">
        <v>44589</v>
      </c>
      <c r="M183" s="10"/>
      <c r="N183" s="169"/>
      <c r="O183" s="181" t="str">
        <f>IF(Harm_el_zewn[[#This Row],[Data wykonania]]&lt;&gt;0,"WYKONANE","NIEWYKONANE")</f>
        <v>NIEWYKONANE</v>
      </c>
      <c r="P183" s="8"/>
    </row>
    <row r="184" spans="1:16" x14ac:dyDescent="0.25">
      <c r="A184" s="174" t="s">
        <v>2306</v>
      </c>
      <c r="B184" s="172">
        <v>183</v>
      </c>
      <c r="C184" s="175" t="s">
        <v>116</v>
      </c>
      <c r="D184" s="174" t="s">
        <v>2058</v>
      </c>
      <c r="E184" s="174" t="s">
        <v>2121</v>
      </c>
      <c r="F184" s="177">
        <v>280</v>
      </c>
      <c r="G184" s="177">
        <v>2017</v>
      </c>
      <c r="H184" s="172">
        <v>879</v>
      </c>
      <c r="I184" s="178">
        <v>1.7730006389882214</v>
      </c>
      <c r="J184" s="180">
        <v>44589</v>
      </c>
      <c r="K184" s="180">
        <v>44589</v>
      </c>
      <c r="L184" s="180">
        <v>44589</v>
      </c>
      <c r="M184" s="10"/>
      <c r="N184" s="169"/>
      <c r="O184" s="181" t="str">
        <f>IF(Harm_el_zewn[[#This Row],[Data wykonania]]&lt;&gt;0,"WYKONANE","NIEWYKONANE")</f>
        <v>NIEWYKONANE</v>
      </c>
      <c r="P184" s="8"/>
    </row>
    <row r="185" spans="1:16" x14ac:dyDescent="0.25">
      <c r="A185" s="174" t="s">
        <v>2307</v>
      </c>
      <c r="B185" s="172">
        <v>184</v>
      </c>
      <c r="C185" s="175" t="s">
        <v>116</v>
      </c>
      <c r="D185" s="174" t="s">
        <v>2058</v>
      </c>
      <c r="E185" s="174" t="s">
        <v>2121</v>
      </c>
      <c r="F185" s="177">
        <v>280</v>
      </c>
      <c r="G185" s="177">
        <v>2017</v>
      </c>
      <c r="H185" s="172">
        <v>879</v>
      </c>
      <c r="I185" s="178">
        <v>1.7730012451264665</v>
      </c>
      <c r="J185" s="180">
        <v>44589</v>
      </c>
      <c r="K185" s="180">
        <v>44589</v>
      </c>
      <c r="L185" s="180">
        <v>44589</v>
      </c>
      <c r="M185" s="10"/>
      <c r="N185" s="169"/>
      <c r="O185" s="181" t="str">
        <f>IF(Harm_el_zewn[[#This Row],[Data wykonania]]&lt;&gt;0,"WYKONANE","NIEWYKONANE")</f>
        <v>NIEWYKONANE</v>
      </c>
      <c r="P185" s="8"/>
    </row>
    <row r="186" spans="1:16" x14ac:dyDescent="0.25">
      <c r="A186" s="174" t="s">
        <v>2308</v>
      </c>
      <c r="B186" s="172">
        <v>185</v>
      </c>
      <c r="C186" s="175" t="s">
        <v>116</v>
      </c>
      <c r="D186" s="174" t="s">
        <v>2058</v>
      </c>
      <c r="E186" s="174" t="s">
        <v>2121</v>
      </c>
      <c r="F186" s="177">
        <v>280</v>
      </c>
      <c r="G186" s="177">
        <v>2017</v>
      </c>
      <c r="H186" s="172">
        <v>879</v>
      </c>
      <c r="I186" s="178">
        <v>1.7730012427539001</v>
      </c>
      <c r="J186" s="180">
        <v>44589</v>
      </c>
      <c r="K186" s="180">
        <v>44589</v>
      </c>
      <c r="L186" s="180">
        <v>44589</v>
      </c>
      <c r="M186" s="10"/>
      <c r="N186" s="169"/>
      <c r="O186" s="181" t="str">
        <f>IF(Harm_el_zewn[[#This Row],[Data wykonania]]&lt;&gt;0,"WYKONANE","NIEWYKONANE")</f>
        <v>NIEWYKONANE</v>
      </c>
      <c r="P186" s="8"/>
    </row>
    <row r="187" spans="1:16" x14ac:dyDescent="0.25">
      <c r="A187" s="174" t="s">
        <v>2309</v>
      </c>
      <c r="B187" s="172">
        <v>186</v>
      </c>
      <c r="C187" s="175" t="s">
        <v>116</v>
      </c>
      <c r="D187" s="174" t="s">
        <v>2058</v>
      </c>
      <c r="E187" s="174" t="s">
        <v>2121</v>
      </c>
      <c r="F187" s="177">
        <v>280</v>
      </c>
      <c r="G187" s="177">
        <v>2017</v>
      </c>
      <c r="H187" s="172">
        <v>879</v>
      </c>
      <c r="I187" s="178">
        <v>1.7730006587059295</v>
      </c>
      <c r="J187" s="180">
        <v>44589</v>
      </c>
      <c r="K187" s="180">
        <v>44589</v>
      </c>
      <c r="L187" s="180">
        <v>44589</v>
      </c>
      <c r="M187" s="10"/>
      <c r="N187" s="169"/>
      <c r="O187" s="181" t="str">
        <f>IF(Harm_el_zewn[[#This Row],[Data wykonania]]&lt;&gt;0,"WYKONANE","NIEWYKONANE")</f>
        <v>NIEWYKONANE</v>
      </c>
      <c r="P187" s="8"/>
    </row>
    <row r="188" spans="1:16" x14ac:dyDescent="0.25">
      <c r="A188" s="174" t="s">
        <v>2310</v>
      </c>
      <c r="B188" s="172">
        <v>187</v>
      </c>
      <c r="C188" s="175" t="s">
        <v>116</v>
      </c>
      <c r="D188" s="174" t="s">
        <v>2058</v>
      </c>
      <c r="E188" s="174" t="s">
        <v>2121</v>
      </c>
      <c r="F188" s="177">
        <v>280</v>
      </c>
      <c r="G188" s="177">
        <v>2017</v>
      </c>
      <c r="H188" s="172">
        <v>879</v>
      </c>
      <c r="I188" s="178">
        <v>1.7730318732605377</v>
      </c>
      <c r="J188" s="180">
        <v>44589</v>
      </c>
      <c r="K188" s="180">
        <v>44589</v>
      </c>
      <c r="L188" s="180">
        <v>44589</v>
      </c>
      <c r="M188" s="10"/>
      <c r="N188" s="169"/>
      <c r="O188" s="181" t="str">
        <f>IF(Harm_el_zewn[[#This Row],[Data wykonania]]&lt;&gt;0,"WYKONANE","NIEWYKONANE")</f>
        <v>NIEWYKONANE</v>
      </c>
      <c r="P188" s="8"/>
    </row>
    <row r="189" spans="1:16" x14ac:dyDescent="0.25">
      <c r="A189" s="174" t="s">
        <v>2311</v>
      </c>
      <c r="B189" s="172">
        <v>188</v>
      </c>
      <c r="C189" s="175" t="s">
        <v>116</v>
      </c>
      <c r="D189" s="174" t="s">
        <v>2058</v>
      </c>
      <c r="E189" s="174" t="s">
        <v>2121</v>
      </c>
      <c r="F189" s="177">
        <v>280</v>
      </c>
      <c r="G189" s="177">
        <v>2017</v>
      </c>
      <c r="H189" s="172">
        <v>879</v>
      </c>
      <c r="I189" s="178">
        <v>1.7730318732605377</v>
      </c>
      <c r="J189" s="180">
        <v>44589</v>
      </c>
      <c r="K189" s="180">
        <v>44589</v>
      </c>
      <c r="L189" s="180">
        <v>44589</v>
      </c>
      <c r="M189" s="10"/>
      <c r="N189" s="169"/>
      <c r="O189" s="181" t="str">
        <f>IF(Harm_el_zewn[[#This Row],[Data wykonania]]&lt;&gt;0,"WYKONANE","NIEWYKONANE")</f>
        <v>NIEWYKONANE</v>
      </c>
      <c r="P189" s="8"/>
    </row>
    <row r="190" spans="1:16" x14ac:dyDescent="0.25">
      <c r="A190" s="174" t="s">
        <v>2312</v>
      </c>
      <c r="B190" s="172">
        <v>189</v>
      </c>
      <c r="C190" s="175" t="s">
        <v>116</v>
      </c>
      <c r="D190" s="174" t="s">
        <v>2058</v>
      </c>
      <c r="E190" s="174" t="s">
        <v>2121</v>
      </c>
      <c r="F190" s="177">
        <v>280</v>
      </c>
      <c r="G190" s="177">
        <v>2017</v>
      </c>
      <c r="H190" s="172">
        <v>879</v>
      </c>
      <c r="I190" s="178">
        <v>1.7730006587059295</v>
      </c>
      <c r="J190" s="180">
        <v>44589</v>
      </c>
      <c r="K190" s="180">
        <v>44589</v>
      </c>
      <c r="L190" s="180">
        <v>44589</v>
      </c>
      <c r="M190" s="10"/>
      <c r="N190" s="169"/>
      <c r="O190" s="181" t="str">
        <f>IF(Harm_el_zewn[[#This Row],[Data wykonania]]&lt;&gt;0,"WYKONANE","NIEWYKONANE")</f>
        <v>NIEWYKONANE</v>
      </c>
      <c r="P190" s="8"/>
    </row>
    <row r="191" spans="1:16" x14ac:dyDescent="0.25">
      <c r="A191" s="174" t="s">
        <v>2313</v>
      </c>
      <c r="B191" s="172">
        <v>190</v>
      </c>
      <c r="C191" s="175" t="s">
        <v>116</v>
      </c>
      <c r="D191" s="174" t="s">
        <v>2058</v>
      </c>
      <c r="E191" s="174" t="s">
        <v>2121</v>
      </c>
      <c r="F191" s="177">
        <v>280</v>
      </c>
      <c r="G191" s="177">
        <v>2017</v>
      </c>
      <c r="H191" s="172">
        <v>879</v>
      </c>
      <c r="I191" s="178">
        <v>1.7730318732605377</v>
      </c>
      <c r="J191" s="180">
        <v>44589</v>
      </c>
      <c r="K191" s="180">
        <v>44589</v>
      </c>
      <c r="L191" s="180">
        <v>44589</v>
      </c>
      <c r="M191" s="10"/>
      <c r="N191" s="169"/>
      <c r="O191" s="181" t="str">
        <f>IF(Harm_el_zewn[[#This Row],[Data wykonania]]&lt;&gt;0,"WYKONANE","NIEWYKONANE")</f>
        <v>NIEWYKONANE</v>
      </c>
      <c r="P191" s="8"/>
    </row>
    <row r="192" spans="1:16" x14ac:dyDescent="0.25">
      <c r="A192" s="174" t="s">
        <v>2314</v>
      </c>
      <c r="B192" s="172">
        <v>191</v>
      </c>
      <c r="C192" s="175" t="s">
        <v>116</v>
      </c>
      <c r="D192" s="174" t="s">
        <v>2058</v>
      </c>
      <c r="E192" s="174" t="s">
        <v>2121</v>
      </c>
      <c r="F192" s="177">
        <v>280</v>
      </c>
      <c r="G192" s="177">
        <v>2017</v>
      </c>
      <c r="H192" s="172">
        <v>879</v>
      </c>
      <c r="I192" s="178">
        <v>1.7730786107460146</v>
      </c>
      <c r="J192" s="180">
        <v>44589</v>
      </c>
      <c r="K192" s="180">
        <v>44589</v>
      </c>
      <c r="L192" s="180">
        <v>44589</v>
      </c>
      <c r="M192" s="10"/>
      <c r="N192" s="169"/>
      <c r="O192" s="181" t="str">
        <f>IF(Harm_el_zewn[[#This Row],[Data wykonania]]&lt;&gt;0,"WYKONANE","NIEWYKONANE")</f>
        <v>NIEWYKONANE</v>
      </c>
      <c r="P192" s="8"/>
    </row>
    <row r="193" spans="1:16" x14ac:dyDescent="0.25">
      <c r="A193" s="174" t="s">
        <v>2315</v>
      </c>
      <c r="B193" s="172">
        <v>192</v>
      </c>
      <c r="C193" s="175" t="s">
        <v>116</v>
      </c>
      <c r="D193" s="174" t="s">
        <v>2058</v>
      </c>
      <c r="E193" s="174" t="s">
        <v>2121</v>
      </c>
      <c r="F193" s="177">
        <v>280</v>
      </c>
      <c r="G193" s="177">
        <v>2017</v>
      </c>
      <c r="H193" s="172">
        <v>879</v>
      </c>
      <c r="I193" s="178">
        <v>1.773000638873194</v>
      </c>
      <c r="J193" s="180">
        <v>44589</v>
      </c>
      <c r="K193" s="180">
        <v>44589</v>
      </c>
      <c r="L193" s="180">
        <v>44589</v>
      </c>
      <c r="M193" s="10"/>
      <c r="N193" s="169"/>
      <c r="O193" s="181" t="str">
        <f>IF(Harm_el_zewn[[#This Row],[Data wykonania]]&lt;&gt;0,"WYKONANE","NIEWYKONANE")</f>
        <v>NIEWYKONANE</v>
      </c>
      <c r="P193" s="8"/>
    </row>
    <row r="194" spans="1:16" x14ac:dyDescent="0.25">
      <c r="A194" s="174" t="s">
        <v>2316</v>
      </c>
      <c r="B194" s="172">
        <v>193</v>
      </c>
      <c r="C194" s="175" t="s">
        <v>116</v>
      </c>
      <c r="D194" s="174" t="s">
        <v>2058</v>
      </c>
      <c r="E194" s="174" t="s">
        <v>2121</v>
      </c>
      <c r="F194" s="177">
        <v>280</v>
      </c>
      <c r="G194" s="177">
        <v>2017</v>
      </c>
      <c r="H194" s="172">
        <v>879</v>
      </c>
      <c r="I194" s="178">
        <v>1.7730006389882214</v>
      </c>
      <c r="J194" s="180">
        <v>44589</v>
      </c>
      <c r="K194" s="180">
        <v>44589</v>
      </c>
      <c r="L194" s="180">
        <v>44589</v>
      </c>
      <c r="M194" s="10"/>
      <c r="N194" s="169"/>
      <c r="O194" s="181" t="str">
        <f>IF(Harm_el_zewn[[#This Row],[Data wykonania]]&lt;&gt;0,"WYKONANE","NIEWYKONANE")</f>
        <v>NIEWYKONANE</v>
      </c>
      <c r="P194" s="8"/>
    </row>
    <row r="195" spans="1:16" x14ac:dyDescent="0.25">
      <c r="A195" s="174" t="s">
        <v>2317</v>
      </c>
      <c r="B195" s="172">
        <v>194</v>
      </c>
      <c r="C195" s="175" t="s">
        <v>116</v>
      </c>
      <c r="D195" s="174" t="s">
        <v>2058</v>
      </c>
      <c r="E195" s="174" t="s">
        <v>2121</v>
      </c>
      <c r="F195" s="177">
        <v>280</v>
      </c>
      <c r="G195" s="177">
        <v>2017</v>
      </c>
      <c r="H195" s="172">
        <v>879</v>
      </c>
      <c r="I195" s="178">
        <v>1.7730012451264665</v>
      </c>
      <c r="J195" s="180">
        <v>44589</v>
      </c>
      <c r="K195" s="180">
        <v>44589</v>
      </c>
      <c r="L195" s="180">
        <v>44589</v>
      </c>
      <c r="M195" s="10"/>
      <c r="N195" s="169"/>
      <c r="O195" s="181" t="str">
        <f>IF(Harm_el_zewn[[#This Row],[Data wykonania]]&lt;&gt;0,"WYKONANE","NIEWYKONANE")</f>
        <v>NIEWYKONANE</v>
      </c>
      <c r="P195" s="8"/>
    </row>
    <row r="196" spans="1:16" x14ac:dyDescent="0.25">
      <c r="A196" s="174" t="s">
        <v>2318</v>
      </c>
      <c r="B196" s="172">
        <v>195</v>
      </c>
      <c r="C196" s="175" t="s">
        <v>116</v>
      </c>
      <c r="D196" s="174" t="s">
        <v>2058</v>
      </c>
      <c r="E196" s="174" t="s">
        <v>2121</v>
      </c>
      <c r="F196" s="177">
        <v>280</v>
      </c>
      <c r="G196" s="177">
        <v>2017</v>
      </c>
      <c r="H196" s="172">
        <v>879</v>
      </c>
      <c r="I196" s="178">
        <v>1.7730012427539001</v>
      </c>
      <c r="J196" s="180">
        <v>44589</v>
      </c>
      <c r="K196" s="180">
        <v>44589</v>
      </c>
      <c r="L196" s="180">
        <v>44589</v>
      </c>
      <c r="M196" s="10"/>
      <c r="N196" s="169"/>
      <c r="O196" s="181" t="str">
        <f>IF(Harm_el_zewn[[#This Row],[Data wykonania]]&lt;&gt;0,"WYKONANE","NIEWYKONANE")</f>
        <v>NIEWYKONANE</v>
      </c>
      <c r="P196" s="8"/>
    </row>
    <row r="197" spans="1:16" x14ac:dyDescent="0.25">
      <c r="A197" s="174" t="s">
        <v>2319</v>
      </c>
      <c r="B197" s="172">
        <v>196</v>
      </c>
      <c r="C197" s="175" t="s">
        <v>116</v>
      </c>
      <c r="D197" s="174" t="s">
        <v>2058</v>
      </c>
      <c r="E197" s="174" t="s">
        <v>2121</v>
      </c>
      <c r="F197" s="177">
        <v>280</v>
      </c>
      <c r="G197" s="177">
        <v>2017</v>
      </c>
      <c r="H197" s="172">
        <v>879</v>
      </c>
      <c r="I197" s="178">
        <v>1.7730006587059295</v>
      </c>
      <c r="J197" s="180">
        <v>44589</v>
      </c>
      <c r="K197" s="180">
        <v>44589</v>
      </c>
      <c r="L197" s="180">
        <v>44589</v>
      </c>
      <c r="M197" s="10"/>
      <c r="N197" s="169"/>
      <c r="O197" s="181" t="str">
        <f>IF(Harm_el_zewn[[#This Row],[Data wykonania]]&lt;&gt;0,"WYKONANE","NIEWYKONANE")</f>
        <v>NIEWYKONANE</v>
      </c>
      <c r="P197" s="8"/>
    </row>
    <row r="198" spans="1:16" x14ac:dyDescent="0.25">
      <c r="A198" s="174" t="s">
        <v>2320</v>
      </c>
      <c r="B198" s="172">
        <v>197</v>
      </c>
      <c r="C198" s="175" t="s">
        <v>116</v>
      </c>
      <c r="D198" s="174" t="s">
        <v>2058</v>
      </c>
      <c r="E198" s="174" t="s">
        <v>2121</v>
      </c>
      <c r="F198" s="177">
        <v>280</v>
      </c>
      <c r="G198" s="177">
        <v>2017</v>
      </c>
      <c r="H198" s="172">
        <v>879</v>
      </c>
      <c r="I198" s="178">
        <v>1.7730318732605377</v>
      </c>
      <c r="J198" s="180">
        <v>44589</v>
      </c>
      <c r="K198" s="180">
        <v>44589</v>
      </c>
      <c r="L198" s="180">
        <v>44589</v>
      </c>
      <c r="M198" s="10"/>
      <c r="N198" s="169"/>
      <c r="O198" s="181" t="str">
        <f>IF(Harm_el_zewn[[#This Row],[Data wykonania]]&lt;&gt;0,"WYKONANE","NIEWYKONANE")</f>
        <v>NIEWYKONANE</v>
      </c>
      <c r="P198" s="8"/>
    </row>
    <row r="199" spans="1:16" x14ac:dyDescent="0.25">
      <c r="A199" s="174" t="s">
        <v>2321</v>
      </c>
      <c r="B199" s="172">
        <v>198</v>
      </c>
      <c r="C199" s="175" t="s">
        <v>116</v>
      </c>
      <c r="D199" s="174" t="s">
        <v>2058</v>
      </c>
      <c r="E199" s="174" t="s">
        <v>2121</v>
      </c>
      <c r="F199" s="177">
        <v>280</v>
      </c>
      <c r="G199" s="177">
        <v>2017</v>
      </c>
      <c r="H199" s="172">
        <v>879</v>
      </c>
      <c r="I199" s="178">
        <v>1.7730318732605377</v>
      </c>
      <c r="J199" s="180">
        <v>44589</v>
      </c>
      <c r="K199" s="180">
        <v>44589</v>
      </c>
      <c r="L199" s="180">
        <v>44589</v>
      </c>
      <c r="M199" s="10"/>
      <c r="N199" s="169"/>
      <c r="O199" s="181" t="str">
        <f>IF(Harm_el_zewn[[#This Row],[Data wykonania]]&lt;&gt;0,"WYKONANE","NIEWYKONANE")</f>
        <v>NIEWYKONANE</v>
      </c>
      <c r="P199" s="8"/>
    </row>
    <row r="200" spans="1:16" x14ac:dyDescent="0.25">
      <c r="A200" s="174" t="s">
        <v>2322</v>
      </c>
      <c r="B200" s="172">
        <v>199</v>
      </c>
      <c r="C200" s="175" t="s">
        <v>116</v>
      </c>
      <c r="D200" s="174" t="s">
        <v>2058</v>
      </c>
      <c r="E200" s="174" t="s">
        <v>2121</v>
      </c>
      <c r="F200" s="177">
        <v>280</v>
      </c>
      <c r="G200" s="177">
        <v>2017</v>
      </c>
      <c r="H200" s="172">
        <v>879</v>
      </c>
      <c r="I200" s="178">
        <v>1.7730006587059295</v>
      </c>
      <c r="J200" s="180">
        <v>44589</v>
      </c>
      <c r="K200" s="180">
        <v>44589</v>
      </c>
      <c r="L200" s="180">
        <v>44589</v>
      </c>
      <c r="M200" s="10"/>
      <c r="N200" s="169"/>
      <c r="O200" s="181" t="str">
        <f>IF(Harm_el_zewn[[#This Row],[Data wykonania]]&lt;&gt;0,"WYKONANE","NIEWYKONANE")</f>
        <v>NIEWYKONANE</v>
      </c>
      <c r="P200" s="8"/>
    </row>
    <row r="201" spans="1:16" x14ac:dyDescent="0.25">
      <c r="A201" s="174" t="s">
        <v>2323</v>
      </c>
      <c r="B201" s="172">
        <v>200</v>
      </c>
      <c r="C201" s="175" t="s">
        <v>116</v>
      </c>
      <c r="D201" s="174" t="s">
        <v>2058</v>
      </c>
      <c r="E201" s="174" t="s">
        <v>2121</v>
      </c>
      <c r="F201" s="177">
        <v>280</v>
      </c>
      <c r="G201" s="177">
        <v>2017</v>
      </c>
      <c r="H201" s="172">
        <v>879</v>
      </c>
      <c r="I201" s="178">
        <v>1.7730318732605377</v>
      </c>
      <c r="J201" s="180">
        <v>44589</v>
      </c>
      <c r="K201" s="180">
        <v>44589</v>
      </c>
      <c r="L201" s="180">
        <v>44589</v>
      </c>
      <c r="M201" s="10"/>
      <c r="N201" s="169"/>
      <c r="O201" s="181" t="str">
        <f>IF(Harm_el_zewn[[#This Row],[Data wykonania]]&lt;&gt;0,"WYKONANE","NIEWYKONANE")</f>
        <v>NIEWYKONANE</v>
      </c>
      <c r="P201" s="8"/>
    </row>
    <row r="202" spans="1:16" x14ac:dyDescent="0.25">
      <c r="A202" s="174" t="s">
        <v>2324</v>
      </c>
      <c r="B202" s="172">
        <v>201</v>
      </c>
      <c r="C202" s="175" t="s">
        <v>116</v>
      </c>
      <c r="D202" s="174" t="s">
        <v>2058</v>
      </c>
      <c r="E202" s="174" t="s">
        <v>2121</v>
      </c>
      <c r="F202" s="177">
        <v>280</v>
      </c>
      <c r="G202" s="177">
        <v>2017</v>
      </c>
      <c r="H202" s="172">
        <v>879</v>
      </c>
      <c r="I202" s="178">
        <v>1.7730786107460146</v>
      </c>
      <c r="J202" s="180">
        <v>44589</v>
      </c>
      <c r="K202" s="180">
        <v>44589</v>
      </c>
      <c r="L202" s="180">
        <v>44589</v>
      </c>
      <c r="M202" s="10"/>
      <c r="N202" s="169"/>
      <c r="O202" s="181" t="str">
        <f>IF(Harm_el_zewn[[#This Row],[Data wykonania]]&lt;&gt;0,"WYKONANE","NIEWYKONANE")</f>
        <v>NIEWYKONANE</v>
      </c>
      <c r="P202" s="8"/>
    </row>
    <row r="203" spans="1:16" x14ac:dyDescent="0.25">
      <c r="A203" s="174" t="s">
        <v>2325</v>
      </c>
      <c r="B203" s="172">
        <v>202</v>
      </c>
      <c r="C203" s="175" t="s">
        <v>116</v>
      </c>
      <c r="D203" s="174" t="s">
        <v>2058</v>
      </c>
      <c r="E203" s="174" t="s">
        <v>2121</v>
      </c>
      <c r="F203" s="177">
        <v>280</v>
      </c>
      <c r="G203" s="177">
        <v>2017</v>
      </c>
      <c r="H203" s="172">
        <v>879</v>
      </c>
      <c r="I203" s="178">
        <v>1.773000638873194</v>
      </c>
      <c r="J203" s="180">
        <v>44589</v>
      </c>
      <c r="K203" s="180">
        <v>44589</v>
      </c>
      <c r="L203" s="180">
        <v>44589</v>
      </c>
      <c r="M203" s="10"/>
      <c r="N203" s="169"/>
      <c r="O203" s="181" t="str">
        <f>IF(Harm_el_zewn[[#This Row],[Data wykonania]]&lt;&gt;0,"WYKONANE","NIEWYKONANE")</f>
        <v>NIEWYKONANE</v>
      </c>
      <c r="P203" s="8"/>
    </row>
    <row r="204" spans="1:16" x14ac:dyDescent="0.25">
      <c r="A204" s="174" t="s">
        <v>2343</v>
      </c>
      <c r="B204" s="172">
        <v>203</v>
      </c>
      <c r="C204" s="175" t="s">
        <v>1196</v>
      </c>
      <c r="D204" s="174" t="s">
        <v>2342</v>
      </c>
      <c r="E204" s="174" t="s">
        <v>2345</v>
      </c>
      <c r="F204" s="177">
        <v>80</v>
      </c>
      <c r="G204" s="177">
        <v>5169</v>
      </c>
      <c r="H204" s="172">
        <v>3010</v>
      </c>
      <c r="I204" s="139">
        <v>15.559251155493358</v>
      </c>
      <c r="J204" s="180">
        <v>44607</v>
      </c>
      <c r="K204" s="180">
        <v>44607</v>
      </c>
      <c r="L204" s="180">
        <v>44607</v>
      </c>
      <c r="M204" s="10"/>
      <c r="N204" s="169"/>
      <c r="O204" s="209" t="str">
        <f>IF(Harm_el_zewn[[#This Row],[Data wykonania]]&lt;&gt;0,"WYKONANE","NIEWYKONANE")</f>
        <v>NIEWYKONANE</v>
      </c>
      <c r="P204" s="8"/>
    </row>
    <row r="205" spans="1:16" x14ac:dyDescent="0.25">
      <c r="A205" s="174" t="s">
        <v>2344</v>
      </c>
      <c r="B205" s="172">
        <v>204</v>
      </c>
      <c r="C205" s="175" t="s">
        <v>1196</v>
      </c>
      <c r="D205" s="174" t="s">
        <v>2342</v>
      </c>
      <c r="E205" s="174" t="s">
        <v>2345</v>
      </c>
      <c r="F205" s="177">
        <v>80</v>
      </c>
      <c r="G205" s="177">
        <v>5169</v>
      </c>
      <c r="H205" s="172">
        <v>1158</v>
      </c>
      <c r="I205" s="139">
        <v>5.9835279764053455</v>
      </c>
      <c r="J205" s="180">
        <v>44607</v>
      </c>
      <c r="K205" s="180">
        <v>44607</v>
      </c>
      <c r="L205" s="180">
        <v>44607</v>
      </c>
      <c r="M205" s="10"/>
      <c r="N205" s="169"/>
      <c r="O205" s="209" t="str">
        <f>IF(Harm_el_zewn[[#This Row],[Data wykonania]]&lt;&gt;0,"WYKONANE","NIEWYKONANE")</f>
        <v>NIEWYKONANE</v>
      </c>
      <c r="P205" s="8"/>
    </row>
  </sheetData>
  <phoneticPr fontId="13" type="noConversion"/>
  <conditionalFormatting sqref="O2:O205">
    <cfRule type="cellIs" dxfId="117" priority="6" operator="equal">
      <formula>"Wykonane"</formula>
    </cfRule>
    <cfRule type="cellIs" dxfId="116" priority="7" operator="equal">
      <formula>"Niewykonane"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Arkusz57"/>
  <dimension ref="A1:Y205"/>
  <sheetViews>
    <sheetView topLeftCell="A172" zoomScaleNormal="100" workbookViewId="0">
      <selection activeCell="M204" sqref="M204:M205"/>
    </sheetView>
  </sheetViews>
  <sheetFormatPr defaultRowHeight="15" x14ac:dyDescent="0.25"/>
  <cols>
    <col min="2" max="2" width="21.5703125" bestFit="1" customWidth="1"/>
    <col min="3" max="3" width="9.140625" bestFit="1" customWidth="1"/>
    <col min="4" max="4" width="28" bestFit="1" customWidth="1"/>
    <col min="5" max="5" width="11" bestFit="1" customWidth="1"/>
    <col min="6" max="6" width="9.140625" bestFit="1" customWidth="1"/>
    <col min="7" max="7" width="8.85546875" bestFit="1" customWidth="1"/>
    <col min="8" max="8" width="8" bestFit="1" customWidth="1"/>
    <col min="9" max="9" width="8.42578125" bestFit="1" customWidth="1"/>
    <col min="10" max="10" width="10.140625" bestFit="1" customWidth="1"/>
    <col min="11" max="11" width="9.140625" bestFit="1" customWidth="1"/>
    <col min="12" max="12" width="12.140625" bestFit="1" customWidth="1"/>
    <col min="13" max="13" width="13.7109375" bestFit="1" customWidth="1"/>
    <col min="14" max="14" width="17.140625" bestFit="1" customWidth="1"/>
    <col min="15" max="15" width="11.28515625" bestFit="1" customWidth="1"/>
    <col min="16" max="16" width="22.140625" bestFit="1" customWidth="1"/>
    <col min="17" max="17" width="13.140625" bestFit="1" customWidth="1"/>
    <col min="18" max="18" width="11.28515625" bestFit="1" customWidth="1"/>
    <col min="19" max="19" width="10.7109375" bestFit="1" customWidth="1"/>
    <col min="20" max="20" width="10.140625" bestFit="1" customWidth="1"/>
    <col min="21" max="21" width="10.5703125" bestFit="1" customWidth="1"/>
    <col min="22" max="22" width="12" bestFit="1" customWidth="1"/>
    <col min="23" max="23" width="11" bestFit="1" customWidth="1"/>
    <col min="24" max="24" width="14.140625" bestFit="1" customWidth="1"/>
    <col min="25" max="25" width="15.7109375" bestFit="1" customWidth="1"/>
  </cols>
  <sheetData>
    <row r="1" spans="1:25" x14ac:dyDescent="0.25">
      <c r="A1" t="s">
        <v>2067</v>
      </c>
      <c r="B1" s="1" t="s">
        <v>5</v>
      </c>
      <c r="C1" s="1" t="s">
        <v>19</v>
      </c>
      <c r="D1" s="1" t="s">
        <v>61</v>
      </c>
      <c r="E1" s="1" t="s">
        <v>14</v>
      </c>
      <c r="F1" s="1" t="s">
        <v>0</v>
      </c>
      <c r="G1" s="1" t="s">
        <v>270</v>
      </c>
      <c r="H1" s="1" t="s">
        <v>1</v>
      </c>
      <c r="I1" s="1" t="s">
        <v>2</v>
      </c>
      <c r="J1" s="1" t="s">
        <v>269</v>
      </c>
      <c r="K1" s="1" t="s">
        <v>271</v>
      </c>
      <c r="L1" s="1" t="s">
        <v>202</v>
      </c>
      <c r="M1" s="1" t="s">
        <v>1101</v>
      </c>
      <c r="N1" t="s">
        <v>5</v>
      </c>
      <c r="O1" t="s">
        <v>19</v>
      </c>
      <c r="P1" t="s">
        <v>61</v>
      </c>
      <c r="Q1" t="s">
        <v>14</v>
      </c>
      <c r="R1" t="s">
        <v>0</v>
      </c>
      <c r="S1" t="s">
        <v>270</v>
      </c>
      <c r="T1" t="s">
        <v>1</v>
      </c>
      <c r="U1" t="s">
        <v>2</v>
      </c>
      <c r="V1" t="s">
        <v>269</v>
      </c>
      <c r="W1" t="s">
        <v>271</v>
      </c>
      <c r="X1" t="s">
        <v>202</v>
      </c>
      <c r="Y1" t="s">
        <v>1101</v>
      </c>
    </row>
    <row r="2" spans="1:25" x14ac:dyDescent="0.25">
      <c r="B2" s="1" t="s">
        <v>2085</v>
      </c>
      <c r="C2" s="1">
        <v>1</v>
      </c>
      <c r="D2" s="1" t="s">
        <v>1160</v>
      </c>
      <c r="E2" s="1" t="s">
        <v>2058</v>
      </c>
      <c r="F2" s="1" t="s">
        <v>2121</v>
      </c>
      <c r="G2" s="1">
        <v>164</v>
      </c>
      <c r="H2" s="1">
        <v>3460</v>
      </c>
      <c r="I2" s="1">
        <v>637</v>
      </c>
      <c r="J2" s="1"/>
      <c r="K2" s="1"/>
      <c r="L2" s="1"/>
      <c r="M2" s="1">
        <v>2.162504636005814</v>
      </c>
      <c r="N2" s="1" t="s">
        <v>1102</v>
      </c>
      <c r="O2">
        <v>1</v>
      </c>
      <c r="P2" t="s">
        <v>1160</v>
      </c>
      <c r="Q2" s="1" t="s">
        <v>80</v>
      </c>
      <c r="R2" s="1" t="s">
        <v>1161</v>
      </c>
      <c r="S2">
        <v>152</v>
      </c>
      <c r="T2">
        <v>2921</v>
      </c>
      <c r="U2">
        <v>650</v>
      </c>
      <c r="Y2">
        <v>1.8637941130268252</v>
      </c>
    </row>
    <row r="3" spans="1:25" x14ac:dyDescent="0.25">
      <c r="B3" s="1" t="s">
        <v>2086</v>
      </c>
      <c r="C3" s="1">
        <v>2</v>
      </c>
      <c r="D3" s="1" t="s">
        <v>1160</v>
      </c>
      <c r="E3" s="1" t="s">
        <v>2058</v>
      </c>
      <c r="F3" s="1" t="s">
        <v>2121</v>
      </c>
      <c r="G3" s="1">
        <v>164</v>
      </c>
      <c r="H3" s="1">
        <v>3460</v>
      </c>
      <c r="I3" s="1">
        <v>637</v>
      </c>
      <c r="J3" s="1"/>
      <c r="K3" s="1"/>
      <c r="L3" s="1"/>
      <c r="M3" s="1">
        <v>2.162504636005814</v>
      </c>
      <c r="N3" s="1" t="s">
        <v>1103</v>
      </c>
      <c r="O3">
        <v>2</v>
      </c>
      <c r="P3" t="s">
        <v>1162</v>
      </c>
      <c r="Q3" s="1" t="s">
        <v>80</v>
      </c>
      <c r="R3" s="1" t="s">
        <v>1161</v>
      </c>
      <c r="S3">
        <v>152</v>
      </c>
      <c r="T3">
        <v>3487</v>
      </c>
      <c r="U3">
        <v>650</v>
      </c>
      <c r="Y3">
        <v>2.2248849574279994</v>
      </c>
    </row>
    <row r="4" spans="1:25" x14ac:dyDescent="0.25">
      <c r="B4" s="1" t="s">
        <v>2087</v>
      </c>
      <c r="C4" s="1">
        <v>3</v>
      </c>
      <c r="D4" s="1" t="s">
        <v>1160</v>
      </c>
      <c r="E4" s="1" t="s">
        <v>2058</v>
      </c>
      <c r="F4" s="1" t="s">
        <v>2121</v>
      </c>
      <c r="G4" s="1">
        <v>164</v>
      </c>
      <c r="H4" s="1">
        <v>5260</v>
      </c>
      <c r="I4" s="1">
        <v>637</v>
      </c>
      <c r="J4" s="1"/>
      <c r="K4" s="1"/>
      <c r="L4" s="1"/>
      <c r="M4" s="1">
        <v>3.2875173225947214</v>
      </c>
      <c r="N4" s="1" t="s">
        <v>1104</v>
      </c>
      <c r="O4">
        <v>3</v>
      </c>
      <c r="P4" t="s">
        <v>1160</v>
      </c>
      <c r="Q4" s="1" t="s">
        <v>80</v>
      </c>
      <c r="R4" s="1" t="s">
        <v>1161</v>
      </c>
      <c r="S4">
        <v>152</v>
      </c>
      <c r="T4">
        <v>3735</v>
      </c>
      <c r="U4">
        <v>650</v>
      </c>
      <c r="Y4">
        <v>2.3830340708601998</v>
      </c>
    </row>
    <row r="5" spans="1:25" x14ac:dyDescent="0.25">
      <c r="B5" s="1" t="s">
        <v>2088</v>
      </c>
      <c r="C5" s="1">
        <v>4</v>
      </c>
      <c r="D5" s="1" t="s">
        <v>1160</v>
      </c>
      <c r="E5" s="1" t="s">
        <v>2058</v>
      </c>
      <c r="F5" s="1" t="s">
        <v>2121</v>
      </c>
      <c r="G5" s="1">
        <v>164</v>
      </c>
      <c r="H5" s="1">
        <v>5260</v>
      </c>
      <c r="I5" s="1">
        <v>637</v>
      </c>
      <c r="J5" s="1"/>
      <c r="K5" s="1"/>
      <c r="L5" s="1"/>
      <c r="M5" s="1">
        <v>3.2875173225947214</v>
      </c>
      <c r="N5" s="1" t="s">
        <v>1105</v>
      </c>
      <c r="O5">
        <v>4</v>
      </c>
      <c r="P5" t="s">
        <v>1160</v>
      </c>
      <c r="Q5" s="1" t="s">
        <v>80</v>
      </c>
      <c r="R5" s="1" t="s">
        <v>1161</v>
      </c>
      <c r="S5">
        <v>152</v>
      </c>
      <c r="T5">
        <v>3666</v>
      </c>
      <c r="U5">
        <v>650</v>
      </c>
      <c r="Y5">
        <v>2.3389009253576902</v>
      </c>
    </row>
    <row r="6" spans="1:25" x14ac:dyDescent="0.25">
      <c r="B6" s="1" t="s">
        <v>2089</v>
      </c>
      <c r="C6" s="1">
        <v>5</v>
      </c>
      <c r="D6" s="1" t="s">
        <v>1160</v>
      </c>
      <c r="E6" s="1" t="s">
        <v>2058</v>
      </c>
      <c r="F6" s="1" t="s">
        <v>2121</v>
      </c>
      <c r="G6" s="1">
        <v>164</v>
      </c>
      <c r="H6" s="1">
        <v>5285</v>
      </c>
      <c r="I6" s="1">
        <v>637</v>
      </c>
      <c r="J6" s="1"/>
      <c r="K6" s="1"/>
      <c r="L6" s="1"/>
      <c r="M6" s="1">
        <v>3.1349998025838555</v>
      </c>
      <c r="N6" s="1" t="s">
        <v>1106</v>
      </c>
      <c r="O6">
        <v>5</v>
      </c>
      <c r="P6" t="s">
        <v>1160</v>
      </c>
      <c r="Q6" s="1" t="s">
        <v>80</v>
      </c>
      <c r="R6" s="1" t="s">
        <v>1161</v>
      </c>
      <c r="S6">
        <v>152</v>
      </c>
      <c r="T6">
        <v>4165</v>
      </c>
      <c r="U6">
        <v>672</v>
      </c>
      <c r="Y6">
        <v>2.7490263304238205</v>
      </c>
    </row>
    <row r="7" spans="1:25" x14ac:dyDescent="0.25">
      <c r="B7" s="1" t="s">
        <v>2090</v>
      </c>
      <c r="C7" s="1">
        <v>6</v>
      </c>
      <c r="D7" s="1" t="s">
        <v>1160</v>
      </c>
      <c r="E7" s="1" t="s">
        <v>2058</v>
      </c>
      <c r="F7" s="1" t="s">
        <v>2121</v>
      </c>
      <c r="G7" s="1">
        <v>164</v>
      </c>
      <c r="H7" s="1">
        <v>3460</v>
      </c>
      <c r="I7" s="1">
        <v>637</v>
      </c>
      <c r="J7" s="1"/>
      <c r="K7" s="1"/>
      <c r="L7" s="1"/>
      <c r="M7" s="1">
        <v>2.1625046360526894</v>
      </c>
      <c r="N7" s="1" t="s">
        <v>1107</v>
      </c>
      <c r="O7">
        <v>6</v>
      </c>
      <c r="P7" t="s">
        <v>1160</v>
      </c>
      <c r="Q7" s="1" t="s">
        <v>80</v>
      </c>
      <c r="R7" s="1" t="s">
        <v>1161</v>
      </c>
      <c r="S7">
        <v>152</v>
      </c>
      <c r="T7">
        <v>3666</v>
      </c>
      <c r="U7">
        <v>672</v>
      </c>
      <c r="Y7">
        <v>2.4195501328326898</v>
      </c>
    </row>
    <row r="8" spans="1:25" x14ac:dyDescent="0.25">
      <c r="B8" s="1" t="s">
        <v>2091</v>
      </c>
      <c r="C8" s="1">
        <v>7</v>
      </c>
      <c r="D8" s="1" t="s">
        <v>1160</v>
      </c>
      <c r="E8" s="1" t="s">
        <v>2058</v>
      </c>
      <c r="F8" s="1" t="s">
        <v>2121</v>
      </c>
      <c r="G8" s="1">
        <v>164</v>
      </c>
      <c r="H8" s="1">
        <v>3460</v>
      </c>
      <c r="I8" s="1">
        <v>637</v>
      </c>
      <c r="J8" s="1"/>
      <c r="K8" s="1"/>
      <c r="L8" s="1"/>
      <c r="M8" s="1">
        <v>2.1625046360526894</v>
      </c>
      <c r="N8" s="1" t="s">
        <v>1108</v>
      </c>
      <c r="O8">
        <v>7</v>
      </c>
      <c r="P8" t="s">
        <v>1160</v>
      </c>
      <c r="Q8" s="1" t="s">
        <v>80</v>
      </c>
      <c r="R8" s="1" t="s">
        <v>1161</v>
      </c>
      <c r="S8">
        <v>152</v>
      </c>
      <c r="T8">
        <v>4109</v>
      </c>
      <c r="U8">
        <v>672</v>
      </c>
      <c r="Y8">
        <v>2.7118348383337425</v>
      </c>
    </row>
    <row r="9" spans="1:25" x14ac:dyDescent="0.25">
      <c r="B9" s="1" t="s">
        <v>2092</v>
      </c>
      <c r="C9" s="1">
        <v>8</v>
      </c>
      <c r="D9" s="1" t="s">
        <v>1160</v>
      </c>
      <c r="E9" s="1" t="s">
        <v>2058</v>
      </c>
      <c r="F9" s="1" t="s">
        <v>2121</v>
      </c>
      <c r="G9" s="1">
        <v>164</v>
      </c>
      <c r="H9" s="1">
        <v>2228</v>
      </c>
      <c r="I9" s="1">
        <v>637</v>
      </c>
      <c r="J9" s="1"/>
      <c r="K9" s="1"/>
      <c r="L9" s="1"/>
      <c r="M9" s="1">
        <v>1.3922656368084634</v>
      </c>
      <c r="N9" s="1" t="s">
        <v>1109</v>
      </c>
      <c r="O9">
        <v>8</v>
      </c>
      <c r="P9" t="s">
        <v>1160</v>
      </c>
      <c r="Q9" s="1" t="s">
        <v>80</v>
      </c>
      <c r="R9" s="1" t="s">
        <v>1161</v>
      </c>
      <c r="S9">
        <v>152</v>
      </c>
      <c r="T9">
        <v>3735</v>
      </c>
      <c r="U9">
        <v>650</v>
      </c>
      <c r="Y9">
        <v>2.3831839730040416</v>
      </c>
    </row>
    <row r="10" spans="1:25" x14ac:dyDescent="0.25">
      <c r="B10" s="1" t="s">
        <v>2093</v>
      </c>
      <c r="C10" s="1">
        <v>9</v>
      </c>
      <c r="D10" s="1" t="s">
        <v>1160</v>
      </c>
      <c r="E10" s="1" t="s">
        <v>2058</v>
      </c>
      <c r="F10" s="1" t="s">
        <v>2121</v>
      </c>
      <c r="G10" s="1">
        <v>164</v>
      </c>
      <c r="H10" s="1">
        <v>2814</v>
      </c>
      <c r="I10" s="1">
        <v>637</v>
      </c>
      <c r="J10" s="1"/>
      <c r="K10" s="1"/>
      <c r="L10" s="1"/>
      <c r="M10" s="1">
        <v>1.7588355224948042</v>
      </c>
      <c r="N10" s="1" t="s">
        <v>1110</v>
      </c>
      <c r="O10">
        <v>9</v>
      </c>
      <c r="P10" t="s">
        <v>1160</v>
      </c>
      <c r="Q10" s="1" t="s">
        <v>80</v>
      </c>
      <c r="R10" s="1" t="s">
        <v>1161</v>
      </c>
      <c r="S10">
        <v>152</v>
      </c>
      <c r="T10">
        <v>4113</v>
      </c>
      <c r="U10">
        <v>650</v>
      </c>
      <c r="Y10">
        <v>2.6239783744312226</v>
      </c>
    </row>
    <row r="11" spans="1:25" x14ac:dyDescent="0.25">
      <c r="B11" s="1" t="s">
        <v>2094</v>
      </c>
      <c r="C11" s="1">
        <v>10</v>
      </c>
      <c r="D11" s="1" t="s">
        <v>1160</v>
      </c>
      <c r="E11" s="1" t="s">
        <v>2058</v>
      </c>
      <c r="F11" s="1" t="s">
        <v>2121</v>
      </c>
      <c r="G11" s="1">
        <v>164</v>
      </c>
      <c r="H11" s="1">
        <v>5292</v>
      </c>
      <c r="I11" s="1">
        <v>637</v>
      </c>
      <c r="J11" s="1"/>
      <c r="K11" s="1"/>
      <c r="L11" s="1"/>
      <c r="M11" s="1">
        <v>3.1397049156941668</v>
      </c>
      <c r="N11" s="1" t="s">
        <v>1111</v>
      </c>
      <c r="O11">
        <v>10</v>
      </c>
      <c r="P11" t="s">
        <v>1160</v>
      </c>
      <c r="Q11" s="1" t="s">
        <v>80</v>
      </c>
      <c r="R11" s="1" t="s">
        <v>1161</v>
      </c>
      <c r="S11">
        <v>152</v>
      </c>
      <c r="T11">
        <v>3736</v>
      </c>
      <c r="U11">
        <v>650</v>
      </c>
      <c r="Y11">
        <v>2.3835593598760885</v>
      </c>
    </row>
    <row r="12" spans="1:25" x14ac:dyDescent="0.25">
      <c r="B12" s="1" t="s">
        <v>2095</v>
      </c>
      <c r="C12" s="1">
        <v>11</v>
      </c>
      <c r="D12" s="1" t="s">
        <v>1160</v>
      </c>
      <c r="E12" s="1" t="s">
        <v>2058</v>
      </c>
      <c r="F12" s="1" t="s">
        <v>2121</v>
      </c>
      <c r="G12" s="1">
        <v>164</v>
      </c>
      <c r="H12" s="1">
        <v>5280</v>
      </c>
      <c r="I12" s="1">
        <v>637</v>
      </c>
      <c r="J12" s="1"/>
      <c r="K12" s="1"/>
      <c r="L12" s="1"/>
      <c r="M12" s="1">
        <v>3.2159420761913431</v>
      </c>
      <c r="N12" s="1" t="s">
        <v>1112</v>
      </c>
      <c r="O12">
        <v>11</v>
      </c>
      <c r="P12" t="s">
        <v>1160</v>
      </c>
      <c r="Q12" s="1" t="s">
        <v>80</v>
      </c>
      <c r="R12" s="1" t="s">
        <v>1161</v>
      </c>
      <c r="S12">
        <v>152</v>
      </c>
      <c r="T12">
        <v>4113</v>
      </c>
      <c r="U12">
        <v>650</v>
      </c>
      <c r="Y12">
        <v>2.6240674889478086</v>
      </c>
    </row>
    <row r="13" spans="1:25" x14ac:dyDescent="0.25">
      <c r="B13" s="1" t="s">
        <v>2096</v>
      </c>
      <c r="C13" s="1">
        <v>12</v>
      </c>
      <c r="D13" s="1" t="s">
        <v>1160</v>
      </c>
      <c r="E13" s="1" t="s">
        <v>2058</v>
      </c>
      <c r="F13" s="1" t="s">
        <v>2121</v>
      </c>
      <c r="G13" s="1">
        <v>164</v>
      </c>
      <c r="H13" s="1">
        <v>5260</v>
      </c>
      <c r="I13" s="1">
        <v>637</v>
      </c>
      <c r="J13" s="1"/>
      <c r="K13" s="1"/>
      <c r="L13" s="1"/>
      <c r="M13" s="1">
        <v>3.2875173225947214</v>
      </c>
      <c r="N13" s="1" t="s">
        <v>1113</v>
      </c>
      <c r="O13">
        <v>12</v>
      </c>
      <c r="P13" t="s">
        <v>1160</v>
      </c>
      <c r="Q13" s="1" t="s">
        <v>80</v>
      </c>
      <c r="R13" s="1" t="s">
        <v>1161</v>
      </c>
      <c r="S13">
        <v>152</v>
      </c>
      <c r="T13">
        <v>3736</v>
      </c>
      <c r="U13">
        <v>650</v>
      </c>
      <c r="Y13">
        <v>2.3835593598760885</v>
      </c>
    </row>
    <row r="14" spans="1:25" x14ac:dyDescent="0.25">
      <c r="B14" s="1" t="s">
        <v>2097</v>
      </c>
      <c r="C14" s="1">
        <v>13</v>
      </c>
      <c r="D14" s="1" t="s">
        <v>1160</v>
      </c>
      <c r="E14" s="1" t="s">
        <v>2058</v>
      </c>
      <c r="F14" s="1" t="s">
        <v>2121</v>
      </c>
      <c r="G14" s="1">
        <v>164</v>
      </c>
      <c r="H14" s="1">
        <v>1811</v>
      </c>
      <c r="I14" s="1">
        <v>637</v>
      </c>
      <c r="J14" s="1"/>
      <c r="K14" s="1"/>
      <c r="L14" s="1"/>
      <c r="M14" s="1">
        <v>1.131876038078806</v>
      </c>
      <c r="N14" s="1" t="s">
        <v>1114</v>
      </c>
      <c r="O14">
        <v>13</v>
      </c>
      <c r="P14" t="s">
        <v>1160</v>
      </c>
      <c r="Q14" s="1" t="s">
        <v>80</v>
      </c>
      <c r="R14" s="1" t="s">
        <v>1161</v>
      </c>
      <c r="S14">
        <v>152</v>
      </c>
      <c r="T14">
        <v>4105</v>
      </c>
      <c r="U14">
        <v>650</v>
      </c>
      <c r="Y14">
        <v>2.6189935694599535</v>
      </c>
    </row>
    <row r="15" spans="1:25" x14ac:dyDescent="0.25">
      <c r="B15" s="1" t="s">
        <v>2098</v>
      </c>
      <c r="C15" s="1">
        <v>14</v>
      </c>
      <c r="D15" s="1" t="s">
        <v>1160</v>
      </c>
      <c r="E15" s="1" t="s">
        <v>2058</v>
      </c>
      <c r="F15" s="1" t="s">
        <v>2121</v>
      </c>
      <c r="G15" s="1">
        <v>164</v>
      </c>
      <c r="H15" s="1">
        <v>1631</v>
      </c>
      <c r="I15" s="1">
        <v>637</v>
      </c>
      <c r="J15" s="1"/>
      <c r="K15" s="1"/>
      <c r="L15" s="1"/>
      <c r="M15" s="1">
        <v>1.0193748640112188</v>
      </c>
      <c r="N15" s="1" t="s">
        <v>1115</v>
      </c>
      <c r="O15">
        <v>14</v>
      </c>
      <c r="P15" t="s">
        <v>1162</v>
      </c>
      <c r="Q15" s="1" t="s">
        <v>80</v>
      </c>
      <c r="R15" s="1" t="s">
        <v>1161</v>
      </c>
      <c r="S15">
        <v>152</v>
      </c>
      <c r="T15">
        <v>1446</v>
      </c>
      <c r="U15">
        <v>650</v>
      </c>
      <c r="Y15">
        <v>0.92228698497267492</v>
      </c>
    </row>
    <row r="16" spans="1:25" x14ac:dyDescent="0.25">
      <c r="B16" s="1" t="s">
        <v>2099</v>
      </c>
      <c r="C16" s="1">
        <v>15</v>
      </c>
      <c r="D16" s="1" t="s">
        <v>1160</v>
      </c>
      <c r="E16" s="1" t="s">
        <v>2058</v>
      </c>
      <c r="F16" s="1" t="s">
        <v>2121</v>
      </c>
      <c r="G16" s="1">
        <v>164</v>
      </c>
      <c r="H16" s="1">
        <v>5285</v>
      </c>
      <c r="I16" s="1">
        <v>637</v>
      </c>
      <c r="J16" s="1"/>
      <c r="K16" s="1"/>
      <c r="L16" s="1"/>
      <c r="M16" s="1">
        <v>3.1349998025838555</v>
      </c>
      <c r="N16" s="1" t="s">
        <v>1116</v>
      </c>
      <c r="O16">
        <v>15</v>
      </c>
      <c r="P16" t="s">
        <v>1162</v>
      </c>
      <c r="Q16" s="1" t="s">
        <v>80</v>
      </c>
      <c r="R16" s="1" t="s">
        <v>1161</v>
      </c>
      <c r="S16">
        <v>152</v>
      </c>
      <c r="T16">
        <v>1446</v>
      </c>
      <c r="U16">
        <v>650</v>
      </c>
      <c r="Y16">
        <v>0.92228698520554409</v>
      </c>
    </row>
    <row r="17" spans="2:25" x14ac:dyDescent="0.25">
      <c r="B17" s="1" t="s">
        <v>2100</v>
      </c>
      <c r="C17">
        <v>16</v>
      </c>
      <c r="D17" t="s">
        <v>1160</v>
      </c>
      <c r="E17" s="1" t="s">
        <v>2058</v>
      </c>
      <c r="F17" s="1" t="s">
        <v>2121</v>
      </c>
      <c r="G17">
        <v>164</v>
      </c>
      <c r="H17">
        <v>1811</v>
      </c>
      <c r="I17">
        <v>637</v>
      </c>
      <c r="M17">
        <v>1.1318737117602773</v>
      </c>
      <c r="N17" s="1" t="s">
        <v>1117</v>
      </c>
      <c r="O17">
        <v>16</v>
      </c>
      <c r="P17" t="s">
        <v>1160</v>
      </c>
      <c r="Q17" s="1" t="s">
        <v>80</v>
      </c>
      <c r="R17" s="1" t="s">
        <v>1161</v>
      </c>
      <c r="S17">
        <v>152</v>
      </c>
      <c r="T17">
        <v>1456</v>
      </c>
      <c r="U17">
        <v>672</v>
      </c>
      <c r="Y17">
        <v>0.96104967032897382</v>
      </c>
    </row>
    <row r="18" spans="2:25" x14ac:dyDescent="0.25">
      <c r="B18" s="1" t="s">
        <v>2101</v>
      </c>
      <c r="C18">
        <v>17</v>
      </c>
      <c r="D18" t="s">
        <v>1160</v>
      </c>
      <c r="E18" s="1" t="s">
        <v>2058</v>
      </c>
      <c r="F18" s="1" t="s">
        <v>2121</v>
      </c>
      <c r="G18">
        <v>164</v>
      </c>
      <c r="H18">
        <v>1631</v>
      </c>
      <c r="I18">
        <v>637</v>
      </c>
      <c r="M18">
        <v>1.0193748636612188</v>
      </c>
      <c r="N18" s="1" t="s">
        <v>1118</v>
      </c>
      <c r="O18">
        <v>17</v>
      </c>
      <c r="P18" t="s">
        <v>1162</v>
      </c>
      <c r="Q18" s="1" t="s">
        <v>80</v>
      </c>
      <c r="R18" s="1" t="s">
        <v>1161</v>
      </c>
      <c r="S18">
        <v>152</v>
      </c>
      <c r="T18">
        <v>2975</v>
      </c>
      <c r="U18">
        <v>650</v>
      </c>
      <c r="Y18">
        <v>1.8980451059024761</v>
      </c>
    </row>
    <row r="19" spans="2:25" x14ac:dyDescent="0.25">
      <c r="B19" s="1" t="s">
        <v>2102</v>
      </c>
      <c r="C19">
        <v>18</v>
      </c>
      <c r="D19" t="s">
        <v>1160</v>
      </c>
      <c r="E19" s="1" t="s">
        <v>2058</v>
      </c>
      <c r="F19" s="1" t="s">
        <v>2121</v>
      </c>
      <c r="G19">
        <v>164</v>
      </c>
      <c r="H19">
        <v>2228</v>
      </c>
      <c r="I19">
        <v>637</v>
      </c>
      <c r="M19">
        <v>1.3922656368084634</v>
      </c>
      <c r="N19" s="1" t="s">
        <v>1119</v>
      </c>
      <c r="O19">
        <v>18</v>
      </c>
      <c r="P19" t="s">
        <v>1160</v>
      </c>
      <c r="Q19" s="1" t="s">
        <v>80</v>
      </c>
      <c r="R19" s="1" t="s">
        <v>1161</v>
      </c>
      <c r="S19">
        <v>152</v>
      </c>
      <c r="T19">
        <v>4165</v>
      </c>
      <c r="U19">
        <v>650</v>
      </c>
      <c r="Y19">
        <v>2.6573607312059897</v>
      </c>
    </row>
    <row r="20" spans="2:25" x14ac:dyDescent="0.25">
      <c r="B20" s="1" t="s">
        <v>2103</v>
      </c>
      <c r="C20">
        <v>19</v>
      </c>
      <c r="D20" t="s">
        <v>1160</v>
      </c>
      <c r="E20" s="1" t="s">
        <v>2058</v>
      </c>
      <c r="F20" s="1" t="s">
        <v>2121</v>
      </c>
      <c r="G20">
        <v>164</v>
      </c>
      <c r="H20">
        <v>5260</v>
      </c>
      <c r="I20">
        <v>637</v>
      </c>
      <c r="M20">
        <v>3.2874996922776498</v>
      </c>
      <c r="N20" s="1" t="s">
        <v>1120</v>
      </c>
      <c r="O20">
        <v>19</v>
      </c>
      <c r="P20" t="s">
        <v>1160</v>
      </c>
      <c r="Q20" s="1" t="s">
        <v>81</v>
      </c>
      <c r="R20" s="1" t="s">
        <v>1163</v>
      </c>
      <c r="S20">
        <v>152</v>
      </c>
      <c r="T20">
        <v>3560</v>
      </c>
      <c r="U20">
        <v>650</v>
      </c>
      <c r="Y20">
        <v>2.2712754864319971</v>
      </c>
    </row>
    <row r="21" spans="2:25" x14ac:dyDescent="0.25">
      <c r="B21" s="1" t="s">
        <v>2104</v>
      </c>
      <c r="C21">
        <v>20</v>
      </c>
      <c r="D21" t="s">
        <v>1160</v>
      </c>
      <c r="E21" s="1" t="s">
        <v>2058</v>
      </c>
      <c r="F21" s="1" t="s">
        <v>2121</v>
      </c>
      <c r="G21">
        <v>164</v>
      </c>
      <c r="H21">
        <v>5280</v>
      </c>
      <c r="I21">
        <v>637</v>
      </c>
      <c r="M21">
        <v>3.2159372364699292</v>
      </c>
      <c r="N21" s="1" t="s">
        <v>1121</v>
      </c>
      <c r="O21">
        <v>20</v>
      </c>
      <c r="P21" t="s">
        <v>1160</v>
      </c>
      <c r="Q21" s="1" t="s">
        <v>81</v>
      </c>
      <c r="R21" s="1" t="s">
        <v>1163</v>
      </c>
      <c r="S21">
        <v>152</v>
      </c>
      <c r="T21">
        <v>3560</v>
      </c>
      <c r="U21">
        <v>650</v>
      </c>
      <c r="Y21">
        <v>2.2712754800520205</v>
      </c>
    </row>
    <row r="22" spans="2:25" x14ac:dyDescent="0.25">
      <c r="B22" s="1" t="s">
        <v>2105</v>
      </c>
      <c r="C22">
        <v>21</v>
      </c>
      <c r="D22" t="s">
        <v>1160</v>
      </c>
      <c r="E22" s="1" t="s">
        <v>2058</v>
      </c>
      <c r="F22" s="1" t="s">
        <v>2121</v>
      </c>
      <c r="G22">
        <v>164</v>
      </c>
      <c r="H22">
        <v>5272</v>
      </c>
      <c r="I22">
        <v>637</v>
      </c>
      <c r="M22">
        <v>3.2112496963848201</v>
      </c>
      <c r="N22" s="1" t="s">
        <v>1122</v>
      </c>
      <c r="O22">
        <v>21</v>
      </c>
      <c r="P22" t="s">
        <v>1160</v>
      </c>
      <c r="Q22" s="1" t="s">
        <v>81</v>
      </c>
      <c r="R22" s="1" t="s">
        <v>1163</v>
      </c>
      <c r="S22">
        <v>152</v>
      </c>
      <c r="T22">
        <v>3560</v>
      </c>
      <c r="U22">
        <v>650</v>
      </c>
      <c r="Y22">
        <v>2.2712754864319971</v>
      </c>
    </row>
    <row r="23" spans="2:25" x14ac:dyDescent="0.25">
      <c r="B23" s="1" t="s">
        <v>2106</v>
      </c>
      <c r="C23">
        <v>22</v>
      </c>
      <c r="D23" t="s">
        <v>1160</v>
      </c>
      <c r="E23" s="1" t="s">
        <v>2058</v>
      </c>
      <c r="F23" s="1" t="s">
        <v>2121</v>
      </c>
      <c r="G23">
        <v>164</v>
      </c>
      <c r="H23">
        <v>3320</v>
      </c>
      <c r="I23">
        <v>637</v>
      </c>
      <c r="M23">
        <v>2.0750686407394983</v>
      </c>
      <c r="N23" s="1" t="s">
        <v>1123</v>
      </c>
      <c r="O23">
        <v>22</v>
      </c>
      <c r="P23" t="s">
        <v>1160</v>
      </c>
      <c r="Q23" s="1" t="s">
        <v>81</v>
      </c>
      <c r="R23" s="1" t="s">
        <v>1163</v>
      </c>
      <c r="S23">
        <v>152</v>
      </c>
      <c r="T23">
        <v>3560</v>
      </c>
      <c r="U23">
        <v>650</v>
      </c>
      <c r="Y23">
        <v>2.2712754800520205</v>
      </c>
    </row>
    <row r="24" spans="2:25" x14ac:dyDescent="0.25">
      <c r="B24" s="1" t="s">
        <v>2107</v>
      </c>
      <c r="C24">
        <v>23</v>
      </c>
      <c r="D24" t="s">
        <v>1160</v>
      </c>
      <c r="E24" s="1" t="s">
        <v>2058</v>
      </c>
      <c r="F24" s="1" t="s">
        <v>2121</v>
      </c>
      <c r="G24">
        <v>164</v>
      </c>
      <c r="H24">
        <v>5280</v>
      </c>
      <c r="I24">
        <v>637</v>
      </c>
      <c r="M24">
        <v>3.2159380200386036</v>
      </c>
      <c r="N24" s="1" t="s">
        <v>1124</v>
      </c>
      <c r="O24">
        <v>23</v>
      </c>
      <c r="P24" t="s">
        <v>1162</v>
      </c>
      <c r="Q24" s="1" t="s">
        <v>81</v>
      </c>
      <c r="R24" s="1" t="s">
        <v>1163</v>
      </c>
      <c r="S24">
        <v>152</v>
      </c>
      <c r="T24">
        <v>976</v>
      </c>
      <c r="U24">
        <v>650</v>
      </c>
      <c r="Y24">
        <v>0.62238959433412966</v>
      </c>
    </row>
    <row r="25" spans="2:25" x14ac:dyDescent="0.25">
      <c r="B25" s="1" t="s">
        <v>2108</v>
      </c>
      <c r="C25">
        <v>24</v>
      </c>
      <c r="D25" t="s">
        <v>1160</v>
      </c>
      <c r="E25" s="1" t="s">
        <v>2058</v>
      </c>
      <c r="F25" s="1" t="s">
        <v>2121</v>
      </c>
      <c r="G25">
        <v>164</v>
      </c>
      <c r="H25">
        <v>5260</v>
      </c>
      <c r="I25">
        <v>637</v>
      </c>
      <c r="M25">
        <v>3.2875057137020764</v>
      </c>
      <c r="N25" s="1" t="s">
        <v>1125</v>
      </c>
      <c r="O25">
        <v>24</v>
      </c>
      <c r="P25" t="s">
        <v>1160</v>
      </c>
      <c r="Q25" s="1" t="s">
        <v>81</v>
      </c>
      <c r="R25" s="1" t="s">
        <v>1163</v>
      </c>
      <c r="S25">
        <v>152</v>
      </c>
      <c r="T25">
        <v>2019</v>
      </c>
      <c r="U25">
        <v>672</v>
      </c>
      <c r="Y25">
        <v>1.3325354781122114</v>
      </c>
    </row>
    <row r="26" spans="2:25" x14ac:dyDescent="0.25">
      <c r="B26" s="1" t="s">
        <v>2109</v>
      </c>
      <c r="C26">
        <v>25</v>
      </c>
      <c r="D26" t="s">
        <v>1160</v>
      </c>
      <c r="E26" s="1" t="s">
        <v>2058</v>
      </c>
      <c r="F26" s="1" t="s">
        <v>2121</v>
      </c>
      <c r="G26">
        <v>164</v>
      </c>
      <c r="H26">
        <v>2691</v>
      </c>
      <c r="I26">
        <v>637</v>
      </c>
      <c r="M26">
        <v>1.6819705306823829</v>
      </c>
      <c r="N26" s="1" t="s">
        <v>1126</v>
      </c>
      <c r="O26">
        <v>25</v>
      </c>
      <c r="P26" t="s">
        <v>1162</v>
      </c>
      <c r="Q26" s="1" t="s">
        <v>81</v>
      </c>
      <c r="R26" s="1" t="s">
        <v>1163</v>
      </c>
      <c r="S26">
        <v>152</v>
      </c>
      <c r="T26">
        <v>738</v>
      </c>
      <c r="U26">
        <v>650</v>
      </c>
      <c r="Y26">
        <v>0.47063183741781983</v>
      </c>
    </row>
    <row r="27" spans="2:25" x14ac:dyDescent="0.25">
      <c r="B27" s="1" t="s">
        <v>2110</v>
      </c>
      <c r="C27">
        <v>26</v>
      </c>
      <c r="D27" t="s">
        <v>1160</v>
      </c>
      <c r="E27" s="1" t="s">
        <v>2058</v>
      </c>
      <c r="F27" s="1" t="s">
        <v>2121</v>
      </c>
      <c r="G27">
        <v>164</v>
      </c>
      <c r="H27">
        <v>2275</v>
      </c>
      <c r="I27">
        <v>637</v>
      </c>
      <c r="M27">
        <v>1.4219089256371333</v>
      </c>
      <c r="N27" s="1" t="s">
        <v>1127</v>
      </c>
      <c r="O27">
        <v>26</v>
      </c>
      <c r="P27" t="s">
        <v>1160</v>
      </c>
      <c r="Q27" s="1" t="s">
        <v>81</v>
      </c>
      <c r="R27" s="1" t="s">
        <v>1163</v>
      </c>
      <c r="S27">
        <v>152</v>
      </c>
      <c r="T27">
        <v>2019</v>
      </c>
      <c r="U27">
        <v>672</v>
      </c>
      <c r="Y27">
        <v>1.3325310118527001</v>
      </c>
    </row>
    <row r="28" spans="2:25" x14ac:dyDescent="0.25">
      <c r="B28" s="1" t="s">
        <v>2111</v>
      </c>
      <c r="C28">
        <v>27</v>
      </c>
      <c r="D28" t="s">
        <v>1160</v>
      </c>
      <c r="E28" s="1" t="s">
        <v>2058</v>
      </c>
      <c r="F28" s="1" t="s">
        <v>2121</v>
      </c>
      <c r="G28">
        <v>164</v>
      </c>
      <c r="H28">
        <v>2586</v>
      </c>
      <c r="I28">
        <v>637</v>
      </c>
      <c r="M28">
        <v>1.6162143047251727</v>
      </c>
      <c r="N28" s="1" t="s">
        <v>1128</v>
      </c>
      <c r="O28">
        <v>27</v>
      </c>
      <c r="P28" t="s">
        <v>1160</v>
      </c>
      <c r="Q28" s="1" t="s">
        <v>81</v>
      </c>
      <c r="R28" s="1" t="s">
        <v>1163</v>
      </c>
      <c r="S28">
        <v>152</v>
      </c>
      <c r="T28">
        <v>3305</v>
      </c>
      <c r="U28">
        <v>672</v>
      </c>
      <c r="Y28">
        <v>2.1812779292937545</v>
      </c>
    </row>
    <row r="29" spans="2:25" x14ac:dyDescent="0.25">
      <c r="B29" s="1" t="s">
        <v>2112</v>
      </c>
      <c r="C29">
        <v>28</v>
      </c>
      <c r="D29" t="s">
        <v>1160</v>
      </c>
      <c r="E29" s="1" t="s">
        <v>2058</v>
      </c>
      <c r="F29" s="1" t="s">
        <v>2121</v>
      </c>
      <c r="G29">
        <v>164</v>
      </c>
      <c r="H29">
        <v>4280</v>
      </c>
      <c r="I29">
        <v>508</v>
      </c>
      <c r="M29">
        <v>1.995494623777428</v>
      </c>
      <c r="N29" s="1" t="s">
        <v>1129</v>
      </c>
      <c r="O29">
        <v>28</v>
      </c>
      <c r="P29" t="s">
        <v>1160</v>
      </c>
      <c r="Q29" s="1" t="s">
        <v>81</v>
      </c>
      <c r="R29" s="1" t="s">
        <v>1163</v>
      </c>
      <c r="S29">
        <v>152</v>
      </c>
      <c r="T29">
        <v>3305</v>
      </c>
      <c r="U29">
        <v>672</v>
      </c>
      <c r="Y29">
        <v>2.1813724755449853</v>
      </c>
    </row>
    <row r="30" spans="2:25" x14ac:dyDescent="0.25">
      <c r="B30" s="1" t="s">
        <v>2113</v>
      </c>
      <c r="C30">
        <v>29</v>
      </c>
      <c r="D30" t="s">
        <v>1160</v>
      </c>
      <c r="E30" s="1" t="s">
        <v>2058</v>
      </c>
      <c r="F30" s="1" t="s">
        <v>2121</v>
      </c>
      <c r="G30">
        <v>164</v>
      </c>
      <c r="H30">
        <v>2687</v>
      </c>
      <c r="I30">
        <v>637</v>
      </c>
      <c r="M30">
        <v>1.6794705309203228</v>
      </c>
      <c r="N30" s="1" t="s">
        <v>1130</v>
      </c>
      <c r="O30">
        <v>29</v>
      </c>
      <c r="P30" t="s">
        <v>1160</v>
      </c>
      <c r="Q30" s="1" t="s">
        <v>81</v>
      </c>
      <c r="R30" s="1" t="s">
        <v>1163</v>
      </c>
      <c r="S30">
        <v>152</v>
      </c>
      <c r="T30">
        <v>3113</v>
      </c>
      <c r="U30">
        <v>672</v>
      </c>
      <c r="Y30">
        <v>2.0545102943016422</v>
      </c>
    </row>
    <row r="31" spans="2:25" x14ac:dyDescent="0.25">
      <c r="B31" s="1" t="s">
        <v>2114</v>
      </c>
      <c r="C31">
        <v>30</v>
      </c>
      <c r="D31" t="s">
        <v>1162</v>
      </c>
      <c r="E31" s="1" t="s">
        <v>2058</v>
      </c>
      <c r="F31" s="1" t="s">
        <v>2121</v>
      </c>
      <c r="G31">
        <v>164</v>
      </c>
      <c r="H31">
        <v>4628</v>
      </c>
      <c r="I31">
        <v>637</v>
      </c>
      <c r="M31">
        <v>2.8922056294376608</v>
      </c>
      <c r="N31" s="1" t="s">
        <v>1131</v>
      </c>
      <c r="O31">
        <v>30</v>
      </c>
      <c r="P31" t="s">
        <v>1160</v>
      </c>
      <c r="Q31" s="1" t="s">
        <v>81</v>
      </c>
      <c r="R31" s="1" t="s">
        <v>1163</v>
      </c>
      <c r="S31">
        <v>152</v>
      </c>
      <c r="T31">
        <v>3184</v>
      </c>
      <c r="U31">
        <v>672</v>
      </c>
      <c r="Y31">
        <v>2.1014389530447604</v>
      </c>
    </row>
    <row r="32" spans="2:25" x14ac:dyDescent="0.25">
      <c r="B32" s="1" t="s">
        <v>2115</v>
      </c>
      <c r="C32">
        <v>31</v>
      </c>
      <c r="D32" t="s">
        <v>1162</v>
      </c>
      <c r="E32" s="1" t="s">
        <v>2058</v>
      </c>
      <c r="F32" s="1" t="s">
        <v>2121</v>
      </c>
      <c r="G32">
        <v>165</v>
      </c>
      <c r="H32">
        <v>4554</v>
      </c>
      <c r="I32">
        <v>637</v>
      </c>
      <c r="M32">
        <v>2.8463851390299224</v>
      </c>
      <c r="N32" s="1" t="s">
        <v>1132</v>
      </c>
      <c r="O32">
        <v>31</v>
      </c>
      <c r="P32" t="s">
        <v>1160</v>
      </c>
      <c r="Q32" s="1" t="s">
        <v>81</v>
      </c>
      <c r="R32" s="1" t="s">
        <v>1163</v>
      </c>
      <c r="S32">
        <v>152</v>
      </c>
      <c r="T32">
        <v>1537</v>
      </c>
      <c r="U32">
        <v>672</v>
      </c>
      <c r="Y32">
        <v>1.014415863110705</v>
      </c>
    </row>
    <row r="33" spans="2:25" x14ac:dyDescent="0.25">
      <c r="B33" s="1" t="s">
        <v>2116</v>
      </c>
      <c r="C33">
        <v>32</v>
      </c>
      <c r="D33" t="s">
        <v>1162</v>
      </c>
      <c r="E33" s="1" t="s">
        <v>2058</v>
      </c>
      <c r="F33" s="1" t="s">
        <v>2121</v>
      </c>
      <c r="G33">
        <v>164</v>
      </c>
      <c r="H33">
        <v>2333</v>
      </c>
      <c r="I33">
        <v>637</v>
      </c>
      <c r="M33">
        <v>1.4581053767377246</v>
      </c>
      <c r="N33" s="1" t="s">
        <v>1133</v>
      </c>
      <c r="O33">
        <v>32</v>
      </c>
      <c r="P33" t="s">
        <v>1160</v>
      </c>
      <c r="Q33" s="1" t="s">
        <v>81</v>
      </c>
      <c r="R33" s="1" t="s">
        <v>1163</v>
      </c>
      <c r="S33">
        <v>152</v>
      </c>
      <c r="T33">
        <v>1537</v>
      </c>
      <c r="U33">
        <v>672</v>
      </c>
      <c r="Y33">
        <v>1.014415863110705</v>
      </c>
    </row>
    <row r="34" spans="2:25" x14ac:dyDescent="0.25">
      <c r="B34" s="1" t="s">
        <v>2117</v>
      </c>
      <c r="C34">
        <v>33</v>
      </c>
      <c r="D34" t="s">
        <v>1162</v>
      </c>
      <c r="E34" s="1" t="s">
        <v>2058</v>
      </c>
      <c r="F34" s="1" t="s">
        <v>2121</v>
      </c>
      <c r="G34">
        <v>164</v>
      </c>
      <c r="H34">
        <v>5144</v>
      </c>
      <c r="I34">
        <v>508</v>
      </c>
      <c r="M34">
        <v>2.551499184712601</v>
      </c>
      <c r="N34" s="1" t="s">
        <v>1134</v>
      </c>
      <c r="O34">
        <v>33</v>
      </c>
      <c r="P34" t="s">
        <v>1160</v>
      </c>
      <c r="Q34" s="1" t="s">
        <v>82</v>
      </c>
      <c r="R34" s="1" t="s">
        <v>1164</v>
      </c>
      <c r="S34">
        <v>152</v>
      </c>
      <c r="T34">
        <v>4160</v>
      </c>
      <c r="U34">
        <v>650</v>
      </c>
      <c r="Y34">
        <v>2.6543365946926607</v>
      </c>
    </row>
    <row r="35" spans="2:25" x14ac:dyDescent="0.25">
      <c r="B35" s="1" t="s">
        <v>2118</v>
      </c>
      <c r="C35">
        <v>34</v>
      </c>
      <c r="D35" t="s">
        <v>1162</v>
      </c>
      <c r="E35" s="1" t="s">
        <v>2058</v>
      </c>
      <c r="F35" s="1" t="s">
        <v>2121</v>
      </c>
      <c r="G35">
        <v>152</v>
      </c>
      <c r="H35">
        <v>3675</v>
      </c>
      <c r="I35">
        <v>517</v>
      </c>
      <c r="M35">
        <v>1.8998415261004973</v>
      </c>
      <c r="N35" s="1" t="s">
        <v>1135</v>
      </c>
      <c r="O35">
        <v>34</v>
      </c>
      <c r="P35" t="s">
        <v>1160</v>
      </c>
      <c r="Q35" s="1" t="s">
        <v>82</v>
      </c>
      <c r="R35" s="1" t="s">
        <v>1164</v>
      </c>
      <c r="S35">
        <v>152</v>
      </c>
      <c r="T35">
        <v>4160</v>
      </c>
      <c r="U35">
        <v>650</v>
      </c>
      <c r="Y35">
        <v>2.6543365946926607</v>
      </c>
    </row>
    <row r="36" spans="2:25" x14ac:dyDescent="0.25">
      <c r="B36" s="1" t="s">
        <v>2119</v>
      </c>
      <c r="C36">
        <v>35</v>
      </c>
      <c r="D36" t="s">
        <v>1162</v>
      </c>
      <c r="E36" s="1" t="s">
        <v>2058</v>
      </c>
      <c r="F36" s="1" t="s">
        <v>2121</v>
      </c>
      <c r="G36">
        <v>164</v>
      </c>
      <c r="H36">
        <v>1383</v>
      </c>
      <c r="I36">
        <v>637</v>
      </c>
      <c r="M36">
        <v>0.86437491794474508</v>
      </c>
      <c r="N36" s="1" t="s">
        <v>1136</v>
      </c>
      <c r="O36">
        <v>35</v>
      </c>
      <c r="P36" t="s">
        <v>1160</v>
      </c>
      <c r="Q36" s="1" t="s">
        <v>82</v>
      </c>
      <c r="R36" s="1" t="s">
        <v>1164</v>
      </c>
      <c r="S36">
        <v>152</v>
      </c>
      <c r="T36">
        <v>4160</v>
      </c>
      <c r="U36">
        <v>650</v>
      </c>
      <c r="Y36">
        <v>2.6543365946926607</v>
      </c>
    </row>
    <row r="37" spans="2:25" x14ac:dyDescent="0.25">
      <c r="B37" s="1" t="s">
        <v>2120</v>
      </c>
      <c r="C37">
        <v>36</v>
      </c>
      <c r="D37" t="s">
        <v>1162</v>
      </c>
      <c r="E37" s="1" t="s">
        <v>2058</v>
      </c>
      <c r="F37" s="1" t="s">
        <v>2121</v>
      </c>
      <c r="G37">
        <v>152</v>
      </c>
      <c r="H37">
        <v>782</v>
      </c>
      <c r="I37">
        <v>517</v>
      </c>
      <c r="M37">
        <v>0.40419771429810902</v>
      </c>
      <c r="N37" s="1" t="s">
        <v>1137</v>
      </c>
      <c r="O37">
        <v>36</v>
      </c>
      <c r="P37" t="s">
        <v>1160</v>
      </c>
      <c r="Q37" s="1" t="s">
        <v>82</v>
      </c>
      <c r="R37" s="1" t="s">
        <v>1164</v>
      </c>
      <c r="S37">
        <v>152</v>
      </c>
      <c r="T37">
        <v>4160</v>
      </c>
      <c r="U37">
        <v>650</v>
      </c>
      <c r="Y37">
        <v>2.6543365988364553</v>
      </c>
    </row>
    <row r="38" spans="2:25" x14ac:dyDescent="0.25">
      <c r="B38" s="1" t="s">
        <v>2123</v>
      </c>
      <c r="C38">
        <v>37</v>
      </c>
      <c r="D38" t="s">
        <v>2203</v>
      </c>
      <c r="E38" s="1" t="s">
        <v>2058</v>
      </c>
      <c r="F38" s="1" t="s">
        <v>2121</v>
      </c>
      <c r="G38">
        <v>157</v>
      </c>
      <c r="H38">
        <v>1303</v>
      </c>
      <c r="I38">
        <v>575</v>
      </c>
      <c r="M38">
        <v>0.7239251851659898</v>
      </c>
      <c r="N38" s="1" t="s">
        <v>1138</v>
      </c>
      <c r="O38">
        <v>37</v>
      </c>
      <c r="P38" t="s">
        <v>1160</v>
      </c>
      <c r="Q38" s="1" t="s">
        <v>82</v>
      </c>
      <c r="R38" s="1" t="s">
        <v>1164</v>
      </c>
      <c r="S38">
        <v>152</v>
      </c>
      <c r="T38">
        <v>3840</v>
      </c>
      <c r="U38">
        <v>650</v>
      </c>
      <c r="Y38">
        <v>2.4499186249810707</v>
      </c>
    </row>
    <row r="39" spans="2:25" x14ac:dyDescent="0.25">
      <c r="B39" s="1" t="s">
        <v>2124</v>
      </c>
      <c r="C39">
        <v>38</v>
      </c>
      <c r="D39" t="s">
        <v>2203</v>
      </c>
      <c r="E39" s="1" t="s">
        <v>2058</v>
      </c>
      <c r="F39" s="1" t="s">
        <v>2121</v>
      </c>
      <c r="G39">
        <v>157</v>
      </c>
      <c r="H39">
        <v>475</v>
      </c>
      <c r="I39">
        <v>575</v>
      </c>
      <c r="M39">
        <v>0.15812499995745</v>
      </c>
      <c r="N39" s="1" t="s">
        <v>1139</v>
      </c>
      <c r="O39">
        <v>38</v>
      </c>
      <c r="P39" t="s">
        <v>1160</v>
      </c>
      <c r="Q39" s="1" t="s">
        <v>82</v>
      </c>
      <c r="R39" s="1" t="s">
        <v>1164</v>
      </c>
      <c r="S39">
        <v>152</v>
      </c>
      <c r="T39">
        <v>3102</v>
      </c>
      <c r="U39">
        <v>650</v>
      </c>
      <c r="Y39">
        <v>1.9790725300886696</v>
      </c>
    </row>
    <row r="40" spans="2:25" x14ac:dyDescent="0.25">
      <c r="B40" s="1" t="s">
        <v>2125</v>
      </c>
      <c r="C40">
        <v>39</v>
      </c>
      <c r="D40" t="s">
        <v>2203</v>
      </c>
      <c r="E40" s="1" t="s">
        <v>2058</v>
      </c>
      <c r="F40" s="1" t="s">
        <v>2121</v>
      </c>
      <c r="G40">
        <v>157</v>
      </c>
      <c r="H40">
        <v>1303</v>
      </c>
      <c r="I40">
        <v>575</v>
      </c>
      <c r="M40">
        <v>0.72392518752003998</v>
      </c>
      <c r="N40" s="1" t="s">
        <v>1140</v>
      </c>
      <c r="O40">
        <v>39</v>
      </c>
      <c r="P40" t="s">
        <v>1162</v>
      </c>
      <c r="Q40" s="1" t="s">
        <v>82</v>
      </c>
      <c r="R40" s="1" t="s">
        <v>1164</v>
      </c>
      <c r="S40">
        <v>152</v>
      </c>
      <c r="T40">
        <v>1500</v>
      </c>
      <c r="U40">
        <v>650</v>
      </c>
      <c r="Y40">
        <v>0.95699653099950011</v>
      </c>
    </row>
    <row r="41" spans="2:25" x14ac:dyDescent="0.25">
      <c r="B41" s="1" t="s">
        <v>2126</v>
      </c>
      <c r="C41">
        <v>40</v>
      </c>
      <c r="D41" t="s">
        <v>2203</v>
      </c>
      <c r="E41" s="1" t="s">
        <v>2058</v>
      </c>
      <c r="F41" s="1" t="s">
        <v>2121</v>
      </c>
      <c r="G41">
        <v>157</v>
      </c>
      <c r="H41">
        <v>475</v>
      </c>
      <c r="I41">
        <v>575</v>
      </c>
      <c r="M41">
        <v>0.15812500004255001</v>
      </c>
      <c r="N41" s="1" t="s">
        <v>1141</v>
      </c>
      <c r="O41">
        <v>40</v>
      </c>
      <c r="P41" t="s">
        <v>1162</v>
      </c>
      <c r="Q41" s="1" t="s">
        <v>82</v>
      </c>
      <c r="R41" s="1" t="s">
        <v>1164</v>
      </c>
      <c r="S41">
        <v>152</v>
      </c>
      <c r="T41">
        <v>1500</v>
      </c>
      <c r="U41">
        <v>650</v>
      </c>
      <c r="Y41">
        <v>0.95699653099950011</v>
      </c>
    </row>
    <row r="42" spans="2:25" x14ac:dyDescent="0.25">
      <c r="B42" s="1" t="s">
        <v>2127</v>
      </c>
      <c r="C42">
        <v>41</v>
      </c>
      <c r="D42" t="s">
        <v>2203</v>
      </c>
      <c r="E42" s="1" t="s">
        <v>2058</v>
      </c>
      <c r="F42" s="1" t="s">
        <v>2121</v>
      </c>
      <c r="G42">
        <v>157</v>
      </c>
      <c r="H42">
        <v>1275</v>
      </c>
      <c r="I42">
        <v>575</v>
      </c>
      <c r="M42">
        <v>0.72018812475626726</v>
      </c>
      <c r="N42" s="1" t="s">
        <v>1142</v>
      </c>
      <c r="O42">
        <v>41</v>
      </c>
      <c r="P42" t="s">
        <v>1160</v>
      </c>
      <c r="Q42" s="1" t="s">
        <v>82</v>
      </c>
      <c r="R42" s="1" t="s">
        <v>1164</v>
      </c>
      <c r="S42">
        <v>152</v>
      </c>
      <c r="T42">
        <v>2817</v>
      </c>
      <c r="U42">
        <v>650</v>
      </c>
      <c r="Y42">
        <v>1.7972394852170612</v>
      </c>
    </row>
    <row r="43" spans="2:25" x14ac:dyDescent="0.25">
      <c r="B43" s="1" t="s">
        <v>2128</v>
      </c>
      <c r="C43">
        <v>42</v>
      </c>
      <c r="D43" t="s">
        <v>2203</v>
      </c>
      <c r="E43" s="1" t="s">
        <v>2058</v>
      </c>
      <c r="F43" s="1" t="s">
        <v>2121</v>
      </c>
      <c r="G43">
        <v>157</v>
      </c>
      <c r="H43">
        <v>470</v>
      </c>
      <c r="I43">
        <v>575</v>
      </c>
      <c r="M43">
        <v>0.15525000004657499</v>
      </c>
      <c r="N43" s="1" t="s">
        <v>1143</v>
      </c>
      <c r="O43">
        <v>42</v>
      </c>
      <c r="P43" t="s">
        <v>1160</v>
      </c>
      <c r="Q43" s="1" t="s">
        <v>82</v>
      </c>
      <c r="R43" s="1" t="s">
        <v>1164</v>
      </c>
      <c r="S43">
        <v>152</v>
      </c>
      <c r="T43">
        <v>3544</v>
      </c>
      <c r="U43">
        <v>650</v>
      </c>
      <c r="Y43">
        <v>2.2612514543399413</v>
      </c>
    </row>
    <row r="44" spans="2:25" x14ac:dyDescent="0.25">
      <c r="B44" s="1" t="s">
        <v>2129</v>
      </c>
      <c r="C44">
        <v>43</v>
      </c>
      <c r="D44" t="s">
        <v>2203</v>
      </c>
      <c r="E44" s="1" t="s">
        <v>2058</v>
      </c>
      <c r="F44" s="1" t="s">
        <v>2121</v>
      </c>
      <c r="G44">
        <v>157</v>
      </c>
      <c r="H44">
        <v>1275</v>
      </c>
      <c r="I44">
        <v>575</v>
      </c>
      <c r="M44">
        <v>0.72018768819438506</v>
      </c>
      <c r="N44" s="1" t="s">
        <v>1144</v>
      </c>
      <c r="O44">
        <v>43</v>
      </c>
      <c r="P44" t="s">
        <v>1160</v>
      </c>
      <c r="Q44" s="1" t="s">
        <v>82</v>
      </c>
      <c r="R44" s="1" t="s">
        <v>1164</v>
      </c>
      <c r="S44">
        <v>152</v>
      </c>
      <c r="T44">
        <v>2395</v>
      </c>
      <c r="U44">
        <v>650</v>
      </c>
      <c r="Y44">
        <v>1.528004461162535</v>
      </c>
    </row>
    <row r="45" spans="2:25" x14ac:dyDescent="0.25">
      <c r="B45" s="1" t="s">
        <v>2130</v>
      </c>
      <c r="C45">
        <v>44</v>
      </c>
      <c r="D45" t="s">
        <v>2203</v>
      </c>
      <c r="E45" s="1" t="s">
        <v>2058</v>
      </c>
      <c r="F45" s="1" t="s">
        <v>2121</v>
      </c>
      <c r="G45">
        <v>157</v>
      </c>
      <c r="H45">
        <v>1281</v>
      </c>
      <c r="I45">
        <v>575</v>
      </c>
      <c r="M45">
        <v>0.72392580358313563</v>
      </c>
      <c r="N45" s="1" t="s">
        <v>1145</v>
      </c>
      <c r="O45">
        <v>44</v>
      </c>
      <c r="P45" t="s">
        <v>1160</v>
      </c>
      <c r="Q45" s="1" t="s">
        <v>82</v>
      </c>
      <c r="R45" s="1" t="s">
        <v>1164</v>
      </c>
      <c r="S45">
        <v>152</v>
      </c>
      <c r="T45">
        <v>2277</v>
      </c>
      <c r="U45">
        <v>650</v>
      </c>
      <c r="Y45">
        <v>1.4529882809521748</v>
      </c>
    </row>
    <row r="46" spans="2:25" x14ac:dyDescent="0.25">
      <c r="B46" s="1" t="s">
        <v>2131</v>
      </c>
      <c r="C46">
        <v>45</v>
      </c>
      <c r="D46" t="s">
        <v>2203</v>
      </c>
      <c r="E46" s="1" t="s">
        <v>2058</v>
      </c>
      <c r="F46" s="1" t="s">
        <v>2121</v>
      </c>
      <c r="G46">
        <v>157</v>
      </c>
      <c r="H46">
        <v>470</v>
      </c>
      <c r="I46">
        <v>575</v>
      </c>
      <c r="M46">
        <v>0.15524999995342501</v>
      </c>
      <c r="N46" s="1" t="s">
        <v>1146</v>
      </c>
      <c r="O46">
        <v>45</v>
      </c>
      <c r="P46" t="s">
        <v>1160</v>
      </c>
      <c r="Q46" s="1" t="s">
        <v>82</v>
      </c>
      <c r="R46" s="1" t="s">
        <v>1164</v>
      </c>
      <c r="S46">
        <v>152</v>
      </c>
      <c r="T46">
        <v>1946</v>
      </c>
      <c r="U46">
        <v>672</v>
      </c>
      <c r="Y46">
        <v>1.2846867288474542</v>
      </c>
    </row>
    <row r="47" spans="2:25" x14ac:dyDescent="0.25">
      <c r="B47" s="1" t="s">
        <v>2132</v>
      </c>
      <c r="C47">
        <v>46</v>
      </c>
      <c r="D47" t="s">
        <v>2203</v>
      </c>
      <c r="E47" s="1" t="s">
        <v>2058</v>
      </c>
      <c r="F47" s="1" t="s">
        <v>2121</v>
      </c>
      <c r="G47">
        <v>157</v>
      </c>
      <c r="H47">
        <v>1281</v>
      </c>
      <c r="I47">
        <v>575</v>
      </c>
      <c r="M47">
        <v>0.72392586862714026</v>
      </c>
      <c r="N47" s="1" t="s">
        <v>1147</v>
      </c>
      <c r="O47">
        <v>46</v>
      </c>
      <c r="P47" t="s">
        <v>1162</v>
      </c>
      <c r="Q47" s="1" t="s">
        <v>82</v>
      </c>
      <c r="R47" s="1" t="s">
        <v>1164</v>
      </c>
      <c r="S47">
        <v>152</v>
      </c>
      <c r="T47">
        <v>2426</v>
      </c>
      <c r="U47">
        <v>672</v>
      </c>
      <c r="Y47">
        <v>1.6011474993063177</v>
      </c>
    </row>
    <row r="48" spans="2:25" x14ac:dyDescent="0.25">
      <c r="B48" s="1" t="s">
        <v>2133</v>
      </c>
      <c r="C48">
        <v>47</v>
      </c>
      <c r="D48" t="s">
        <v>2203</v>
      </c>
      <c r="E48" s="1" t="s">
        <v>2058</v>
      </c>
      <c r="F48" s="1" t="s">
        <v>2121</v>
      </c>
      <c r="G48">
        <v>157</v>
      </c>
      <c r="H48">
        <v>1438</v>
      </c>
      <c r="I48">
        <v>575</v>
      </c>
      <c r="M48">
        <v>0.81420018025690388</v>
      </c>
      <c r="N48" s="1" t="s">
        <v>1148</v>
      </c>
      <c r="O48">
        <v>47</v>
      </c>
      <c r="P48" t="s">
        <v>1162</v>
      </c>
      <c r="Q48" s="1" t="s">
        <v>82</v>
      </c>
      <c r="R48" s="1" t="s">
        <v>1164</v>
      </c>
      <c r="S48">
        <v>152</v>
      </c>
      <c r="T48">
        <v>2430</v>
      </c>
      <c r="U48">
        <v>672</v>
      </c>
      <c r="Y48">
        <v>1.604119483656427</v>
      </c>
    </row>
    <row r="49" spans="2:25" x14ac:dyDescent="0.25">
      <c r="B49" s="1" t="s">
        <v>2134</v>
      </c>
      <c r="C49">
        <v>48</v>
      </c>
      <c r="D49" t="s">
        <v>2203</v>
      </c>
      <c r="E49" s="1" t="s">
        <v>2058</v>
      </c>
      <c r="F49" s="1" t="s">
        <v>2121</v>
      </c>
      <c r="G49">
        <v>157</v>
      </c>
      <c r="H49">
        <v>484</v>
      </c>
      <c r="I49">
        <v>575</v>
      </c>
      <c r="M49">
        <v>0.16243750000000001</v>
      </c>
      <c r="N49" s="1" t="s">
        <v>1149</v>
      </c>
      <c r="O49">
        <v>48</v>
      </c>
      <c r="P49" t="s">
        <v>1160</v>
      </c>
      <c r="Q49" s="1" t="s">
        <v>82</v>
      </c>
      <c r="R49" s="1" t="s">
        <v>1164</v>
      </c>
      <c r="S49">
        <v>152</v>
      </c>
      <c r="T49">
        <v>3692</v>
      </c>
      <c r="U49">
        <v>672</v>
      </c>
      <c r="Y49">
        <v>2.4367079467166093</v>
      </c>
    </row>
    <row r="50" spans="2:25" x14ac:dyDescent="0.25">
      <c r="B50" s="1" t="s">
        <v>2135</v>
      </c>
      <c r="C50">
        <v>49</v>
      </c>
      <c r="D50" t="s">
        <v>2203</v>
      </c>
      <c r="E50" s="1" t="s">
        <v>2058</v>
      </c>
      <c r="F50" s="1" t="s">
        <v>2121</v>
      </c>
      <c r="G50">
        <v>157</v>
      </c>
      <c r="H50">
        <v>1438</v>
      </c>
      <c r="I50">
        <v>575</v>
      </c>
      <c r="M50">
        <v>0.8142001836275542</v>
      </c>
      <c r="N50" s="1" t="s">
        <v>1150</v>
      </c>
      <c r="O50">
        <v>49</v>
      </c>
      <c r="P50" t="s">
        <v>1160</v>
      </c>
      <c r="Q50" s="1" t="s">
        <v>82</v>
      </c>
      <c r="R50" s="1" t="s">
        <v>1164</v>
      </c>
      <c r="S50">
        <v>152</v>
      </c>
      <c r="T50">
        <v>3692</v>
      </c>
      <c r="U50">
        <v>672</v>
      </c>
      <c r="Y50">
        <v>2.4367456217455667</v>
      </c>
    </row>
    <row r="51" spans="2:25" x14ac:dyDescent="0.25">
      <c r="B51" s="1" t="s">
        <v>2136</v>
      </c>
      <c r="C51">
        <v>50</v>
      </c>
      <c r="D51" t="s">
        <v>2203</v>
      </c>
      <c r="E51" s="1" t="s">
        <v>2058</v>
      </c>
      <c r="F51" s="1" t="s">
        <v>2121</v>
      </c>
      <c r="G51">
        <v>157</v>
      </c>
      <c r="H51">
        <v>1438</v>
      </c>
      <c r="I51">
        <v>575</v>
      </c>
      <c r="M51">
        <v>0.81420017977562886</v>
      </c>
      <c r="N51" s="1" t="s">
        <v>1151</v>
      </c>
      <c r="O51">
        <v>50</v>
      </c>
      <c r="P51" t="s">
        <v>1160</v>
      </c>
      <c r="Q51" s="1" t="s">
        <v>82</v>
      </c>
      <c r="R51" s="1" t="s">
        <v>1164</v>
      </c>
      <c r="S51">
        <v>152</v>
      </c>
      <c r="T51">
        <v>3692</v>
      </c>
      <c r="U51">
        <v>672</v>
      </c>
      <c r="Y51">
        <v>2.4367043151672192</v>
      </c>
    </row>
    <row r="52" spans="2:25" x14ac:dyDescent="0.25">
      <c r="B52" s="1" t="s">
        <v>2137</v>
      </c>
      <c r="C52">
        <v>51</v>
      </c>
      <c r="D52" t="s">
        <v>2203</v>
      </c>
      <c r="E52" s="1" t="s">
        <v>2058</v>
      </c>
      <c r="F52" s="1" t="s">
        <v>2121</v>
      </c>
      <c r="G52">
        <v>157</v>
      </c>
      <c r="H52">
        <v>484</v>
      </c>
      <c r="I52">
        <v>575</v>
      </c>
      <c r="M52">
        <v>0.16243750018112502</v>
      </c>
      <c r="N52" s="1" t="s">
        <v>1152</v>
      </c>
      <c r="O52">
        <v>51</v>
      </c>
      <c r="P52" t="s">
        <v>1160</v>
      </c>
      <c r="Q52" s="1" t="s">
        <v>82</v>
      </c>
      <c r="R52" s="1" t="s">
        <v>1164</v>
      </c>
      <c r="S52">
        <v>152</v>
      </c>
      <c r="T52">
        <v>3022</v>
      </c>
      <c r="U52">
        <v>672</v>
      </c>
      <c r="Y52">
        <v>1.994509565054414</v>
      </c>
    </row>
    <row r="53" spans="2:25" x14ac:dyDescent="0.25">
      <c r="B53" s="1" t="s">
        <v>2138</v>
      </c>
      <c r="C53">
        <v>52</v>
      </c>
      <c r="D53" t="s">
        <v>2203</v>
      </c>
      <c r="E53" s="1" t="s">
        <v>2058</v>
      </c>
      <c r="F53" s="1" t="s">
        <v>2121</v>
      </c>
      <c r="G53">
        <v>157</v>
      </c>
      <c r="H53">
        <v>1438</v>
      </c>
      <c r="I53">
        <v>575</v>
      </c>
      <c r="M53">
        <v>0.81420017986130389</v>
      </c>
      <c r="N53" s="1" t="s">
        <v>1153</v>
      </c>
      <c r="O53">
        <v>52</v>
      </c>
      <c r="P53" t="s">
        <v>1160</v>
      </c>
      <c r="Q53" s="1" t="s">
        <v>82</v>
      </c>
      <c r="R53" s="1" t="s">
        <v>1164</v>
      </c>
      <c r="S53">
        <v>152</v>
      </c>
      <c r="T53">
        <v>3054</v>
      </c>
      <c r="U53">
        <v>672</v>
      </c>
      <c r="Y53">
        <v>2.0156009305219373</v>
      </c>
    </row>
    <row r="54" spans="2:25" x14ac:dyDescent="0.25">
      <c r="B54" s="1" t="s">
        <v>2139</v>
      </c>
      <c r="C54">
        <v>53</v>
      </c>
      <c r="D54" t="s">
        <v>2203</v>
      </c>
      <c r="E54" s="1" t="s">
        <v>2058</v>
      </c>
      <c r="F54" s="1" t="s">
        <v>2121</v>
      </c>
      <c r="G54">
        <v>157</v>
      </c>
      <c r="H54">
        <v>544</v>
      </c>
      <c r="I54">
        <v>575</v>
      </c>
      <c r="M54">
        <v>0.28750033658799834</v>
      </c>
      <c r="N54" s="1" t="s">
        <v>1154</v>
      </c>
      <c r="O54">
        <v>53</v>
      </c>
      <c r="P54" t="s">
        <v>1162</v>
      </c>
      <c r="Q54" s="1" t="s">
        <v>82</v>
      </c>
      <c r="R54" s="1" t="s">
        <v>1164</v>
      </c>
      <c r="S54">
        <v>152</v>
      </c>
      <c r="T54">
        <v>500</v>
      </c>
      <c r="U54">
        <v>672</v>
      </c>
      <c r="Y54">
        <v>0.32999865423249997</v>
      </c>
    </row>
    <row r="55" spans="2:25" x14ac:dyDescent="0.25">
      <c r="B55" s="1" t="s">
        <v>2140</v>
      </c>
      <c r="C55">
        <v>54</v>
      </c>
      <c r="D55" t="s">
        <v>2203</v>
      </c>
      <c r="E55" s="1" t="s">
        <v>2058</v>
      </c>
      <c r="F55" s="1" t="s">
        <v>2121</v>
      </c>
      <c r="G55">
        <v>157</v>
      </c>
      <c r="H55">
        <v>490</v>
      </c>
      <c r="I55">
        <v>575</v>
      </c>
      <c r="M55">
        <v>0.16674999995744999</v>
      </c>
      <c r="N55" s="1" t="s">
        <v>1155</v>
      </c>
      <c r="O55">
        <v>54</v>
      </c>
      <c r="P55" t="s">
        <v>1162</v>
      </c>
      <c r="Q55" s="1" t="s">
        <v>82</v>
      </c>
      <c r="R55" s="1" t="s">
        <v>1164</v>
      </c>
      <c r="S55">
        <v>152</v>
      </c>
      <c r="T55">
        <v>500</v>
      </c>
      <c r="U55">
        <v>672</v>
      </c>
      <c r="Y55">
        <v>0.32999865423249997</v>
      </c>
    </row>
    <row r="56" spans="2:25" x14ac:dyDescent="0.25">
      <c r="B56" s="1" t="s">
        <v>2141</v>
      </c>
      <c r="C56">
        <v>55</v>
      </c>
      <c r="D56" t="s">
        <v>2203</v>
      </c>
      <c r="E56" s="1" t="s">
        <v>2058</v>
      </c>
      <c r="F56" s="1" t="s">
        <v>2121</v>
      </c>
      <c r="G56">
        <v>157</v>
      </c>
      <c r="H56">
        <v>544</v>
      </c>
      <c r="I56">
        <v>575</v>
      </c>
      <c r="M56">
        <v>0.28750033664032332</v>
      </c>
      <c r="N56" s="1" t="s">
        <v>1156</v>
      </c>
      <c r="O56">
        <v>55</v>
      </c>
      <c r="P56" t="s">
        <v>1162</v>
      </c>
      <c r="Q56" s="1" t="s">
        <v>82</v>
      </c>
      <c r="R56" s="1" t="s">
        <v>1164</v>
      </c>
      <c r="S56">
        <v>152</v>
      </c>
      <c r="T56">
        <v>500</v>
      </c>
      <c r="U56">
        <v>672</v>
      </c>
      <c r="Y56">
        <v>0.32999865423249997</v>
      </c>
    </row>
    <row r="57" spans="2:25" x14ac:dyDescent="0.25">
      <c r="B57" s="1" t="s">
        <v>2142</v>
      </c>
      <c r="C57">
        <v>56</v>
      </c>
      <c r="D57" t="s">
        <v>2203</v>
      </c>
      <c r="E57" s="1" t="s">
        <v>2058</v>
      </c>
      <c r="F57" s="1" t="s">
        <v>2121</v>
      </c>
      <c r="G57">
        <v>157</v>
      </c>
      <c r="H57">
        <v>490</v>
      </c>
      <c r="I57">
        <v>575</v>
      </c>
      <c r="M57">
        <v>0.16675000008510002</v>
      </c>
      <c r="N57" s="1" t="s">
        <v>1157</v>
      </c>
      <c r="O57">
        <v>56</v>
      </c>
      <c r="P57" t="s">
        <v>1162</v>
      </c>
      <c r="Q57" s="1" t="s">
        <v>82</v>
      </c>
      <c r="R57" s="1" t="s">
        <v>1164</v>
      </c>
      <c r="S57">
        <v>152</v>
      </c>
      <c r="T57">
        <v>500</v>
      </c>
      <c r="U57">
        <v>672</v>
      </c>
      <c r="Y57">
        <v>0.32999865423249997</v>
      </c>
    </row>
    <row r="58" spans="2:25" x14ac:dyDescent="0.25">
      <c r="B58" s="1" t="s">
        <v>2143</v>
      </c>
      <c r="C58">
        <v>57</v>
      </c>
      <c r="D58" t="s">
        <v>2203</v>
      </c>
      <c r="E58" s="1" t="s">
        <v>2058</v>
      </c>
      <c r="F58" s="1" t="s">
        <v>2121</v>
      </c>
      <c r="G58">
        <v>157</v>
      </c>
      <c r="H58">
        <v>1824</v>
      </c>
      <c r="I58">
        <v>575</v>
      </c>
      <c r="M58">
        <v>1.036437670638557</v>
      </c>
      <c r="N58" s="1" t="s">
        <v>1158</v>
      </c>
      <c r="O58">
        <v>57</v>
      </c>
      <c r="P58" t="s">
        <v>1162</v>
      </c>
      <c r="Q58" s="1" t="s">
        <v>82</v>
      </c>
      <c r="R58" s="1" t="s">
        <v>1164</v>
      </c>
      <c r="S58">
        <v>152</v>
      </c>
      <c r="T58">
        <v>900</v>
      </c>
      <c r="U58">
        <v>672</v>
      </c>
      <c r="Y58">
        <v>0.59399757761850003</v>
      </c>
    </row>
    <row r="59" spans="2:25" x14ac:dyDescent="0.25">
      <c r="B59" s="1" t="s">
        <v>2144</v>
      </c>
      <c r="C59">
        <v>58</v>
      </c>
      <c r="D59" t="s">
        <v>2203</v>
      </c>
      <c r="E59" s="1" t="s">
        <v>2058</v>
      </c>
      <c r="F59" s="1" t="s">
        <v>2121</v>
      </c>
      <c r="G59">
        <v>157</v>
      </c>
      <c r="H59">
        <v>475</v>
      </c>
      <c r="I59">
        <v>575</v>
      </c>
      <c r="M59">
        <v>0.15812500018112502</v>
      </c>
      <c r="N59" s="1" t="s">
        <v>1159</v>
      </c>
      <c r="O59">
        <v>58</v>
      </c>
      <c r="P59" t="s">
        <v>1162</v>
      </c>
      <c r="Q59" s="1" t="s">
        <v>82</v>
      </c>
      <c r="R59" s="1" t="s">
        <v>1164</v>
      </c>
      <c r="S59">
        <v>152</v>
      </c>
      <c r="T59">
        <v>900</v>
      </c>
      <c r="U59">
        <v>672</v>
      </c>
      <c r="Y59">
        <v>0.59399757761850003</v>
      </c>
    </row>
    <row r="60" spans="2:25" x14ac:dyDescent="0.25">
      <c r="B60" s="1" t="s">
        <v>2145</v>
      </c>
      <c r="C60">
        <v>59</v>
      </c>
      <c r="D60" t="s">
        <v>2203</v>
      </c>
      <c r="E60" s="1" t="s">
        <v>2058</v>
      </c>
      <c r="F60" s="1" t="s">
        <v>2121</v>
      </c>
      <c r="G60">
        <v>157</v>
      </c>
      <c r="H60">
        <v>1824</v>
      </c>
      <c r="I60">
        <v>575</v>
      </c>
      <c r="M60">
        <v>1.036437670896732</v>
      </c>
      <c r="N60" s="1" t="s">
        <v>1804</v>
      </c>
      <c r="O60">
        <v>59</v>
      </c>
      <c r="P60" t="s">
        <v>1829</v>
      </c>
      <c r="Q60" s="1" t="s">
        <v>82</v>
      </c>
      <c r="R60" s="1" t="s">
        <v>1831</v>
      </c>
      <c r="S60">
        <v>180</v>
      </c>
      <c r="T60">
        <v>1813</v>
      </c>
      <c r="V60">
        <v>1815</v>
      </c>
      <c r="W60">
        <v>1815</v>
      </c>
      <c r="X60">
        <v>3.2902260333218192</v>
      </c>
    </row>
    <row r="61" spans="2:25" x14ac:dyDescent="0.25">
      <c r="B61" s="1" t="s">
        <v>2146</v>
      </c>
      <c r="C61">
        <v>60</v>
      </c>
      <c r="D61" t="s">
        <v>2203</v>
      </c>
      <c r="E61" s="1" t="s">
        <v>2058</v>
      </c>
      <c r="F61" s="1" t="s">
        <v>2121</v>
      </c>
      <c r="G61">
        <v>157</v>
      </c>
      <c r="H61">
        <v>1824</v>
      </c>
      <c r="I61">
        <v>575</v>
      </c>
      <c r="M61">
        <v>1.0364381759612444</v>
      </c>
      <c r="N61" s="1" t="s">
        <v>1805</v>
      </c>
      <c r="O61">
        <v>60</v>
      </c>
      <c r="P61" t="s">
        <v>1829</v>
      </c>
      <c r="Q61" s="1" t="s">
        <v>82</v>
      </c>
      <c r="R61" s="1" t="s">
        <v>1831</v>
      </c>
      <c r="S61">
        <v>180</v>
      </c>
      <c r="T61">
        <v>2258</v>
      </c>
      <c r="V61">
        <v>2275</v>
      </c>
      <c r="W61">
        <v>2275</v>
      </c>
      <c r="X61">
        <v>5.1362477219552467</v>
      </c>
    </row>
    <row r="62" spans="2:25" x14ac:dyDescent="0.25">
      <c r="B62" s="1" t="s">
        <v>2147</v>
      </c>
      <c r="C62">
        <v>61</v>
      </c>
      <c r="D62" t="s">
        <v>2203</v>
      </c>
      <c r="E62" s="1" t="s">
        <v>2058</v>
      </c>
      <c r="F62" s="1" t="s">
        <v>2121</v>
      </c>
      <c r="G62">
        <v>157</v>
      </c>
      <c r="H62">
        <v>475</v>
      </c>
      <c r="I62">
        <v>575</v>
      </c>
      <c r="M62">
        <v>0.15812499999999999</v>
      </c>
      <c r="N62" s="1" t="s">
        <v>1806</v>
      </c>
      <c r="O62">
        <v>61</v>
      </c>
      <c r="P62" t="s">
        <v>1829</v>
      </c>
      <c r="Q62" s="1" t="s">
        <v>82</v>
      </c>
      <c r="R62" s="1" t="s">
        <v>1831</v>
      </c>
      <c r="S62">
        <v>180</v>
      </c>
      <c r="T62">
        <v>2514</v>
      </c>
      <c r="V62">
        <v>3441</v>
      </c>
      <c r="W62">
        <v>3441</v>
      </c>
      <c r="X62">
        <v>8.6506992105558087</v>
      </c>
    </row>
    <row r="63" spans="2:25" x14ac:dyDescent="0.25">
      <c r="B63" s="1" t="s">
        <v>2148</v>
      </c>
      <c r="C63">
        <v>62</v>
      </c>
      <c r="D63" t="s">
        <v>2203</v>
      </c>
      <c r="E63" s="1" t="s">
        <v>2058</v>
      </c>
      <c r="F63" s="1" t="s">
        <v>2121</v>
      </c>
      <c r="G63">
        <v>157</v>
      </c>
      <c r="H63">
        <v>1824</v>
      </c>
      <c r="I63">
        <v>575</v>
      </c>
      <c r="M63">
        <v>1.0364381762516193</v>
      </c>
      <c r="N63" s="1" t="s">
        <v>1807</v>
      </c>
      <c r="O63">
        <v>62</v>
      </c>
      <c r="P63" t="s">
        <v>1829</v>
      </c>
      <c r="Q63" s="1" t="s">
        <v>82</v>
      </c>
      <c r="R63" s="1" t="s">
        <v>1831</v>
      </c>
      <c r="S63">
        <v>180</v>
      </c>
      <c r="T63">
        <v>2241</v>
      </c>
      <c r="V63">
        <v>2276</v>
      </c>
      <c r="W63">
        <v>2276</v>
      </c>
      <c r="X63">
        <v>5.0998413158250813</v>
      </c>
    </row>
    <row r="64" spans="2:25" x14ac:dyDescent="0.25">
      <c r="B64" s="1" t="s">
        <v>2149</v>
      </c>
      <c r="C64">
        <v>63</v>
      </c>
      <c r="D64" t="s">
        <v>2203</v>
      </c>
      <c r="E64" s="1" t="s">
        <v>2058</v>
      </c>
      <c r="F64" s="1" t="s">
        <v>2121</v>
      </c>
      <c r="G64">
        <v>157</v>
      </c>
      <c r="H64">
        <v>1303</v>
      </c>
      <c r="I64">
        <v>575</v>
      </c>
      <c r="M64">
        <v>0.72392518524533978</v>
      </c>
      <c r="N64" s="1" t="s">
        <v>1808</v>
      </c>
      <c r="O64">
        <v>63</v>
      </c>
      <c r="P64" t="s">
        <v>1829</v>
      </c>
      <c r="Q64" s="1" t="s">
        <v>82</v>
      </c>
      <c r="R64" s="1" t="s">
        <v>1831</v>
      </c>
      <c r="S64">
        <v>180</v>
      </c>
      <c r="T64">
        <v>1922</v>
      </c>
      <c r="V64">
        <v>2660</v>
      </c>
      <c r="W64">
        <v>2660</v>
      </c>
      <c r="X64">
        <v>5.1125174669979998</v>
      </c>
    </row>
    <row r="65" spans="2:24" x14ac:dyDescent="0.25">
      <c r="B65" s="1" t="s">
        <v>2150</v>
      </c>
      <c r="C65">
        <v>64</v>
      </c>
      <c r="D65" t="s">
        <v>2203</v>
      </c>
      <c r="E65" s="1" t="s">
        <v>2058</v>
      </c>
      <c r="F65" s="1" t="s">
        <v>2121</v>
      </c>
      <c r="G65">
        <v>157</v>
      </c>
      <c r="H65">
        <v>475</v>
      </c>
      <c r="I65">
        <v>575</v>
      </c>
      <c r="M65">
        <v>0.15812500004255001</v>
      </c>
      <c r="N65" s="1" t="s">
        <v>1809</v>
      </c>
      <c r="O65">
        <v>64</v>
      </c>
      <c r="P65" t="s">
        <v>1829</v>
      </c>
      <c r="Q65" s="1" t="s">
        <v>82</v>
      </c>
      <c r="R65" s="1" t="s">
        <v>1831</v>
      </c>
      <c r="S65">
        <v>180</v>
      </c>
      <c r="T65">
        <v>2258</v>
      </c>
      <c r="V65">
        <v>2664</v>
      </c>
      <c r="W65">
        <v>2664</v>
      </c>
      <c r="X65">
        <v>6.0154880243861841</v>
      </c>
    </row>
    <row r="66" spans="2:24" x14ac:dyDescent="0.25">
      <c r="B66" s="1" t="s">
        <v>2151</v>
      </c>
      <c r="C66">
        <v>65</v>
      </c>
      <c r="D66" t="s">
        <v>2203</v>
      </c>
      <c r="E66" s="1" t="s">
        <v>2058</v>
      </c>
      <c r="F66" s="1" t="s">
        <v>2121</v>
      </c>
      <c r="G66">
        <v>157</v>
      </c>
      <c r="H66">
        <v>1303</v>
      </c>
      <c r="I66">
        <v>575</v>
      </c>
      <c r="M66">
        <v>0.72392518782708992</v>
      </c>
      <c r="N66" s="1" t="s">
        <v>1810</v>
      </c>
      <c r="O66">
        <v>65</v>
      </c>
      <c r="P66" t="s">
        <v>1829</v>
      </c>
      <c r="Q66" s="1" t="s">
        <v>82</v>
      </c>
      <c r="R66" s="1" t="s">
        <v>1831</v>
      </c>
      <c r="S66">
        <v>180</v>
      </c>
      <c r="T66">
        <v>1922</v>
      </c>
      <c r="V66">
        <v>2206</v>
      </c>
      <c r="W66">
        <v>2206</v>
      </c>
      <c r="X66">
        <v>4.2416259863548493</v>
      </c>
    </row>
    <row r="67" spans="2:24" x14ac:dyDescent="0.25">
      <c r="B67" s="1" t="s">
        <v>2152</v>
      </c>
      <c r="C67">
        <v>66</v>
      </c>
      <c r="D67" t="s">
        <v>2203</v>
      </c>
      <c r="E67" s="1" t="s">
        <v>2058</v>
      </c>
      <c r="F67" s="1" t="s">
        <v>2121</v>
      </c>
      <c r="G67">
        <v>157</v>
      </c>
      <c r="H67">
        <v>475</v>
      </c>
      <c r="I67">
        <v>575</v>
      </c>
      <c r="M67">
        <v>0.15812499995745</v>
      </c>
      <c r="N67" s="1" t="s">
        <v>1811</v>
      </c>
      <c r="O67">
        <v>66</v>
      </c>
      <c r="P67" t="s">
        <v>1829</v>
      </c>
      <c r="Q67" s="1" t="s">
        <v>82</v>
      </c>
      <c r="R67" s="1" t="s">
        <v>1831</v>
      </c>
      <c r="S67">
        <v>180</v>
      </c>
      <c r="T67">
        <v>2258</v>
      </c>
      <c r="V67">
        <v>2275</v>
      </c>
      <c r="W67">
        <v>2275</v>
      </c>
      <c r="X67">
        <v>5.1355375783183908</v>
      </c>
    </row>
    <row r="68" spans="2:24" x14ac:dyDescent="0.25">
      <c r="B68" s="1" t="s">
        <v>2153</v>
      </c>
      <c r="C68">
        <v>67</v>
      </c>
      <c r="D68" t="s">
        <v>2203</v>
      </c>
      <c r="E68" s="1" t="s">
        <v>2058</v>
      </c>
      <c r="F68" s="1" t="s">
        <v>2121</v>
      </c>
      <c r="G68">
        <v>157</v>
      </c>
      <c r="H68">
        <v>1276</v>
      </c>
      <c r="I68">
        <v>575</v>
      </c>
      <c r="M68">
        <v>0.72105171813095326</v>
      </c>
      <c r="N68" s="1" t="s">
        <v>1812</v>
      </c>
      <c r="O68">
        <v>67</v>
      </c>
      <c r="P68" t="s">
        <v>1829</v>
      </c>
      <c r="Q68" s="1" t="s">
        <v>82</v>
      </c>
      <c r="R68" s="1" t="s">
        <v>1831</v>
      </c>
      <c r="S68">
        <v>180</v>
      </c>
      <c r="T68">
        <v>1922</v>
      </c>
      <c r="V68">
        <v>2659</v>
      </c>
      <c r="W68">
        <v>2659</v>
      </c>
      <c r="X68">
        <v>5.1104246894451437</v>
      </c>
    </row>
    <row r="69" spans="2:24" x14ac:dyDescent="0.25">
      <c r="B69" s="1" t="s">
        <v>2154</v>
      </c>
      <c r="C69">
        <v>68</v>
      </c>
      <c r="D69" t="s">
        <v>2203</v>
      </c>
      <c r="E69" s="1" t="s">
        <v>2058</v>
      </c>
      <c r="F69" s="1" t="s">
        <v>2121</v>
      </c>
      <c r="G69">
        <v>157</v>
      </c>
      <c r="H69">
        <v>470</v>
      </c>
      <c r="I69">
        <v>575</v>
      </c>
      <c r="M69">
        <v>0.15525000004657499</v>
      </c>
      <c r="N69" s="1" t="s">
        <v>1813</v>
      </c>
      <c r="O69">
        <v>68</v>
      </c>
      <c r="P69" t="s">
        <v>1829</v>
      </c>
      <c r="Q69" s="1" t="s">
        <v>82</v>
      </c>
      <c r="R69" s="1" t="s">
        <v>1831</v>
      </c>
      <c r="S69">
        <v>180</v>
      </c>
      <c r="T69">
        <v>2258</v>
      </c>
      <c r="V69">
        <v>2659</v>
      </c>
      <c r="W69">
        <v>2659</v>
      </c>
      <c r="X69">
        <v>6.0036213640921847</v>
      </c>
    </row>
    <row r="70" spans="2:24" x14ac:dyDescent="0.25">
      <c r="B70" s="1" t="s">
        <v>2155</v>
      </c>
      <c r="C70">
        <v>69</v>
      </c>
      <c r="D70" t="s">
        <v>2203</v>
      </c>
      <c r="E70" s="1" t="s">
        <v>2058</v>
      </c>
      <c r="F70" s="1" t="s">
        <v>2121</v>
      </c>
      <c r="G70">
        <v>157</v>
      </c>
      <c r="H70">
        <v>1276</v>
      </c>
      <c r="I70">
        <v>575</v>
      </c>
      <c r="M70">
        <v>0.72105171776870325</v>
      </c>
      <c r="N70" s="1" t="s">
        <v>1814</v>
      </c>
      <c r="O70">
        <v>69</v>
      </c>
      <c r="P70" t="s">
        <v>1829</v>
      </c>
      <c r="Q70" s="1" t="s">
        <v>82</v>
      </c>
      <c r="R70" s="1" t="s">
        <v>1831</v>
      </c>
      <c r="S70">
        <v>180</v>
      </c>
      <c r="T70">
        <v>1922</v>
      </c>
      <c r="V70">
        <v>2204</v>
      </c>
      <c r="W70">
        <v>2204</v>
      </c>
      <c r="X70">
        <v>4.2366265427163654</v>
      </c>
    </row>
    <row r="71" spans="2:24" x14ac:dyDescent="0.25">
      <c r="B71" s="1" t="s">
        <v>2156</v>
      </c>
      <c r="C71">
        <v>70</v>
      </c>
      <c r="D71" t="s">
        <v>2203</v>
      </c>
      <c r="E71" s="1" t="s">
        <v>2058</v>
      </c>
      <c r="F71" s="1" t="s">
        <v>2121</v>
      </c>
      <c r="G71">
        <v>157</v>
      </c>
      <c r="H71">
        <v>1266</v>
      </c>
      <c r="I71">
        <v>575</v>
      </c>
      <c r="M71">
        <v>0.71530019813136569</v>
      </c>
      <c r="N71" s="1" t="s">
        <v>1782</v>
      </c>
      <c r="O71">
        <v>81</v>
      </c>
      <c r="P71" t="s">
        <v>1829</v>
      </c>
      <c r="Q71" s="1" t="s">
        <v>80</v>
      </c>
      <c r="R71" s="1" t="s">
        <v>1830</v>
      </c>
      <c r="S71">
        <v>180</v>
      </c>
      <c r="T71">
        <v>2257</v>
      </c>
      <c r="V71">
        <v>901</v>
      </c>
      <c r="W71">
        <v>901</v>
      </c>
      <c r="X71">
        <v>2.0342193541755105</v>
      </c>
    </row>
    <row r="72" spans="2:24" x14ac:dyDescent="0.25">
      <c r="B72" s="1" t="s">
        <v>2157</v>
      </c>
      <c r="C72">
        <v>71</v>
      </c>
      <c r="D72" t="s">
        <v>2203</v>
      </c>
      <c r="E72" s="1" t="s">
        <v>2058</v>
      </c>
      <c r="F72" s="1" t="s">
        <v>2121</v>
      </c>
      <c r="G72">
        <v>157</v>
      </c>
      <c r="H72">
        <v>470</v>
      </c>
      <c r="I72">
        <v>575</v>
      </c>
      <c r="M72">
        <v>0.15525</v>
      </c>
      <c r="N72" s="1" t="s">
        <v>1783</v>
      </c>
      <c r="O72">
        <v>82</v>
      </c>
      <c r="P72" t="s">
        <v>1829</v>
      </c>
      <c r="Q72" s="1" t="s">
        <v>80</v>
      </c>
      <c r="R72" s="1" t="s">
        <v>1830</v>
      </c>
      <c r="S72">
        <v>180</v>
      </c>
      <c r="T72">
        <v>4240</v>
      </c>
      <c r="V72">
        <v>1426</v>
      </c>
      <c r="W72">
        <v>1426</v>
      </c>
      <c r="X72">
        <v>6.0455715957385259</v>
      </c>
    </row>
    <row r="73" spans="2:24" x14ac:dyDescent="0.25">
      <c r="B73" s="1" t="s">
        <v>2158</v>
      </c>
      <c r="C73">
        <v>72</v>
      </c>
      <c r="D73" t="s">
        <v>2203</v>
      </c>
      <c r="E73" s="1" t="s">
        <v>2058</v>
      </c>
      <c r="F73" s="1" t="s">
        <v>2121</v>
      </c>
      <c r="G73">
        <v>157</v>
      </c>
      <c r="H73">
        <v>1266</v>
      </c>
      <c r="I73">
        <v>575</v>
      </c>
      <c r="M73">
        <v>0.71530018911479021</v>
      </c>
      <c r="N73" s="1" t="s">
        <v>1784</v>
      </c>
      <c r="O73">
        <v>83</v>
      </c>
      <c r="P73" t="s">
        <v>1829</v>
      </c>
      <c r="Q73" s="1" t="s">
        <v>80</v>
      </c>
      <c r="R73" s="1" t="s">
        <v>1830</v>
      </c>
      <c r="S73">
        <v>180</v>
      </c>
      <c r="T73">
        <v>4345</v>
      </c>
      <c r="V73">
        <v>1180</v>
      </c>
      <c r="W73">
        <v>1180</v>
      </c>
      <c r="X73">
        <v>5.127092308324392</v>
      </c>
    </row>
    <row r="74" spans="2:24" x14ac:dyDescent="0.25">
      <c r="B74" s="1" t="s">
        <v>2159</v>
      </c>
      <c r="C74">
        <v>73</v>
      </c>
      <c r="D74" t="s">
        <v>2203</v>
      </c>
      <c r="E74" s="1" t="s">
        <v>2058</v>
      </c>
      <c r="F74" s="1" t="s">
        <v>2121</v>
      </c>
      <c r="G74">
        <v>157</v>
      </c>
      <c r="H74">
        <v>1499</v>
      </c>
      <c r="I74">
        <v>575</v>
      </c>
      <c r="M74">
        <v>0.84927517761887339</v>
      </c>
      <c r="N74" s="1" t="s">
        <v>1785</v>
      </c>
      <c r="O74">
        <v>84</v>
      </c>
      <c r="P74" t="s">
        <v>1829</v>
      </c>
      <c r="Q74" s="1" t="s">
        <v>80</v>
      </c>
      <c r="R74" s="1" t="s">
        <v>1830</v>
      </c>
      <c r="S74">
        <v>180</v>
      </c>
      <c r="T74">
        <v>2333</v>
      </c>
      <c r="V74">
        <v>1416</v>
      </c>
      <c r="W74">
        <v>1416</v>
      </c>
      <c r="X74">
        <v>3.302906413554699</v>
      </c>
    </row>
    <row r="75" spans="2:24" x14ac:dyDescent="0.25">
      <c r="B75" s="1" t="s">
        <v>2160</v>
      </c>
      <c r="C75">
        <v>74</v>
      </c>
      <c r="D75" t="s">
        <v>2203</v>
      </c>
      <c r="E75" s="1" t="s">
        <v>2058</v>
      </c>
      <c r="F75" s="1" t="s">
        <v>2121</v>
      </c>
      <c r="G75">
        <v>157</v>
      </c>
      <c r="H75">
        <v>484</v>
      </c>
      <c r="I75">
        <v>575</v>
      </c>
      <c r="M75">
        <v>0.16243750000000001</v>
      </c>
      <c r="N75" s="1" t="s">
        <v>1786</v>
      </c>
      <c r="O75">
        <v>85</v>
      </c>
      <c r="P75" t="s">
        <v>1829</v>
      </c>
      <c r="Q75" s="1" t="s">
        <v>80</v>
      </c>
      <c r="R75" s="1" t="s">
        <v>1830</v>
      </c>
      <c r="S75">
        <v>180</v>
      </c>
      <c r="T75">
        <v>3948</v>
      </c>
      <c r="V75">
        <v>1416</v>
      </c>
      <c r="W75">
        <v>1416</v>
      </c>
      <c r="X75">
        <v>5.5892012237426458</v>
      </c>
    </row>
    <row r="76" spans="2:24" x14ac:dyDescent="0.25">
      <c r="B76" s="1" t="s">
        <v>2161</v>
      </c>
      <c r="C76">
        <v>75</v>
      </c>
      <c r="D76" t="s">
        <v>2203</v>
      </c>
      <c r="E76" s="1" t="s">
        <v>2058</v>
      </c>
      <c r="F76" s="1" t="s">
        <v>2121</v>
      </c>
      <c r="G76">
        <v>157</v>
      </c>
      <c r="H76">
        <v>1499</v>
      </c>
      <c r="I76">
        <v>575</v>
      </c>
      <c r="M76">
        <v>0.84927524658840359</v>
      </c>
      <c r="N76" s="1" t="s">
        <v>1787</v>
      </c>
      <c r="O76">
        <v>86</v>
      </c>
      <c r="P76" t="s">
        <v>1829</v>
      </c>
      <c r="Q76" s="1" t="s">
        <v>80</v>
      </c>
      <c r="R76" s="1" t="s">
        <v>1830</v>
      </c>
      <c r="S76">
        <v>180</v>
      </c>
      <c r="T76">
        <v>3958</v>
      </c>
      <c r="V76">
        <v>1440</v>
      </c>
      <c r="W76">
        <v>1440</v>
      </c>
      <c r="X76">
        <v>5.6996156426450177</v>
      </c>
    </row>
    <row r="77" spans="2:24" x14ac:dyDescent="0.25">
      <c r="B77" s="1" t="s">
        <v>2162</v>
      </c>
      <c r="C77">
        <v>76</v>
      </c>
      <c r="D77" t="s">
        <v>2203</v>
      </c>
      <c r="E77" s="1" t="s">
        <v>2058</v>
      </c>
      <c r="F77" s="1" t="s">
        <v>2121</v>
      </c>
      <c r="G77">
        <v>157</v>
      </c>
      <c r="H77">
        <v>1438</v>
      </c>
      <c r="I77">
        <v>575</v>
      </c>
      <c r="M77">
        <v>0.8142001802109039</v>
      </c>
      <c r="N77" s="1" t="s">
        <v>1788</v>
      </c>
      <c r="O77">
        <v>87</v>
      </c>
      <c r="P77" t="s">
        <v>1829</v>
      </c>
      <c r="Q77" s="1" t="s">
        <v>80</v>
      </c>
      <c r="R77" s="1" t="s">
        <v>1830</v>
      </c>
      <c r="S77">
        <v>180</v>
      </c>
      <c r="T77">
        <v>4300</v>
      </c>
      <c r="V77">
        <v>1416</v>
      </c>
      <c r="W77">
        <v>1416</v>
      </c>
      <c r="X77">
        <v>6.0879454832347353</v>
      </c>
    </row>
    <row r="78" spans="2:24" x14ac:dyDescent="0.25">
      <c r="B78" s="1" t="s">
        <v>2163</v>
      </c>
      <c r="C78">
        <v>77</v>
      </c>
      <c r="D78" t="s">
        <v>2203</v>
      </c>
      <c r="E78" s="1" t="s">
        <v>2058</v>
      </c>
      <c r="F78" s="1" t="s">
        <v>2121</v>
      </c>
      <c r="G78">
        <v>157</v>
      </c>
      <c r="H78">
        <v>484</v>
      </c>
      <c r="I78">
        <v>575</v>
      </c>
      <c r="M78">
        <v>0.16243750000000001</v>
      </c>
      <c r="N78" s="1" t="s">
        <v>1789</v>
      </c>
      <c r="O78">
        <v>88</v>
      </c>
      <c r="P78" t="s">
        <v>1829</v>
      </c>
      <c r="Q78" s="1" t="s">
        <v>80</v>
      </c>
      <c r="R78" s="1" t="s">
        <v>1830</v>
      </c>
      <c r="S78">
        <v>180</v>
      </c>
      <c r="T78">
        <v>3696</v>
      </c>
      <c r="V78">
        <v>1416</v>
      </c>
      <c r="W78">
        <v>1416</v>
      </c>
      <c r="X78">
        <v>5.2328650766271974</v>
      </c>
    </row>
    <row r="79" spans="2:24" x14ac:dyDescent="0.25">
      <c r="B79" s="1" t="s">
        <v>2164</v>
      </c>
      <c r="C79">
        <v>78</v>
      </c>
      <c r="D79" t="s">
        <v>2203</v>
      </c>
      <c r="E79" s="1" t="s">
        <v>2058</v>
      </c>
      <c r="F79" s="1" t="s">
        <v>2121</v>
      </c>
      <c r="G79">
        <v>157</v>
      </c>
      <c r="H79">
        <v>1438</v>
      </c>
      <c r="I79">
        <v>575</v>
      </c>
      <c r="M79">
        <v>0.8142001799883789</v>
      </c>
      <c r="N79" s="1" t="s">
        <v>1790</v>
      </c>
      <c r="O79">
        <v>89</v>
      </c>
      <c r="P79" t="s">
        <v>1829</v>
      </c>
      <c r="Q79" s="1" t="s">
        <v>80</v>
      </c>
      <c r="R79" s="1" t="s">
        <v>1830</v>
      </c>
      <c r="S79">
        <v>180</v>
      </c>
      <c r="T79">
        <v>3958</v>
      </c>
      <c r="V79">
        <v>1440</v>
      </c>
      <c r="W79">
        <v>1440</v>
      </c>
      <c r="X79">
        <v>5.6996904286319827</v>
      </c>
    </row>
    <row r="80" spans="2:24" x14ac:dyDescent="0.25">
      <c r="B80" s="1" t="s">
        <v>2165</v>
      </c>
      <c r="C80">
        <v>79</v>
      </c>
      <c r="D80" t="s">
        <v>2203</v>
      </c>
      <c r="E80" s="1" t="s">
        <v>2058</v>
      </c>
      <c r="F80" s="1" t="s">
        <v>2121</v>
      </c>
      <c r="G80">
        <v>157</v>
      </c>
      <c r="H80">
        <v>544</v>
      </c>
      <c r="I80">
        <v>575</v>
      </c>
      <c r="M80">
        <v>0.28750033661329832</v>
      </c>
      <c r="N80" s="1" t="s">
        <v>1791</v>
      </c>
      <c r="O80">
        <v>90</v>
      </c>
      <c r="P80" t="s">
        <v>1829</v>
      </c>
      <c r="Q80" s="1" t="s">
        <v>80</v>
      </c>
      <c r="R80" s="1" t="s">
        <v>1830</v>
      </c>
      <c r="S80">
        <v>180</v>
      </c>
      <c r="T80">
        <v>4300</v>
      </c>
      <c r="V80">
        <v>1416</v>
      </c>
      <c r="W80">
        <v>1416</v>
      </c>
      <c r="X80">
        <v>6.0879505732029484</v>
      </c>
    </row>
    <row r="81" spans="2:24" x14ac:dyDescent="0.25">
      <c r="B81" s="1" t="s">
        <v>2166</v>
      </c>
      <c r="C81">
        <v>80</v>
      </c>
      <c r="D81" t="s">
        <v>2203</v>
      </c>
      <c r="E81" s="1" t="s">
        <v>2058</v>
      </c>
      <c r="F81" s="1" t="s">
        <v>2121</v>
      </c>
      <c r="G81">
        <v>157</v>
      </c>
      <c r="H81">
        <v>490</v>
      </c>
      <c r="I81">
        <v>575</v>
      </c>
      <c r="M81">
        <v>0.16675000004255</v>
      </c>
      <c r="N81" s="1" t="s">
        <v>1792</v>
      </c>
      <c r="O81">
        <v>91</v>
      </c>
      <c r="P81" t="s">
        <v>1829</v>
      </c>
      <c r="Q81" s="1" t="s">
        <v>80</v>
      </c>
      <c r="R81" s="1" t="s">
        <v>1830</v>
      </c>
      <c r="S81">
        <v>180</v>
      </c>
      <c r="T81">
        <v>3696</v>
      </c>
      <c r="V81">
        <v>1416</v>
      </c>
      <c r="W81">
        <v>1416</v>
      </c>
      <c r="X81">
        <v>5.2327044190359473</v>
      </c>
    </row>
    <row r="82" spans="2:24" x14ac:dyDescent="0.25">
      <c r="B82" s="1" t="s">
        <v>2167</v>
      </c>
      <c r="C82">
        <v>81</v>
      </c>
      <c r="D82" t="s">
        <v>2203</v>
      </c>
      <c r="E82" s="1" t="s">
        <v>2058</v>
      </c>
      <c r="F82" s="1" t="s">
        <v>2121</v>
      </c>
      <c r="G82">
        <v>157</v>
      </c>
      <c r="H82">
        <v>544</v>
      </c>
      <c r="I82">
        <v>575</v>
      </c>
      <c r="M82">
        <v>0.28750033656039836</v>
      </c>
    </row>
    <row r="83" spans="2:24" x14ac:dyDescent="0.25">
      <c r="B83" s="1" t="s">
        <v>2168</v>
      </c>
      <c r="C83">
        <v>82</v>
      </c>
      <c r="D83" t="s">
        <v>2203</v>
      </c>
      <c r="E83" s="1" t="s">
        <v>2058</v>
      </c>
      <c r="F83" s="1" t="s">
        <v>2121</v>
      </c>
      <c r="G83">
        <v>157</v>
      </c>
      <c r="H83">
        <v>490</v>
      </c>
      <c r="I83">
        <v>575</v>
      </c>
      <c r="M83">
        <v>0.16674999995744999</v>
      </c>
    </row>
    <row r="84" spans="2:24" x14ac:dyDescent="0.25">
      <c r="B84" s="1" t="s">
        <v>2169</v>
      </c>
      <c r="C84">
        <v>83</v>
      </c>
      <c r="D84" t="s">
        <v>2203</v>
      </c>
      <c r="E84" s="1" t="s">
        <v>2058</v>
      </c>
      <c r="F84" s="1" t="s">
        <v>2121</v>
      </c>
      <c r="G84">
        <v>157</v>
      </c>
      <c r="H84">
        <v>1726</v>
      </c>
      <c r="I84">
        <v>591</v>
      </c>
      <c r="M84">
        <v>0.95537646843357593</v>
      </c>
    </row>
    <row r="85" spans="2:24" x14ac:dyDescent="0.25">
      <c r="B85" s="1" t="s">
        <v>2170</v>
      </c>
      <c r="C85">
        <v>84</v>
      </c>
      <c r="D85" t="s">
        <v>2203</v>
      </c>
      <c r="E85" s="1" t="s">
        <v>2058</v>
      </c>
      <c r="F85" s="1" t="s">
        <v>2121</v>
      </c>
      <c r="G85">
        <v>157</v>
      </c>
      <c r="H85">
        <v>477</v>
      </c>
      <c r="I85">
        <v>591</v>
      </c>
      <c r="M85">
        <v>0.15620446163109195</v>
      </c>
    </row>
    <row r="86" spans="2:24" x14ac:dyDescent="0.25">
      <c r="B86" s="1" t="s">
        <v>2171</v>
      </c>
      <c r="C86">
        <v>85</v>
      </c>
      <c r="D86" t="s">
        <v>2203</v>
      </c>
      <c r="E86" s="1" t="s">
        <v>2058</v>
      </c>
      <c r="F86" s="1" t="s">
        <v>2121</v>
      </c>
      <c r="G86">
        <v>157</v>
      </c>
      <c r="H86">
        <v>1726</v>
      </c>
      <c r="I86">
        <v>529</v>
      </c>
      <c r="M86">
        <v>0.86959408937068794</v>
      </c>
    </row>
    <row r="87" spans="2:24" x14ac:dyDescent="0.25">
      <c r="B87" s="1" t="s">
        <v>2172</v>
      </c>
      <c r="C87">
        <v>86</v>
      </c>
      <c r="D87" t="s">
        <v>2203</v>
      </c>
      <c r="E87" s="1" t="s">
        <v>2058</v>
      </c>
      <c r="F87" s="1" t="s">
        <v>2121</v>
      </c>
      <c r="G87">
        <v>157</v>
      </c>
      <c r="H87">
        <v>477</v>
      </c>
      <c r="I87">
        <v>591</v>
      </c>
      <c r="M87">
        <v>0.15620051121225834</v>
      </c>
    </row>
    <row r="88" spans="2:24" x14ac:dyDescent="0.25">
      <c r="B88" s="1" t="s">
        <v>2173</v>
      </c>
      <c r="C88">
        <v>87</v>
      </c>
      <c r="D88" t="s">
        <v>2203</v>
      </c>
      <c r="E88" s="1" t="s">
        <v>2058</v>
      </c>
      <c r="F88" s="1" t="s">
        <v>2121</v>
      </c>
      <c r="G88">
        <v>157</v>
      </c>
      <c r="H88">
        <v>1726</v>
      </c>
      <c r="I88">
        <v>591</v>
      </c>
      <c r="M88">
        <v>0.95537646843357593</v>
      </c>
    </row>
    <row r="89" spans="2:24" x14ac:dyDescent="0.25">
      <c r="B89" s="1" t="s">
        <v>2174</v>
      </c>
      <c r="C89">
        <v>88</v>
      </c>
      <c r="D89" t="s">
        <v>2203</v>
      </c>
      <c r="E89" s="1" t="s">
        <v>2058</v>
      </c>
      <c r="F89" s="1" t="s">
        <v>2121</v>
      </c>
      <c r="G89">
        <v>157</v>
      </c>
      <c r="H89">
        <v>477</v>
      </c>
      <c r="I89">
        <v>591</v>
      </c>
      <c r="M89">
        <v>0.15620446177122588</v>
      </c>
    </row>
    <row r="90" spans="2:24" x14ac:dyDescent="0.25">
      <c r="B90" s="1" t="s">
        <v>2175</v>
      </c>
      <c r="C90">
        <v>89</v>
      </c>
      <c r="D90" t="s">
        <v>2203</v>
      </c>
      <c r="E90" s="1" t="s">
        <v>2058</v>
      </c>
      <c r="F90" s="1" t="s">
        <v>2121</v>
      </c>
      <c r="G90">
        <v>157</v>
      </c>
      <c r="H90">
        <v>1726</v>
      </c>
      <c r="I90">
        <v>529</v>
      </c>
      <c r="M90">
        <v>0.86959408937068794</v>
      </c>
    </row>
    <row r="91" spans="2:24" x14ac:dyDescent="0.25">
      <c r="B91" s="1" t="s">
        <v>2176</v>
      </c>
      <c r="C91">
        <v>90</v>
      </c>
      <c r="D91" t="s">
        <v>2203</v>
      </c>
      <c r="E91" s="1" t="s">
        <v>2058</v>
      </c>
      <c r="F91" s="1" t="s">
        <v>2121</v>
      </c>
      <c r="G91">
        <v>157</v>
      </c>
      <c r="H91">
        <v>477</v>
      </c>
      <c r="I91">
        <v>591</v>
      </c>
      <c r="M91">
        <v>0.15620051121225834</v>
      </c>
    </row>
    <row r="92" spans="2:24" x14ac:dyDescent="0.25">
      <c r="B92" s="1" t="s">
        <v>2177</v>
      </c>
      <c r="C92">
        <v>91</v>
      </c>
      <c r="D92" t="s">
        <v>2203</v>
      </c>
      <c r="E92" s="1" t="s">
        <v>2058</v>
      </c>
      <c r="F92" s="1" t="s">
        <v>2121</v>
      </c>
      <c r="G92">
        <v>157</v>
      </c>
      <c r="H92">
        <v>1064</v>
      </c>
      <c r="I92">
        <v>591</v>
      </c>
      <c r="M92">
        <v>0.57936059479142399</v>
      </c>
    </row>
    <row r="93" spans="2:24" x14ac:dyDescent="0.25">
      <c r="B93" s="1" t="s">
        <v>2178</v>
      </c>
      <c r="C93">
        <v>92</v>
      </c>
      <c r="D93" t="s">
        <v>2203</v>
      </c>
      <c r="E93" s="1" t="s">
        <v>2058</v>
      </c>
      <c r="F93" s="1" t="s">
        <v>2121</v>
      </c>
      <c r="G93">
        <v>157</v>
      </c>
      <c r="H93">
        <v>812</v>
      </c>
      <c r="I93">
        <v>591</v>
      </c>
      <c r="M93">
        <v>0.34648829178574453</v>
      </c>
    </row>
    <row r="94" spans="2:24" x14ac:dyDescent="0.25">
      <c r="B94" s="1" t="s">
        <v>2179</v>
      </c>
      <c r="C94">
        <v>93</v>
      </c>
      <c r="D94" t="s">
        <v>2203</v>
      </c>
      <c r="E94" s="1" t="s">
        <v>2058</v>
      </c>
      <c r="F94" s="1" t="s">
        <v>2121</v>
      </c>
      <c r="G94">
        <v>157</v>
      </c>
      <c r="H94">
        <v>1064</v>
      </c>
      <c r="I94">
        <v>529</v>
      </c>
      <c r="M94">
        <v>0.527340144945603</v>
      </c>
    </row>
    <row r="95" spans="2:24" x14ac:dyDescent="0.25">
      <c r="B95" s="1" t="s">
        <v>2180</v>
      </c>
      <c r="C95">
        <v>94</v>
      </c>
      <c r="D95" t="s">
        <v>2203</v>
      </c>
      <c r="E95" s="1" t="s">
        <v>2058</v>
      </c>
      <c r="F95" s="1" t="s">
        <v>2121</v>
      </c>
      <c r="G95">
        <v>157</v>
      </c>
      <c r="H95">
        <v>812</v>
      </c>
      <c r="I95">
        <v>591</v>
      </c>
      <c r="M95">
        <v>0.34648284599621165</v>
      </c>
    </row>
    <row r="96" spans="2:24" x14ac:dyDescent="0.25">
      <c r="B96" s="1" t="s">
        <v>2181</v>
      </c>
      <c r="C96">
        <v>95</v>
      </c>
      <c r="D96" t="s">
        <v>2203</v>
      </c>
      <c r="E96" s="1" t="s">
        <v>2058</v>
      </c>
      <c r="F96" s="1" t="s">
        <v>2121</v>
      </c>
      <c r="G96">
        <v>157</v>
      </c>
      <c r="H96">
        <v>1174</v>
      </c>
      <c r="I96">
        <v>591</v>
      </c>
      <c r="M96">
        <v>0.64184143300947194</v>
      </c>
    </row>
    <row r="97" spans="2:13" x14ac:dyDescent="0.25">
      <c r="B97" s="1" t="s">
        <v>2182</v>
      </c>
      <c r="C97">
        <v>96</v>
      </c>
      <c r="D97" t="s">
        <v>2203</v>
      </c>
      <c r="E97" s="1" t="s">
        <v>2058</v>
      </c>
      <c r="F97" s="1" t="s">
        <v>2121</v>
      </c>
      <c r="G97">
        <v>157</v>
      </c>
      <c r="H97">
        <v>485</v>
      </c>
      <c r="I97">
        <v>591</v>
      </c>
      <c r="M97">
        <v>0.16046673398907957</v>
      </c>
    </row>
    <row r="98" spans="2:13" x14ac:dyDescent="0.25">
      <c r="B98" s="1" t="s">
        <v>2183</v>
      </c>
      <c r="C98">
        <v>97</v>
      </c>
      <c r="D98" t="s">
        <v>2203</v>
      </c>
      <c r="E98" s="1" t="s">
        <v>2058</v>
      </c>
      <c r="F98" s="1" t="s">
        <v>2121</v>
      </c>
      <c r="G98">
        <v>157</v>
      </c>
      <c r="H98">
        <v>1174</v>
      </c>
      <c r="I98">
        <v>529</v>
      </c>
      <c r="M98">
        <v>0.58421085719375498</v>
      </c>
    </row>
    <row r="99" spans="2:13" x14ac:dyDescent="0.25">
      <c r="B99" s="1" t="s">
        <v>2184</v>
      </c>
      <c r="C99">
        <v>98</v>
      </c>
      <c r="D99" t="s">
        <v>2203</v>
      </c>
      <c r="E99" s="1" t="s">
        <v>2058</v>
      </c>
      <c r="F99" s="1" t="s">
        <v>2121</v>
      </c>
      <c r="G99">
        <v>157</v>
      </c>
      <c r="H99">
        <v>485</v>
      </c>
      <c r="I99">
        <v>591</v>
      </c>
      <c r="M99">
        <v>0.16046013998204872</v>
      </c>
    </row>
    <row r="100" spans="2:13" x14ac:dyDescent="0.25">
      <c r="B100" s="1" t="s">
        <v>2185</v>
      </c>
      <c r="C100">
        <v>99</v>
      </c>
      <c r="D100" t="s">
        <v>2203</v>
      </c>
      <c r="E100" s="1" t="s">
        <v>2058</v>
      </c>
      <c r="F100" s="1" t="s">
        <v>2121</v>
      </c>
      <c r="G100">
        <v>157</v>
      </c>
      <c r="H100">
        <v>470</v>
      </c>
      <c r="I100">
        <v>575</v>
      </c>
      <c r="M100">
        <v>0.15524999995342501</v>
      </c>
    </row>
    <row r="101" spans="2:13" x14ac:dyDescent="0.25">
      <c r="B101" s="1" t="s">
        <v>2186</v>
      </c>
      <c r="C101">
        <v>100</v>
      </c>
      <c r="D101" t="s">
        <v>2203</v>
      </c>
      <c r="E101" s="1" t="s">
        <v>2058</v>
      </c>
      <c r="F101" s="1" t="s">
        <v>2121</v>
      </c>
      <c r="G101">
        <v>157</v>
      </c>
      <c r="H101">
        <v>470</v>
      </c>
      <c r="I101">
        <v>575</v>
      </c>
      <c r="M101">
        <v>0.15525000004657499</v>
      </c>
    </row>
    <row r="102" spans="2:13" x14ac:dyDescent="0.25">
      <c r="B102" s="1" t="s">
        <v>2187</v>
      </c>
      <c r="C102">
        <v>101</v>
      </c>
      <c r="D102" t="s">
        <v>2203</v>
      </c>
      <c r="E102" s="1" t="s">
        <v>2058</v>
      </c>
      <c r="F102" s="1" t="s">
        <v>2121</v>
      </c>
      <c r="G102">
        <v>157</v>
      </c>
      <c r="H102">
        <v>482</v>
      </c>
      <c r="I102">
        <v>575</v>
      </c>
      <c r="M102">
        <v>0.16243750000000001</v>
      </c>
    </row>
    <row r="103" spans="2:13" x14ac:dyDescent="0.25">
      <c r="B103" s="1" t="s">
        <v>2188</v>
      </c>
      <c r="C103">
        <v>102</v>
      </c>
      <c r="D103" t="s">
        <v>2203</v>
      </c>
      <c r="E103" s="1" t="s">
        <v>2058</v>
      </c>
      <c r="F103" s="1" t="s">
        <v>2121</v>
      </c>
      <c r="G103">
        <v>157</v>
      </c>
      <c r="H103">
        <v>482</v>
      </c>
      <c r="I103">
        <v>575</v>
      </c>
      <c r="M103">
        <v>0.16243750009257502</v>
      </c>
    </row>
    <row r="104" spans="2:13" x14ac:dyDescent="0.25">
      <c r="B104" s="1" t="s">
        <v>2189</v>
      </c>
      <c r="C104">
        <v>103</v>
      </c>
      <c r="D104" t="s">
        <v>2203</v>
      </c>
      <c r="E104" s="1" t="s">
        <v>2058</v>
      </c>
      <c r="F104" s="1" t="s">
        <v>2121</v>
      </c>
      <c r="G104">
        <v>157</v>
      </c>
      <c r="H104">
        <v>475</v>
      </c>
      <c r="I104">
        <v>575</v>
      </c>
      <c r="M104">
        <v>0.15812500009314998</v>
      </c>
    </row>
    <row r="105" spans="2:13" x14ac:dyDescent="0.25">
      <c r="B105" s="1" t="s">
        <v>2190</v>
      </c>
      <c r="C105">
        <v>104</v>
      </c>
      <c r="D105" t="s">
        <v>2203</v>
      </c>
      <c r="E105" s="1" t="s">
        <v>2058</v>
      </c>
      <c r="F105" s="1" t="s">
        <v>2121</v>
      </c>
      <c r="G105">
        <v>157</v>
      </c>
      <c r="H105">
        <v>475</v>
      </c>
      <c r="I105">
        <v>575</v>
      </c>
      <c r="M105">
        <v>0.15812499999999999</v>
      </c>
    </row>
    <row r="106" spans="2:13" x14ac:dyDescent="0.25">
      <c r="B106" s="1" t="s">
        <v>2191</v>
      </c>
      <c r="C106">
        <v>105</v>
      </c>
      <c r="D106" t="s">
        <v>2203</v>
      </c>
      <c r="E106" s="1" t="s">
        <v>2058</v>
      </c>
      <c r="F106" s="1" t="s">
        <v>2121</v>
      </c>
      <c r="G106">
        <v>157</v>
      </c>
      <c r="H106">
        <v>482</v>
      </c>
      <c r="I106">
        <v>575</v>
      </c>
      <c r="M106">
        <v>0.16243750000000001</v>
      </c>
    </row>
    <row r="107" spans="2:13" x14ac:dyDescent="0.25">
      <c r="B107" s="1" t="s">
        <v>2192</v>
      </c>
      <c r="C107">
        <v>106</v>
      </c>
      <c r="D107" t="s">
        <v>2203</v>
      </c>
      <c r="E107" s="1" t="s">
        <v>2058</v>
      </c>
      <c r="F107" s="1" t="s">
        <v>2121</v>
      </c>
      <c r="G107">
        <v>157</v>
      </c>
      <c r="H107">
        <v>482</v>
      </c>
      <c r="I107">
        <v>575</v>
      </c>
      <c r="M107">
        <v>0.16243750000000001</v>
      </c>
    </row>
    <row r="108" spans="2:13" x14ac:dyDescent="0.25">
      <c r="B108" s="1" t="s">
        <v>2193</v>
      </c>
      <c r="C108">
        <v>107</v>
      </c>
      <c r="D108" t="s">
        <v>2203</v>
      </c>
      <c r="E108" s="1" t="s">
        <v>2058</v>
      </c>
      <c r="F108" s="1" t="s">
        <v>2121</v>
      </c>
      <c r="G108">
        <v>157</v>
      </c>
      <c r="H108">
        <v>470</v>
      </c>
      <c r="I108">
        <v>575</v>
      </c>
      <c r="M108">
        <v>0.15525</v>
      </c>
    </row>
    <row r="109" spans="2:13" x14ac:dyDescent="0.25">
      <c r="B109" s="1" t="s">
        <v>2194</v>
      </c>
      <c r="C109">
        <v>108</v>
      </c>
      <c r="D109" t="s">
        <v>2203</v>
      </c>
      <c r="E109" s="1" t="s">
        <v>2058</v>
      </c>
      <c r="F109" s="1" t="s">
        <v>2121</v>
      </c>
      <c r="G109">
        <v>157</v>
      </c>
      <c r="H109">
        <v>470</v>
      </c>
      <c r="I109">
        <v>575</v>
      </c>
      <c r="M109">
        <v>0.15524999995342501</v>
      </c>
    </row>
    <row r="110" spans="2:13" x14ac:dyDescent="0.25">
      <c r="B110" s="1" t="s">
        <v>2195</v>
      </c>
      <c r="C110">
        <v>109</v>
      </c>
      <c r="D110" t="s">
        <v>2203</v>
      </c>
      <c r="E110" s="1" t="s">
        <v>2058</v>
      </c>
      <c r="F110" s="1" t="s">
        <v>2121</v>
      </c>
      <c r="G110">
        <v>157</v>
      </c>
      <c r="H110">
        <v>1064</v>
      </c>
      <c r="I110">
        <v>591</v>
      </c>
      <c r="M110">
        <v>0.57936059479142399</v>
      </c>
    </row>
    <row r="111" spans="2:13" x14ac:dyDescent="0.25">
      <c r="B111" s="1" t="s">
        <v>2196</v>
      </c>
      <c r="C111">
        <v>110</v>
      </c>
      <c r="D111" t="s">
        <v>2203</v>
      </c>
      <c r="E111" s="1" t="s">
        <v>2058</v>
      </c>
      <c r="F111" s="1" t="s">
        <v>2121</v>
      </c>
      <c r="G111">
        <v>157</v>
      </c>
      <c r="H111">
        <v>812</v>
      </c>
      <c r="I111">
        <v>591</v>
      </c>
      <c r="M111">
        <v>0.34648022246562166</v>
      </c>
    </row>
    <row r="112" spans="2:13" x14ac:dyDescent="0.25">
      <c r="B112" s="1" t="s">
        <v>2197</v>
      </c>
      <c r="C112">
        <v>111</v>
      </c>
      <c r="D112" t="s">
        <v>2203</v>
      </c>
      <c r="E112" s="1" t="s">
        <v>2058</v>
      </c>
      <c r="F112" s="1" t="s">
        <v>2121</v>
      </c>
      <c r="G112">
        <v>157</v>
      </c>
      <c r="H112">
        <v>1064</v>
      </c>
      <c r="I112">
        <v>529</v>
      </c>
      <c r="M112">
        <v>0.52734014496111303</v>
      </c>
    </row>
    <row r="113" spans="2:13" x14ac:dyDescent="0.25">
      <c r="B113" s="1" t="s">
        <v>2198</v>
      </c>
      <c r="C113">
        <v>112</v>
      </c>
      <c r="D113" t="s">
        <v>2203</v>
      </c>
      <c r="E113" s="1" t="s">
        <v>2058</v>
      </c>
      <c r="F113" s="1" t="s">
        <v>2121</v>
      </c>
      <c r="G113">
        <v>157</v>
      </c>
      <c r="H113">
        <v>812</v>
      </c>
      <c r="I113">
        <v>591</v>
      </c>
      <c r="M113">
        <v>0.3464800504429284</v>
      </c>
    </row>
    <row r="114" spans="2:13" x14ac:dyDescent="0.25">
      <c r="B114" s="1" t="s">
        <v>2199</v>
      </c>
      <c r="C114">
        <v>113</v>
      </c>
      <c r="D114" t="s">
        <v>2203</v>
      </c>
      <c r="E114" s="1" t="s">
        <v>2058</v>
      </c>
      <c r="F114" s="1" t="s">
        <v>2121</v>
      </c>
      <c r="G114">
        <v>157</v>
      </c>
      <c r="H114">
        <v>1174</v>
      </c>
      <c r="I114">
        <v>591</v>
      </c>
      <c r="M114">
        <v>0.64184143300947194</v>
      </c>
    </row>
    <row r="115" spans="2:13" x14ac:dyDescent="0.25">
      <c r="B115" s="1" t="s">
        <v>2200</v>
      </c>
      <c r="C115">
        <v>114</v>
      </c>
      <c r="D115" t="s">
        <v>2203</v>
      </c>
      <c r="E115" s="1" t="s">
        <v>2058</v>
      </c>
      <c r="F115" s="1" t="s">
        <v>2121</v>
      </c>
      <c r="G115">
        <v>157</v>
      </c>
      <c r="H115">
        <v>485</v>
      </c>
      <c r="I115">
        <v>591</v>
      </c>
      <c r="M115">
        <v>0.1604667340794835</v>
      </c>
    </row>
    <row r="116" spans="2:13" x14ac:dyDescent="0.25">
      <c r="B116" s="1" t="s">
        <v>2201</v>
      </c>
      <c r="C116">
        <v>115</v>
      </c>
      <c r="D116" t="s">
        <v>2203</v>
      </c>
      <c r="E116" s="1" t="s">
        <v>2058</v>
      </c>
      <c r="F116" s="1" t="s">
        <v>2121</v>
      </c>
      <c r="G116">
        <v>157</v>
      </c>
      <c r="H116">
        <v>1174</v>
      </c>
      <c r="I116">
        <v>529</v>
      </c>
      <c r="M116">
        <v>0.58421085719375498</v>
      </c>
    </row>
    <row r="117" spans="2:13" x14ac:dyDescent="0.25">
      <c r="B117" s="1" t="s">
        <v>2202</v>
      </c>
      <c r="C117">
        <v>116</v>
      </c>
      <c r="D117" t="s">
        <v>2203</v>
      </c>
      <c r="E117" s="1" t="s">
        <v>2058</v>
      </c>
      <c r="F117" s="1" t="s">
        <v>2121</v>
      </c>
      <c r="G117">
        <v>157</v>
      </c>
      <c r="H117">
        <v>485</v>
      </c>
      <c r="I117">
        <v>591</v>
      </c>
      <c r="M117">
        <v>0.16046014063053868</v>
      </c>
    </row>
    <row r="118" spans="2:13" x14ac:dyDescent="0.25">
      <c r="B118" s="1" t="s">
        <v>2210</v>
      </c>
      <c r="C118">
        <v>117</v>
      </c>
      <c r="D118" t="s">
        <v>2326</v>
      </c>
      <c r="E118" s="1" t="s">
        <v>2058</v>
      </c>
      <c r="F118" s="1" t="s">
        <v>2121</v>
      </c>
      <c r="G118">
        <v>127</v>
      </c>
      <c r="H118">
        <v>1275</v>
      </c>
      <c r="I118">
        <v>1032</v>
      </c>
      <c r="M118">
        <v>1.2612671324692439</v>
      </c>
    </row>
    <row r="119" spans="2:13" x14ac:dyDescent="0.25">
      <c r="B119" s="1" t="s">
        <v>2211</v>
      </c>
      <c r="C119">
        <v>118</v>
      </c>
      <c r="D119" t="s">
        <v>2326</v>
      </c>
      <c r="E119" s="1" t="s">
        <v>2058</v>
      </c>
      <c r="F119" s="1" t="s">
        <v>2121</v>
      </c>
      <c r="G119">
        <v>127</v>
      </c>
      <c r="H119">
        <v>470</v>
      </c>
      <c r="I119">
        <v>1032</v>
      </c>
      <c r="M119">
        <v>0.27188973130196686</v>
      </c>
    </row>
    <row r="120" spans="2:13" x14ac:dyDescent="0.25">
      <c r="B120" s="1" t="s">
        <v>2212</v>
      </c>
      <c r="C120">
        <v>119</v>
      </c>
      <c r="D120" t="s">
        <v>2326</v>
      </c>
      <c r="E120" s="1" t="s">
        <v>2058</v>
      </c>
      <c r="F120" s="1" t="s">
        <v>2121</v>
      </c>
      <c r="G120">
        <v>127</v>
      </c>
      <c r="H120">
        <v>470</v>
      </c>
      <c r="I120">
        <v>1032</v>
      </c>
      <c r="M120">
        <v>0.27188973153760471</v>
      </c>
    </row>
    <row r="121" spans="2:13" x14ac:dyDescent="0.25">
      <c r="B121" s="1" t="s">
        <v>2213</v>
      </c>
      <c r="C121">
        <v>120</v>
      </c>
      <c r="D121" t="s">
        <v>2326</v>
      </c>
      <c r="E121" s="1" t="s">
        <v>2058</v>
      </c>
      <c r="F121" s="1" t="s">
        <v>2121</v>
      </c>
      <c r="G121">
        <v>127</v>
      </c>
      <c r="H121">
        <v>1438</v>
      </c>
      <c r="I121">
        <v>1032</v>
      </c>
      <c r="M121">
        <v>1.4259192012651092</v>
      </c>
    </row>
    <row r="122" spans="2:13" x14ac:dyDescent="0.25">
      <c r="B122" s="1" t="s">
        <v>2214</v>
      </c>
      <c r="C122">
        <v>121</v>
      </c>
      <c r="D122" t="s">
        <v>2326</v>
      </c>
      <c r="E122" s="1" t="s">
        <v>2058</v>
      </c>
      <c r="F122" s="1" t="s">
        <v>2121</v>
      </c>
      <c r="G122">
        <v>127</v>
      </c>
      <c r="H122">
        <v>484</v>
      </c>
      <c r="I122">
        <v>1032</v>
      </c>
      <c r="M122">
        <v>0.28447721877689996</v>
      </c>
    </row>
    <row r="123" spans="2:13" x14ac:dyDescent="0.25">
      <c r="B123" s="1" t="s">
        <v>2215</v>
      </c>
      <c r="C123">
        <v>122</v>
      </c>
      <c r="D123" t="s">
        <v>2326</v>
      </c>
      <c r="E123" s="1" t="s">
        <v>2058</v>
      </c>
      <c r="F123" s="1" t="s">
        <v>2121</v>
      </c>
      <c r="G123">
        <v>127</v>
      </c>
      <c r="H123">
        <v>484</v>
      </c>
      <c r="I123">
        <v>1032</v>
      </c>
      <c r="M123">
        <v>0.28447865692789998</v>
      </c>
    </row>
    <row r="124" spans="2:13" x14ac:dyDescent="0.25">
      <c r="B124" s="1" t="s">
        <v>2216</v>
      </c>
      <c r="C124">
        <v>123</v>
      </c>
      <c r="D124" t="s">
        <v>2326</v>
      </c>
      <c r="E124" s="1" t="s">
        <v>2058</v>
      </c>
      <c r="F124" s="1" t="s">
        <v>2121</v>
      </c>
      <c r="G124">
        <v>127</v>
      </c>
      <c r="H124">
        <v>475</v>
      </c>
      <c r="I124">
        <v>1032</v>
      </c>
      <c r="M124">
        <v>0.27692472616848202</v>
      </c>
    </row>
    <row r="125" spans="2:13" x14ac:dyDescent="0.25">
      <c r="B125" s="1" t="s">
        <v>2217</v>
      </c>
      <c r="C125">
        <v>124</v>
      </c>
      <c r="D125" t="s">
        <v>2326</v>
      </c>
      <c r="E125" s="1" t="s">
        <v>2058</v>
      </c>
      <c r="F125" s="1" t="s">
        <v>2121</v>
      </c>
      <c r="G125">
        <v>127</v>
      </c>
      <c r="H125">
        <v>475</v>
      </c>
      <c r="I125">
        <v>1032</v>
      </c>
      <c r="M125">
        <v>0.27692472631751791</v>
      </c>
    </row>
    <row r="126" spans="2:13" x14ac:dyDescent="0.25">
      <c r="B126" s="1" t="s">
        <v>2218</v>
      </c>
      <c r="C126">
        <v>125</v>
      </c>
      <c r="D126" t="s">
        <v>2326</v>
      </c>
      <c r="E126" s="1" t="s">
        <v>2058</v>
      </c>
      <c r="F126" s="1" t="s">
        <v>2121</v>
      </c>
      <c r="G126">
        <v>127</v>
      </c>
      <c r="H126">
        <v>1303</v>
      </c>
      <c r="I126">
        <v>1032</v>
      </c>
      <c r="M126">
        <v>1.2678120039127498</v>
      </c>
    </row>
    <row r="127" spans="2:13" x14ac:dyDescent="0.25">
      <c r="B127" s="1" t="s">
        <v>2219</v>
      </c>
      <c r="C127">
        <v>126</v>
      </c>
      <c r="D127" t="s">
        <v>2326</v>
      </c>
      <c r="E127" s="1" t="s">
        <v>2058</v>
      </c>
      <c r="F127" s="1" t="s">
        <v>2121</v>
      </c>
      <c r="G127">
        <v>127</v>
      </c>
      <c r="H127">
        <v>1303</v>
      </c>
      <c r="I127">
        <v>1032</v>
      </c>
      <c r="M127">
        <v>1.2678120037506233</v>
      </c>
    </row>
    <row r="128" spans="2:13" x14ac:dyDescent="0.25">
      <c r="B128" s="1" t="s">
        <v>2220</v>
      </c>
      <c r="C128">
        <v>127</v>
      </c>
      <c r="D128" t="s">
        <v>2326</v>
      </c>
      <c r="E128" s="1" t="s">
        <v>2058</v>
      </c>
      <c r="F128" s="1" t="s">
        <v>2121</v>
      </c>
      <c r="G128">
        <v>127</v>
      </c>
      <c r="H128">
        <v>490</v>
      </c>
      <c r="I128">
        <v>1032</v>
      </c>
      <c r="M128">
        <v>0.29202971123628207</v>
      </c>
    </row>
    <row r="129" spans="2:13" x14ac:dyDescent="0.25">
      <c r="B129" s="1" t="s">
        <v>2221</v>
      </c>
      <c r="C129">
        <v>128</v>
      </c>
      <c r="D129" t="s">
        <v>2326</v>
      </c>
      <c r="E129" s="1" t="s">
        <v>2058</v>
      </c>
      <c r="F129" s="1" t="s">
        <v>2121</v>
      </c>
      <c r="G129">
        <v>127</v>
      </c>
      <c r="H129">
        <v>490</v>
      </c>
      <c r="I129">
        <v>1032</v>
      </c>
      <c r="M129">
        <v>0.29202971138531791</v>
      </c>
    </row>
    <row r="130" spans="2:13" x14ac:dyDescent="0.25">
      <c r="B130" s="1" t="s">
        <v>2222</v>
      </c>
      <c r="C130">
        <v>129</v>
      </c>
      <c r="D130" t="s">
        <v>2326</v>
      </c>
      <c r="E130" s="1" t="s">
        <v>2058</v>
      </c>
      <c r="F130" s="1" t="s">
        <v>2121</v>
      </c>
      <c r="G130">
        <v>127</v>
      </c>
      <c r="H130">
        <v>544</v>
      </c>
      <c r="I130">
        <v>1032</v>
      </c>
      <c r="M130">
        <v>0.50350006503093669</v>
      </c>
    </row>
    <row r="131" spans="2:13" x14ac:dyDescent="0.25">
      <c r="B131" s="1" t="s">
        <v>2223</v>
      </c>
      <c r="C131">
        <v>130</v>
      </c>
      <c r="D131" t="s">
        <v>2326</v>
      </c>
      <c r="E131" s="1" t="s">
        <v>2058</v>
      </c>
      <c r="F131" s="1" t="s">
        <v>2121</v>
      </c>
      <c r="G131">
        <v>127</v>
      </c>
      <c r="H131">
        <v>544</v>
      </c>
      <c r="I131">
        <v>1032</v>
      </c>
      <c r="M131">
        <v>0.50350006512257373</v>
      </c>
    </row>
    <row r="132" spans="2:13" x14ac:dyDescent="0.25">
      <c r="B132" s="1" t="s">
        <v>2224</v>
      </c>
      <c r="C132">
        <v>131</v>
      </c>
      <c r="D132" t="s">
        <v>2326</v>
      </c>
      <c r="E132" s="1" t="s">
        <v>2058</v>
      </c>
      <c r="F132" s="1" t="s">
        <v>2121</v>
      </c>
      <c r="G132">
        <v>127</v>
      </c>
      <c r="H132">
        <v>1825</v>
      </c>
      <c r="I132">
        <v>1032</v>
      </c>
      <c r="M132">
        <v>1.815117536783696</v>
      </c>
    </row>
    <row r="133" spans="2:13" x14ac:dyDescent="0.25">
      <c r="B133" s="1" t="s">
        <v>2225</v>
      </c>
      <c r="C133">
        <v>132</v>
      </c>
      <c r="D133" t="s">
        <v>2326</v>
      </c>
      <c r="E133" s="1" t="s">
        <v>2058</v>
      </c>
      <c r="F133" s="1" t="s">
        <v>2121</v>
      </c>
      <c r="G133">
        <v>127</v>
      </c>
      <c r="H133">
        <v>475</v>
      </c>
      <c r="I133">
        <v>1032</v>
      </c>
      <c r="M133">
        <v>0.27692472656020467</v>
      </c>
    </row>
    <row r="134" spans="2:13" x14ac:dyDescent="0.25">
      <c r="B134" s="1" t="s">
        <v>2226</v>
      </c>
      <c r="C134">
        <v>133</v>
      </c>
      <c r="D134" t="s">
        <v>2326</v>
      </c>
      <c r="E134" s="1" t="s">
        <v>2058</v>
      </c>
      <c r="F134" s="1" t="s">
        <v>2121</v>
      </c>
      <c r="G134">
        <v>127</v>
      </c>
      <c r="H134">
        <v>475</v>
      </c>
      <c r="I134">
        <v>1032</v>
      </c>
      <c r="M134">
        <v>0.27692472624300002</v>
      </c>
    </row>
    <row r="135" spans="2:13" x14ac:dyDescent="0.25">
      <c r="B135" s="1" t="s">
        <v>2227</v>
      </c>
      <c r="C135">
        <v>134</v>
      </c>
      <c r="D135" t="s">
        <v>2326</v>
      </c>
      <c r="E135" s="1" t="s">
        <v>2058</v>
      </c>
      <c r="F135" s="1" t="s">
        <v>2121</v>
      </c>
      <c r="G135">
        <v>127</v>
      </c>
      <c r="H135">
        <v>470</v>
      </c>
      <c r="I135">
        <v>1032</v>
      </c>
      <c r="M135">
        <v>0.27188973113883308</v>
      </c>
    </row>
    <row r="136" spans="2:13" x14ac:dyDescent="0.25">
      <c r="B136" s="1" t="s">
        <v>2228</v>
      </c>
      <c r="C136">
        <v>135</v>
      </c>
      <c r="D136" t="s">
        <v>2326</v>
      </c>
      <c r="E136" s="1" t="s">
        <v>2058</v>
      </c>
      <c r="F136" s="1" t="s">
        <v>2121</v>
      </c>
      <c r="G136">
        <v>127</v>
      </c>
      <c r="H136">
        <v>470</v>
      </c>
      <c r="I136">
        <v>1032</v>
      </c>
      <c r="M136">
        <v>0.27188973190620003</v>
      </c>
    </row>
    <row r="137" spans="2:13" x14ac:dyDescent="0.25">
      <c r="B137" s="1" t="s">
        <v>2229</v>
      </c>
      <c r="C137">
        <v>136</v>
      </c>
      <c r="D137" t="s">
        <v>2326</v>
      </c>
      <c r="E137" s="1" t="s">
        <v>2058</v>
      </c>
      <c r="F137" s="1" t="s">
        <v>2121</v>
      </c>
      <c r="G137">
        <v>127</v>
      </c>
      <c r="H137">
        <v>484</v>
      </c>
      <c r="I137">
        <v>1032</v>
      </c>
      <c r="M137">
        <v>0.28447721877689996</v>
      </c>
    </row>
    <row r="138" spans="2:13" x14ac:dyDescent="0.25">
      <c r="B138" s="1" t="s">
        <v>2230</v>
      </c>
      <c r="C138">
        <v>137</v>
      </c>
      <c r="D138" t="s">
        <v>2326</v>
      </c>
      <c r="E138" s="1" t="s">
        <v>2058</v>
      </c>
      <c r="F138" s="1" t="s">
        <v>2121</v>
      </c>
      <c r="G138">
        <v>127</v>
      </c>
      <c r="H138">
        <v>484</v>
      </c>
      <c r="I138">
        <v>1032</v>
      </c>
      <c r="M138">
        <v>0.28447865692789998</v>
      </c>
    </row>
    <row r="139" spans="2:13" x14ac:dyDescent="0.25">
      <c r="B139" s="1" t="s">
        <v>2231</v>
      </c>
      <c r="C139">
        <v>138</v>
      </c>
      <c r="D139" t="s">
        <v>2326</v>
      </c>
      <c r="E139" s="1" t="s">
        <v>2058</v>
      </c>
      <c r="F139" s="1" t="s">
        <v>2121</v>
      </c>
      <c r="G139">
        <v>127</v>
      </c>
      <c r="H139">
        <v>1438</v>
      </c>
      <c r="I139">
        <v>1032</v>
      </c>
      <c r="M139">
        <v>1.4259120451256839</v>
      </c>
    </row>
    <row r="140" spans="2:13" x14ac:dyDescent="0.25">
      <c r="B140" s="1" t="s">
        <v>2232</v>
      </c>
      <c r="C140">
        <v>139</v>
      </c>
      <c r="D140" t="s">
        <v>2326</v>
      </c>
      <c r="E140" s="1" t="s">
        <v>2058</v>
      </c>
      <c r="F140" s="1" t="s">
        <v>2121</v>
      </c>
      <c r="G140">
        <v>127</v>
      </c>
      <c r="H140">
        <v>475</v>
      </c>
      <c r="I140">
        <v>1032</v>
      </c>
      <c r="M140">
        <v>0.27692472631751791</v>
      </c>
    </row>
    <row r="141" spans="2:13" x14ac:dyDescent="0.25">
      <c r="B141" s="1" t="s">
        <v>2233</v>
      </c>
      <c r="C141">
        <v>140</v>
      </c>
      <c r="D141" t="s">
        <v>2326</v>
      </c>
      <c r="E141" s="1" t="s">
        <v>2058</v>
      </c>
      <c r="F141" s="1" t="s">
        <v>2121</v>
      </c>
      <c r="G141">
        <v>127</v>
      </c>
      <c r="H141">
        <v>475</v>
      </c>
      <c r="I141">
        <v>1032</v>
      </c>
      <c r="M141">
        <v>0.27692472616848202</v>
      </c>
    </row>
    <row r="142" spans="2:13" x14ac:dyDescent="0.25">
      <c r="B142" s="1" t="s">
        <v>2234</v>
      </c>
      <c r="C142">
        <v>141</v>
      </c>
      <c r="D142" t="s">
        <v>2326</v>
      </c>
      <c r="E142" s="1" t="s">
        <v>2058</v>
      </c>
      <c r="F142" s="1" t="s">
        <v>2121</v>
      </c>
      <c r="G142">
        <v>127</v>
      </c>
      <c r="H142">
        <v>1303</v>
      </c>
      <c r="I142">
        <v>1032</v>
      </c>
      <c r="M142">
        <v>1.2678120037274621</v>
      </c>
    </row>
    <row r="143" spans="2:13" x14ac:dyDescent="0.25">
      <c r="B143" s="1" t="s">
        <v>2235</v>
      </c>
      <c r="C143">
        <v>142</v>
      </c>
      <c r="D143" t="s">
        <v>2326</v>
      </c>
      <c r="E143" s="1" t="s">
        <v>2058</v>
      </c>
      <c r="F143" s="1" t="s">
        <v>2121</v>
      </c>
      <c r="G143">
        <v>127</v>
      </c>
      <c r="H143">
        <v>1303</v>
      </c>
      <c r="I143">
        <v>1032</v>
      </c>
      <c r="M143">
        <v>1.2678120038895888</v>
      </c>
    </row>
    <row r="144" spans="2:13" x14ac:dyDescent="0.25">
      <c r="B144" s="1" t="s">
        <v>2236</v>
      </c>
      <c r="C144">
        <v>143</v>
      </c>
      <c r="D144" t="s">
        <v>2326</v>
      </c>
      <c r="E144" s="1" t="s">
        <v>2058</v>
      </c>
      <c r="F144" s="1" t="s">
        <v>2121</v>
      </c>
      <c r="G144">
        <v>127</v>
      </c>
      <c r="H144">
        <v>490</v>
      </c>
      <c r="I144">
        <v>1032</v>
      </c>
      <c r="M144">
        <v>0.29202971145983586</v>
      </c>
    </row>
    <row r="145" spans="2:13" x14ac:dyDescent="0.25">
      <c r="B145" s="1" t="s">
        <v>2237</v>
      </c>
      <c r="C145">
        <v>144</v>
      </c>
      <c r="D145" t="s">
        <v>2326</v>
      </c>
      <c r="E145" s="1" t="s">
        <v>2058</v>
      </c>
      <c r="F145" s="1" t="s">
        <v>2121</v>
      </c>
      <c r="G145">
        <v>127</v>
      </c>
      <c r="H145">
        <v>490</v>
      </c>
      <c r="I145">
        <v>1032</v>
      </c>
      <c r="M145">
        <v>0.29202971123628207</v>
      </c>
    </row>
    <row r="146" spans="2:13" x14ac:dyDescent="0.25">
      <c r="B146" s="1" t="s">
        <v>2238</v>
      </c>
      <c r="C146">
        <v>145</v>
      </c>
      <c r="D146" t="s">
        <v>2326</v>
      </c>
      <c r="E146" s="1" t="s">
        <v>2058</v>
      </c>
      <c r="F146" s="1" t="s">
        <v>2121</v>
      </c>
      <c r="G146">
        <v>127</v>
      </c>
      <c r="H146">
        <v>544</v>
      </c>
      <c r="I146">
        <v>1032</v>
      </c>
      <c r="M146">
        <v>0.5035000650752447</v>
      </c>
    </row>
    <row r="147" spans="2:13" x14ac:dyDescent="0.25">
      <c r="B147" s="1" t="s">
        <v>2239</v>
      </c>
      <c r="C147">
        <v>146</v>
      </c>
      <c r="D147" t="s">
        <v>2326</v>
      </c>
      <c r="E147" s="1" t="s">
        <v>2058</v>
      </c>
      <c r="F147" s="1" t="s">
        <v>2121</v>
      </c>
      <c r="G147">
        <v>127</v>
      </c>
      <c r="H147">
        <v>544</v>
      </c>
      <c r="I147">
        <v>1032</v>
      </c>
      <c r="M147">
        <v>0.5035000649826008</v>
      </c>
    </row>
    <row r="148" spans="2:13" x14ac:dyDescent="0.25">
      <c r="B148" s="1" t="s">
        <v>2240</v>
      </c>
      <c r="C148">
        <v>147</v>
      </c>
      <c r="D148" t="s">
        <v>2326</v>
      </c>
      <c r="E148" s="1" t="s">
        <v>2058</v>
      </c>
      <c r="F148" s="1" t="s">
        <v>2121</v>
      </c>
      <c r="G148">
        <v>127</v>
      </c>
      <c r="H148">
        <v>1266</v>
      </c>
      <c r="I148">
        <v>1032</v>
      </c>
      <c r="M148">
        <v>1.2527081147990069</v>
      </c>
    </row>
    <row r="149" spans="2:13" x14ac:dyDescent="0.25">
      <c r="B149" s="1" t="s">
        <v>2241</v>
      </c>
      <c r="C149">
        <v>148</v>
      </c>
      <c r="D149" t="s">
        <v>2326</v>
      </c>
      <c r="E149" s="1" t="s">
        <v>2058</v>
      </c>
      <c r="F149" s="1" t="s">
        <v>2121</v>
      </c>
      <c r="G149">
        <v>127</v>
      </c>
      <c r="H149">
        <v>1281</v>
      </c>
      <c r="I149">
        <v>1032</v>
      </c>
      <c r="M149">
        <v>1.267815064096236</v>
      </c>
    </row>
    <row r="150" spans="2:13" x14ac:dyDescent="0.25">
      <c r="B150" s="1" t="s">
        <v>2242</v>
      </c>
      <c r="C150">
        <v>149</v>
      </c>
      <c r="D150" t="s">
        <v>2326</v>
      </c>
      <c r="E150" s="1" t="s">
        <v>2058</v>
      </c>
      <c r="F150" s="1" t="s">
        <v>2121</v>
      </c>
      <c r="G150">
        <v>127</v>
      </c>
      <c r="H150">
        <v>1275</v>
      </c>
      <c r="I150">
        <v>1032</v>
      </c>
      <c r="M150">
        <v>1.2612683793929598</v>
      </c>
    </row>
    <row r="151" spans="2:13" x14ac:dyDescent="0.25">
      <c r="B151" s="1" t="s">
        <v>2243</v>
      </c>
      <c r="C151">
        <v>150</v>
      </c>
      <c r="D151" t="s">
        <v>2326</v>
      </c>
      <c r="E151" s="1" t="s">
        <v>2058</v>
      </c>
      <c r="F151" s="1" t="s">
        <v>2121</v>
      </c>
      <c r="G151">
        <v>127</v>
      </c>
      <c r="H151">
        <v>1281</v>
      </c>
      <c r="I151">
        <v>1032</v>
      </c>
      <c r="M151">
        <v>1.2678150635041201</v>
      </c>
    </row>
    <row r="152" spans="2:13" x14ac:dyDescent="0.25">
      <c r="B152" s="1" t="s">
        <v>2244</v>
      </c>
      <c r="C152">
        <v>151</v>
      </c>
      <c r="D152" t="s">
        <v>2326</v>
      </c>
      <c r="E152" s="1" t="s">
        <v>2058</v>
      </c>
      <c r="F152" s="1" t="s">
        <v>2121</v>
      </c>
      <c r="G152">
        <v>127</v>
      </c>
      <c r="H152">
        <v>470</v>
      </c>
      <c r="I152">
        <v>1032</v>
      </c>
      <c r="M152">
        <v>0.27188973113883308</v>
      </c>
    </row>
    <row r="153" spans="2:13" x14ac:dyDescent="0.25">
      <c r="B153" s="1" t="s">
        <v>2245</v>
      </c>
      <c r="C153">
        <v>152</v>
      </c>
      <c r="D153" t="s">
        <v>2326</v>
      </c>
      <c r="E153" s="1" t="s">
        <v>2058</v>
      </c>
      <c r="F153" s="1" t="s">
        <v>2121</v>
      </c>
      <c r="G153">
        <v>127</v>
      </c>
      <c r="H153">
        <v>470</v>
      </c>
      <c r="I153">
        <v>1032</v>
      </c>
      <c r="M153">
        <v>0.27188973138353378</v>
      </c>
    </row>
    <row r="154" spans="2:13" x14ac:dyDescent="0.25">
      <c r="B154" s="1" t="s">
        <v>2246</v>
      </c>
      <c r="C154">
        <v>153</v>
      </c>
      <c r="D154" t="s">
        <v>2326</v>
      </c>
      <c r="E154" s="1" t="s">
        <v>2058</v>
      </c>
      <c r="F154" s="1" t="s">
        <v>2121</v>
      </c>
      <c r="G154">
        <v>127</v>
      </c>
      <c r="H154">
        <v>1438</v>
      </c>
      <c r="I154">
        <v>1032</v>
      </c>
      <c r="M154">
        <v>1.4259120000000001</v>
      </c>
    </row>
    <row r="155" spans="2:13" x14ac:dyDescent="0.25">
      <c r="B155" s="1" t="s">
        <v>2247</v>
      </c>
      <c r="C155">
        <v>154</v>
      </c>
      <c r="D155" t="s">
        <v>2326</v>
      </c>
      <c r="E155" s="1" t="s">
        <v>2058</v>
      </c>
      <c r="F155" s="1" t="s">
        <v>2121</v>
      </c>
      <c r="G155">
        <v>127</v>
      </c>
      <c r="H155">
        <v>1438</v>
      </c>
      <c r="I155">
        <v>1032</v>
      </c>
      <c r="M155">
        <v>1.4259120000000001</v>
      </c>
    </row>
    <row r="156" spans="2:13" x14ac:dyDescent="0.25">
      <c r="B156" s="1" t="s">
        <v>2248</v>
      </c>
      <c r="C156">
        <v>155</v>
      </c>
      <c r="D156" t="s">
        <v>2326</v>
      </c>
      <c r="E156" s="1" t="s">
        <v>2058</v>
      </c>
      <c r="F156" s="1" t="s">
        <v>2121</v>
      </c>
      <c r="G156">
        <v>127</v>
      </c>
      <c r="H156">
        <v>1438</v>
      </c>
      <c r="I156">
        <v>1032</v>
      </c>
      <c r="M156">
        <v>1.4259120000140981</v>
      </c>
    </row>
    <row r="157" spans="2:13" x14ac:dyDescent="0.25">
      <c r="B157" s="1" t="s">
        <v>2249</v>
      </c>
      <c r="C157">
        <v>156</v>
      </c>
      <c r="D157" t="s">
        <v>2326</v>
      </c>
      <c r="E157" s="1" t="s">
        <v>2058</v>
      </c>
      <c r="F157" s="1" t="s">
        <v>2121</v>
      </c>
      <c r="G157">
        <v>127</v>
      </c>
      <c r="H157">
        <v>482</v>
      </c>
      <c r="I157">
        <v>1032</v>
      </c>
      <c r="M157">
        <v>0.28447721877689996</v>
      </c>
    </row>
    <row r="158" spans="2:13" x14ac:dyDescent="0.25">
      <c r="B158" s="1" t="s">
        <v>2250</v>
      </c>
      <c r="C158">
        <v>157</v>
      </c>
      <c r="D158" t="s">
        <v>2326</v>
      </c>
      <c r="E158" s="1" t="s">
        <v>2058</v>
      </c>
      <c r="F158" s="1" t="s">
        <v>2121</v>
      </c>
      <c r="G158">
        <v>127</v>
      </c>
      <c r="H158">
        <v>482</v>
      </c>
      <c r="I158">
        <v>1032</v>
      </c>
      <c r="M158">
        <v>0.28447865692789998</v>
      </c>
    </row>
    <row r="159" spans="2:13" x14ac:dyDescent="0.25">
      <c r="B159" s="1" t="s">
        <v>2251</v>
      </c>
      <c r="C159">
        <v>158</v>
      </c>
      <c r="D159" t="s">
        <v>2326</v>
      </c>
      <c r="E159" s="1" t="s">
        <v>2058</v>
      </c>
      <c r="F159" s="1" t="s">
        <v>2121</v>
      </c>
      <c r="G159">
        <v>127</v>
      </c>
      <c r="H159">
        <v>1824</v>
      </c>
      <c r="I159">
        <v>1032</v>
      </c>
      <c r="M159">
        <v>1.8151176635498909</v>
      </c>
    </row>
    <row r="160" spans="2:13" x14ac:dyDescent="0.25">
      <c r="B160" s="1" t="s">
        <v>2252</v>
      </c>
      <c r="C160">
        <v>159</v>
      </c>
      <c r="D160" t="s">
        <v>2326</v>
      </c>
      <c r="E160" s="1" t="s">
        <v>2058</v>
      </c>
      <c r="F160" s="1" t="s">
        <v>2121</v>
      </c>
      <c r="G160">
        <v>127</v>
      </c>
      <c r="H160">
        <v>1825</v>
      </c>
      <c r="I160">
        <v>1032</v>
      </c>
      <c r="M160">
        <v>1.8151175362086991</v>
      </c>
    </row>
    <row r="161" spans="2:13" x14ac:dyDescent="0.25">
      <c r="B161" s="1" t="s">
        <v>2253</v>
      </c>
      <c r="C161">
        <v>160</v>
      </c>
      <c r="D161" t="s">
        <v>2326</v>
      </c>
      <c r="E161" s="1" t="s">
        <v>2058</v>
      </c>
      <c r="F161" s="1" t="s">
        <v>2121</v>
      </c>
      <c r="G161">
        <v>127</v>
      </c>
      <c r="H161">
        <v>1824</v>
      </c>
      <c r="I161">
        <v>1032</v>
      </c>
      <c r="M161">
        <v>1.8151176629738868</v>
      </c>
    </row>
    <row r="162" spans="2:13" x14ac:dyDescent="0.25">
      <c r="B162" s="1" t="s">
        <v>2254</v>
      </c>
      <c r="C162">
        <v>161</v>
      </c>
      <c r="D162" t="s">
        <v>2326</v>
      </c>
      <c r="E162" s="1" t="s">
        <v>2058</v>
      </c>
      <c r="F162" s="1" t="s">
        <v>2121</v>
      </c>
      <c r="G162">
        <v>127</v>
      </c>
      <c r="H162">
        <v>475</v>
      </c>
      <c r="I162">
        <v>1032</v>
      </c>
      <c r="M162">
        <v>0.27692472640613386</v>
      </c>
    </row>
    <row r="163" spans="2:13" x14ac:dyDescent="0.25">
      <c r="B163" s="1" t="s">
        <v>2255</v>
      </c>
      <c r="C163">
        <v>162</v>
      </c>
      <c r="D163" t="s">
        <v>2326</v>
      </c>
      <c r="E163" s="1" t="s">
        <v>2058</v>
      </c>
      <c r="F163" s="1" t="s">
        <v>2121</v>
      </c>
      <c r="G163">
        <v>127</v>
      </c>
      <c r="H163">
        <v>475</v>
      </c>
      <c r="I163">
        <v>1032</v>
      </c>
      <c r="M163">
        <v>0.27692472624300002</v>
      </c>
    </row>
    <row r="164" spans="2:13" x14ac:dyDescent="0.25">
      <c r="B164" s="1" t="s">
        <v>2256</v>
      </c>
      <c r="C164">
        <v>163</v>
      </c>
      <c r="D164" t="s">
        <v>2326</v>
      </c>
      <c r="E164" s="1" t="s">
        <v>2058</v>
      </c>
      <c r="F164" s="1" t="s">
        <v>2121</v>
      </c>
      <c r="G164">
        <v>127</v>
      </c>
      <c r="H164">
        <v>1499</v>
      </c>
      <c r="I164">
        <v>1032</v>
      </c>
      <c r="M164">
        <v>1.4873390451317261</v>
      </c>
    </row>
    <row r="165" spans="2:13" x14ac:dyDescent="0.25">
      <c r="B165" s="1" t="s">
        <v>2257</v>
      </c>
      <c r="C165">
        <v>164</v>
      </c>
      <c r="D165" t="s">
        <v>2326</v>
      </c>
      <c r="E165" s="1" t="s">
        <v>2058</v>
      </c>
      <c r="F165" s="1" t="s">
        <v>2121</v>
      </c>
      <c r="G165">
        <v>127</v>
      </c>
      <c r="H165">
        <v>1438</v>
      </c>
      <c r="I165">
        <v>1032</v>
      </c>
      <c r="M165">
        <v>1.4259120451478378</v>
      </c>
    </row>
    <row r="166" spans="2:13" x14ac:dyDescent="0.25">
      <c r="B166" s="1" t="s">
        <v>2258</v>
      </c>
      <c r="C166">
        <v>165</v>
      </c>
      <c r="D166" t="s">
        <v>2326</v>
      </c>
      <c r="E166" s="1" t="s">
        <v>2058</v>
      </c>
      <c r="F166" s="1" t="s">
        <v>2121</v>
      </c>
      <c r="G166">
        <v>127</v>
      </c>
      <c r="H166">
        <v>1499</v>
      </c>
      <c r="I166">
        <v>1032</v>
      </c>
      <c r="M166">
        <v>1.487339045141796</v>
      </c>
    </row>
    <row r="167" spans="2:13" x14ac:dyDescent="0.25">
      <c r="B167" s="1" t="s">
        <v>2259</v>
      </c>
      <c r="C167">
        <v>166</v>
      </c>
      <c r="D167" t="s">
        <v>2326</v>
      </c>
      <c r="E167" s="1" t="s">
        <v>2058</v>
      </c>
      <c r="F167" s="1" t="s">
        <v>2121</v>
      </c>
      <c r="G167">
        <v>127</v>
      </c>
      <c r="H167">
        <v>482</v>
      </c>
      <c r="I167">
        <v>1032</v>
      </c>
      <c r="M167">
        <v>0.28448009361554999</v>
      </c>
    </row>
    <row r="168" spans="2:13" x14ac:dyDescent="0.25">
      <c r="B168" s="1" t="s">
        <v>2260</v>
      </c>
      <c r="C168">
        <v>167</v>
      </c>
      <c r="D168" t="s">
        <v>2326</v>
      </c>
      <c r="E168" s="1" t="s">
        <v>2058</v>
      </c>
      <c r="F168" s="1" t="s">
        <v>2121</v>
      </c>
      <c r="G168">
        <v>127</v>
      </c>
      <c r="H168">
        <v>482</v>
      </c>
      <c r="I168">
        <v>1032</v>
      </c>
      <c r="M168">
        <v>0.28447721877689996</v>
      </c>
    </row>
    <row r="169" spans="2:13" x14ac:dyDescent="0.25">
      <c r="B169" s="1" t="s">
        <v>2261</v>
      </c>
      <c r="C169">
        <v>168</v>
      </c>
      <c r="D169" t="s">
        <v>2326</v>
      </c>
      <c r="E169" s="1" t="s">
        <v>2058</v>
      </c>
      <c r="F169" s="1" t="s">
        <v>2121</v>
      </c>
      <c r="G169">
        <v>127</v>
      </c>
      <c r="H169">
        <v>1276</v>
      </c>
      <c r="I169">
        <v>1032</v>
      </c>
      <c r="M169">
        <v>1.2627810371522799</v>
      </c>
    </row>
    <row r="170" spans="2:13" x14ac:dyDescent="0.25">
      <c r="B170" s="1" t="s">
        <v>2262</v>
      </c>
      <c r="C170">
        <v>169</v>
      </c>
      <c r="D170" t="s">
        <v>2326</v>
      </c>
      <c r="E170" s="1" t="s">
        <v>2058</v>
      </c>
      <c r="F170" s="1" t="s">
        <v>2121</v>
      </c>
      <c r="G170">
        <v>127</v>
      </c>
      <c r="H170">
        <v>1266</v>
      </c>
      <c r="I170">
        <v>1032</v>
      </c>
      <c r="M170">
        <v>1.2527081147265029</v>
      </c>
    </row>
    <row r="171" spans="2:13" x14ac:dyDescent="0.25">
      <c r="B171" s="1" t="s">
        <v>2263</v>
      </c>
      <c r="C171">
        <v>170</v>
      </c>
      <c r="D171" t="s">
        <v>2326</v>
      </c>
      <c r="E171" s="1" t="s">
        <v>2058</v>
      </c>
      <c r="F171" s="1" t="s">
        <v>2121</v>
      </c>
      <c r="G171">
        <v>127</v>
      </c>
      <c r="H171">
        <v>1276</v>
      </c>
      <c r="I171">
        <v>1032</v>
      </c>
      <c r="M171">
        <v>1.2627810370787689</v>
      </c>
    </row>
    <row r="172" spans="2:13" x14ac:dyDescent="0.25">
      <c r="B172" s="1" t="s">
        <v>2264</v>
      </c>
      <c r="C172">
        <v>171</v>
      </c>
      <c r="D172" t="s">
        <v>2326</v>
      </c>
      <c r="E172" s="1" t="s">
        <v>2058</v>
      </c>
      <c r="F172" s="1" t="s">
        <v>2121</v>
      </c>
      <c r="G172">
        <v>127</v>
      </c>
      <c r="H172">
        <v>470</v>
      </c>
      <c r="I172">
        <v>1032</v>
      </c>
      <c r="M172">
        <v>0.27188973190620003</v>
      </c>
    </row>
    <row r="173" spans="2:13" x14ac:dyDescent="0.25">
      <c r="B173" s="1" t="s">
        <v>2265</v>
      </c>
      <c r="C173">
        <v>172</v>
      </c>
      <c r="D173" t="s">
        <v>2326</v>
      </c>
      <c r="E173" s="1" t="s">
        <v>2058</v>
      </c>
      <c r="F173" s="1" t="s">
        <v>2121</v>
      </c>
      <c r="G173">
        <v>127</v>
      </c>
      <c r="H173">
        <v>470</v>
      </c>
      <c r="I173">
        <v>1032</v>
      </c>
      <c r="M173">
        <v>0.27188973130196686</v>
      </c>
    </row>
    <row r="174" spans="2:13" x14ac:dyDescent="0.25">
      <c r="B174" s="1" t="s">
        <v>2296</v>
      </c>
      <c r="C174">
        <v>173</v>
      </c>
      <c r="D174" t="s">
        <v>116</v>
      </c>
      <c r="E174" s="1" t="s">
        <v>2058</v>
      </c>
      <c r="F174" s="1" t="s">
        <v>2121</v>
      </c>
      <c r="G174">
        <v>280</v>
      </c>
      <c r="H174">
        <v>2017</v>
      </c>
      <c r="J174">
        <v>879</v>
      </c>
      <c r="K174">
        <v>879</v>
      </c>
      <c r="L174">
        <v>1.7730318552090785</v>
      </c>
    </row>
    <row r="175" spans="2:13" x14ac:dyDescent="0.25">
      <c r="B175" s="1" t="s">
        <v>2297</v>
      </c>
      <c r="C175">
        <v>174</v>
      </c>
      <c r="D175" t="s">
        <v>116</v>
      </c>
      <c r="E175" s="1" t="s">
        <v>2058</v>
      </c>
      <c r="F175" s="1" t="s">
        <v>2121</v>
      </c>
      <c r="G175">
        <v>280</v>
      </c>
      <c r="H175">
        <v>2017</v>
      </c>
      <c r="J175">
        <v>879</v>
      </c>
      <c r="K175">
        <v>879</v>
      </c>
      <c r="L175">
        <v>1.7730012451264665</v>
      </c>
    </row>
    <row r="176" spans="2:13" x14ac:dyDescent="0.25">
      <c r="B176" s="1" t="s">
        <v>2298</v>
      </c>
      <c r="C176">
        <v>175</v>
      </c>
      <c r="D176" t="s">
        <v>116</v>
      </c>
      <c r="E176" s="1" t="s">
        <v>2058</v>
      </c>
      <c r="F176" s="1" t="s">
        <v>2121</v>
      </c>
      <c r="G176">
        <v>280</v>
      </c>
      <c r="H176">
        <v>2017</v>
      </c>
      <c r="J176">
        <v>879</v>
      </c>
      <c r="K176">
        <v>879</v>
      </c>
      <c r="L176">
        <v>1.7730012427539001</v>
      </c>
    </row>
    <row r="177" spans="2:12" x14ac:dyDescent="0.25">
      <c r="B177" s="1" t="s">
        <v>2299</v>
      </c>
      <c r="C177">
        <v>176</v>
      </c>
      <c r="D177" t="s">
        <v>116</v>
      </c>
      <c r="E177" s="1" t="s">
        <v>2058</v>
      </c>
      <c r="F177" s="1" t="s">
        <v>2121</v>
      </c>
      <c r="G177">
        <v>280</v>
      </c>
      <c r="H177">
        <v>2017</v>
      </c>
      <c r="J177">
        <v>879</v>
      </c>
      <c r="K177">
        <v>879</v>
      </c>
      <c r="L177">
        <v>1.7730318729098327</v>
      </c>
    </row>
    <row r="178" spans="2:12" x14ac:dyDescent="0.25">
      <c r="B178" s="1" t="s">
        <v>2300</v>
      </c>
      <c r="C178">
        <v>177</v>
      </c>
      <c r="D178" t="s">
        <v>116</v>
      </c>
      <c r="E178" s="1" t="s">
        <v>2058</v>
      </c>
      <c r="F178" s="1" t="s">
        <v>2121</v>
      </c>
      <c r="G178">
        <v>280</v>
      </c>
      <c r="H178">
        <v>2017</v>
      </c>
      <c r="J178">
        <v>879</v>
      </c>
      <c r="K178">
        <v>879</v>
      </c>
      <c r="L178">
        <v>1.7730318732605377</v>
      </c>
    </row>
    <row r="179" spans="2:12" x14ac:dyDescent="0.25">
      <c r="B179" s="1" t="s">
        <v>2301</v>
      </c>
      <c r="C179">
        <v>178</v>
      </c>
      <c r="D179" t="s">
        <v>116</v>
      </c>
      <c r="E179" s="1" t="s">
        <v>2058</v>
      </c>
      <c r="F179" s="1" t="s">
        <v>2121</v>
      </c>
      <c r="G179">
        <v>280</v>
      </c>
      <c r="H179">
        <v>2017</v>
      </c>
      <c r="J179">
        <v>879</v>
      </c>
      <c r="K179">
        <v>879</v>
      </c>
      <c r="L179">
        <v>1.7730318732605377</v>
      </c>
    </row>
    <row r="180" spans="2:12" x14ac:dyDescent="0.25">
      <c r="B180" s="1" t="s">
        <v>2302</v>
      </c>
      <c r="C180">
        <v>179</v>
      </c>
      <c r="D180" t="s">
        <v>116</v>
      </c>
      <c r="E180" s="1" t="s">
        <v>2058</v>
      </c>
      <c r="F180" s="1" t="s">
        <v>2121</v>
      </c>
      <c r="G180">
        <v>280</v>
      </c>
      <c r="H180">
        <v>2017</v>
      </c>
      <c r="J180">
        <v>879</v>
      </c>
      <c r="K180">
        <v>879</v>
      </c>
      <c r="L180">
        <v>1.7730318729098327</v>
      </c>
    </row>
    <row r="181" spans="2:12" x14ac:dyDescent="0.25">
      <c r="B181" s="1" t="s">
        <v>2303</v>
      </c>
      <c r="C181">
        <v>180</v>
      </c>
      <c r="D181" t="s">
        <v>116</v>
      </c>
      <c r="E181" s="1" t="s">
        <v>2058</v>
      </c>
      <c r="F181" s="1" t="s">
        <v>2121</v>
      </c>
      <c r="G181">
        <v>280</v>
      </c>
      <c r="H181">
        <v>2017</v>
      </c>
      <c r="J181">
        <v>879</v>
      </c>
      <c r="K181">
        <v>879</v>
      </c>
      <c r="L181">
        <v>1.7730318732605377</v>
      </c>
    </row>
    <row r="182" spans="2:12" x14ac:dyDescent="0.25">
      <c r="B182" s="1" t="s">
        <v>2304</v>
      </c>
      <c r="C182">
        <v>181</v>
      </c>
      <c r="D182" t="s">
        <v>116</v>
      </c>
      <c r="E182" s="1" t="s">
        <v>2058</v>
      </c>
      <c r="F182" s="1" t="s">
        <v>2121</v>
      </c>
      <c r="G182">
        <v>280</v>
      </c>
      <c r="H182">
        <v>2017</v>
      </c>
      <c r="J182">
        <v>879</v>
      </c>
      <c r="K182">
        <v>879</v>
      </c>
      <c r="L182">
        <v>1.773078622497952</v>
      </c>
    </row>
    <row r="183" spans="2:12" x14ac:dyDescent="0.25">
      <c r="B183" s="1" t="s">
        <v>2305</v>
      </c>
      <c r="C183">
        <v>182</v>
      </c>
      <c r="D183" t="s">
        <v>116</v>
      </c>
      <c r="E183" s="1" t="s">
        <v>2058</v>
      </c>
      <c r="F183" s="1" t="s">
        <v>2121</v>
      </c>
      <c r="G183">
        <v>280</v>
      </c>
      <c r="H183">
        <v>2017</v>
      </c>
      <c r="J183">
        <v>879</v>
      </c>
      <c r="K183">
        <v>879</v>
      </c>
      <c r="L183">
        <v>1.7730644311881858</v>
      </c>
    </row>
    <row r="184" spans="2:12" x14ac:dyDescent="0.25">
      <c r="B184" s="1" t="s">
        <v>2306</v>
      </c>
      <c r="C184">
        <v>183</v>
      </c>
      <c r="D184" t="s">
        <v>116</v>
      </c>
      <c r="E184" s="1" t="s">
        <v>2058</v>
      </c>
      <c r="F184" s="1" t="s">
        <v>2121</v>
      </c>
      <c r="G184">
        <v>280</v>
      </c>
      <c r="H184">
        <v>2017</v>
      </c>
      <c r="J184">
        <v>879</v>
      </c>
      <c r="K184">
        <v>879</v>
      </c>
      <c r="L184">
        <v>1.7730006389882214</v>
      </c>
    </row>
    <row r="185" spans="2:12" x14ac:dyDescent="0.25">
      <c r="B185" s="1" t="s">
        <v>2307</v>
      </c>
      <c r="C185">
        <v>184</v>
      </c>
      <c r="D185" t="s">
        <v>116</v>
      </c>
      <c r="E185" s="1" t="s">
        <v>2058</v>
      </c>
      <c r="F185" s="1" t="s">
        <v>2121</v>
      </c>
      <c r="G185">
        <v>280</v>
      </c>
      <c r="H185">
        <v>2017</v>
      </c>
      <c r="J185">
        <v>879</v>
      </c>
      <c r="K185">
        <v>879</v>
      </c>
      <c r="L185">
        <v>1.7730012451264665</v>
      </c>
    </row>
    <row r="186" spans="2:12" x14ac:dyDescent="0.25">
      <c r="B186" s="1" t="s">
        <v>2308</v>
      </c>
      <c r="C186">
        <v>185</v>
      </c>
      <c r="D186" t="s">
        <v>116</v>
      </c>
      <c r="E186" s="1" t="s">
        <v>2058</v>
      </c>
      <c r="F186" s="1" t="s">
        <v>2121</v>
      </c>
      <c r="G186">
        <v>280</v>
      </c>
      <c r="H186">
        <v>2017</v>
      </c>
      <c r="J186">
        <v>879</v>
      </c>
      <c r="K186">
        <v>879</v>
      </c>
      <c r="L186">
        <v>1.7730012427539001</v>
      </c>
    </row>
    <row r="187" spans="2:12" x14ac:dyDescent="0.25">
      <c r="B187" s="1" t="s">
        <v>2309</v>
      </c>
      <c r="C187">
        <v>186</v>
      </c>
      <c r="D187" t="s">
        <v>116</v>
      </c>
      <c r="E187" s="1" t="s">
        <v>2058</v>
      </c>
      <c r="F187" s="1" t="s">
        <v>2121</v>
      </c>
      <c r="G187">
        <v>280</v>
      </c>
      <c r="H187">
        <v>2017</v>
      </c>
      <c r="J187">
        <v>879</v>
      </c>
      <c r="K187">
        <v>879</v>
      </c>
      <c r="L187">
        <v>1.7730006587059295</v>
      </c>
    </row>
    <row r="188" spans="2:12" x14ac:dyDescent="0.25">
      <c r="B188" s="1" t="s">
        <v>2310</v>
      </c>
      <c r="C188">
        <v>187</v>
      </c>
      <c r="D188" t="s">
        <v>116</v>
      </c>
      <c r="E188" s="1" t="s">
        <v>2058</v>
      </c>
      <c r="F188" s="1" t="s">
        <v>2121</v>
      </c>
      <c r="G188">
        <v>280</v>
      </c>
      <c r="H188">
        <v>2017</v>
      </c>
      <c r="J188">
        <v>879</v>
      </c>
      <c r="K188">
        <v>879</v>
      </c>
      <c r="L188">
        <v>1.7730318732605377</v>
      </c>
    </row>
    <row r="189" spans="2:12" x14ac:dyDescent="0.25">
      <c r="B189" s="1" t="s">
        <v>2311</v>
      </c>
      <c r="C189">
        <v>188</v>
      </c>
      <c r="D189" t="s">
        <v>116</v>
      </c>
      <c r="E189" s="1" t="s">
        <v>2058</v>
      </c>
      <c r="F189" s="1" t="s">
        <v>2121</v>
      </c>
      <c r="G189">
        <v>280</v>
      </c>
      <c r="H189">
        <v>2017</v>
      </c>
      <c r="J189">
        <v>879</v>
      </c>
      <c r="K189">
        <v>879</v>
      </c>
      <c r="L189">
        <v>1.7730318732605377</v>
      </c>
    </row>
    <row r="190" spans="2:12" x14ac:dyDescent="0.25">
      <c r="B190" s="1" t="s">
        <v>2312</v>
      </c>
      <c r="C190">
        <v>189</v>
      </c>
      <c r="D190" t="s">
        <v>116</v>
      </c>
      <c r="E190" s="1" t="s">
        <v>2058</v>
      </c>
      <c r="F190" s="1" t="s">
        <v>2121</v>
      </c>
      <c r="G190">
        <v>280</v>
      </c>
      <c r="H190">
        <v>2017</v>
      </c>
      <c r="J190">
        <v>879</v>
      </c>
      <c r="K190">
        <v>879</v>
      </c>
      <c r="L190">
        <v>1.7730006587059295</v>
      </c>
    </row>
    <row r="191" spans="2:12" x14ac:dyDescent="0.25">
      <c r="B191" s="1" t="s">
        <v>2313</v>
      </c>
      <c r="C191">
        <v>190</v>
      </c>
      <c r="D191" t="s">
        <v>116</v>
      </c>
      <c r="E191" s="1" t="s">
        <v>2058</v>
      </c>
      <c r="F191" s="1" t="s">
        <v>2121</v>
      </c>
      <c r="G191">
        <v>280</v>
      </c>
      <c r="H191">
        <v>2017</v>
      </c>
      <c r="J191">
        <v>879</v>
      </c>
      <c r="K191">
        <v>879</v>
      </c>
      <c r="L191">
        <v>1.7730318732605377</v>
      </c>
    </row>
    <row r="192" spans="2:12" x14ac:dyDescent="0.25">
      <c r="B192" s="1" t="s">
        <v>2314</v>
      </c>
      <c r="C192">
        <v>191</v>
      </c>
      <c r="D192" t="s">
        <v>116</v>
      </c>
      <c r="E192" s="1" t="s">
        <v>2058</v>
      </c>
      <c r="F192" s="1" t="s">
        <v>2121</v>
      </c>
      <c r="G192">
        <v>280</v>
      </c>
      <c r="H192">
        <v>2017</v>
      </c>
      <c r="J192">
        <v>879</v>
      </c>
      <c r="K192">
        <v>879</v>
      </c>
      <c r="L192">
        <v>1.7730786107460146</v>
      </c>
    </row>
    <row r="193" spans="2:13" x14ac:dyDescent="0.25">
      <c r="B193" s="1" t="s">
        <v>2315</v>
      </c>
      <c r="C193">
        <v>192</v>
      </c>
      <c r="D193" t="s">
        <v>116</v>
      </c>
      <c r="E193" s="1" t="s">
        <v>2058</v>
      </c>
      <c r="F193" s="1" t="s">
        <v>2121</v>
      </c>
      <c r="G193">
        <v>280</v>
      </c>
      <c r="H193">
        <v>2017</v>
      </c>
      <c r="J193">
        <v>879</v>
      </c>
      <c r="K193">
        <v>879</v>
      </c>
      <c r="L193">
        <v>1.773000638873194</v>
      </c>
    </row>
    <row r="194" spans="2:13" x14ac:dyDescent="0.25">
      <c r="B194" s="1" t="s">
        <v>2316</v>
      </c>
      <c r="C194">
        <v>193</v>
      </c>
      <c r="D194" t="s">
        <v>116</v>
      </c>
      <c r="E194" s="1" t="s">
        <v>2058</v>
      </c>
      <c r="F194" s="1" t="s">
        <v>2121</v>
      </c>
      <c r="G194">
        <v>280</v>
      </c>
      <c r="H194">
        <v>2017</v>
      </c>
      <c r="J194">
        <v>879</v>
      </c>
      <c r="K194">
        <v>879</v>
      </c>
      <c r="L194">
        <v>1.7730006389882214</v>
      </c>
    </row>
    <row r="195" spans="2:13" x14ac:dyDescent="0.25">
      <c r="B195" s="1" t="s">
        <v>2317</v>
      </c>
      <c r="C195">
        <v>194</v>
      </c>
      <c r="D195" t="s">
        <v>116</v>
      </c>
      <c r="E195" s="1" t="s">
        <v>2058</v>
      </c>
      <c r="F195" s="1" t="s">
        <v>2121</v>
      </c>
      <c r="G195">
        <v>280</v>
      </c>
      <c r="H195">
        <v>2017</v>
      </c>
      <c r="J195">
        <v>879</v>
      </c>
      <c r="K195">
        <v>879</v>
      </c>
      <c r="L195">
        <v>1.7730012451264665</v>
      </c>
    </row>
    <row r="196" spans="2:13" x14ac:dyDescent="0.25">
      <c r="B196" s="1" t="s">
        <v>2318</v>
      </c>
      <c r="C196">
        <v>195</v>
      </c>
      <c r="D196" t="s">
        <v>116</v>
      </c>
      <c r="E196" s="1" t="s">
        <v>2058</v>
      </c>
      <c r="F196" s="1" t="s">
        <v>2121</v>
      </c>
      <c r="G196">
        <v>280</v>
      </c>
      <c r="H196">
        <v>2017</v>
      </c>
      <c r="J196">
        <v>879</v>
      </c>
      <c r="K196">
        <v>879</v>
      </c>
      <c r="L196">
        <v>1.7730012427539001</v>
      </c>
    </row>
    <row r="197" spans="2:13" x14ac:dyDescent="0.25">
      <c r="B197" s="1" t="s">
        <v>2319</v>
      </c>
      <c r="C197">
        <v>196</v>
      </c>
      <c r="D197" t="s">
        <v>116</v>
      </c>
      <c r="E197" s="1" t="s">
        <v>2058</v>
      </c>
      <c r="F197" s="1" t="s">
        <v>2121</v>
      </c>
      <c r="G197">
        <v>280</v>
      </c>
      <c r="H197">
        <v>2017</v>
      </c>
      <c r="J197">
        <v>879</v>
      </c>
      <c r="K197">
        <v>879</v>
      </c>
      <c r="L197">
        <v>1.7730006587059295</v>
      </c>
    </row>
    <row r="198" spans="2:13" x14ac:dyDescent="0.25">
      <c r="B198" s="1" t="s">
        <v>2320</v>
      </c>
      <c r="C198">
        <v>197</v>
      </c>
      <c r="D198" t="s">
        <v>116</v>
      </c>
      <c r="E198" s="1" t="s">
        <v>2058</v>
      </c>
      <c r="F198" s="1" t="s">
        <v>2121</v>
      </c>
      <c r="G198">
        <v>280</v>
      </c>
      <c r="H198">
        <v>2017</v>
      </c>
      <c r="J198">
        <v>879</v>
      </c>
      <c r="K198">
        <v>879</v>
      </c>
      <c r="L198">
        <v>1.7730318732605377</v>
      </c>
    </row>
    <row r="199" spans="2:13" x14ac:dyDescent="0.25">
      <c r="B199" s="1" t="s">
        <v>2321</v>
      </c>
      <c r="C199">
        <v>198</v>
      </c>
      <c r="D199" t="s">
        <v>116</v>
      </c>
      <c r="E199" s="1" t="s">
        <v>2058</v>
      </c>
      <c r="F199" s="1" t="s">
        <v>2121</v>
      </c>
      <c r="G199">
        <v>280</v>
      </c>
      <c r="H199">
        <v>2017</v>
      </c>
      <c r="J199">
        <v>879</v>
      </c>
      <c r="K199">
        <v>879</v>
      </c>
      <c r="L199">
        <v>1.7730318732605377</v>
      </c>
    </row>
    <row r="200" spans="2:13" x14ac:dyDescent="0.25">
      <c r="B200" s="1" t="s">
        <v>2322</v>
      </c>
      <c r="C200">
        <v>199</v>
      </c>
      <c r="D200" t="s">
        <v>116</v>
      </c>
      <c r="E200" s="1" t="s">
        <v>2058</v>
      </c>
      <c r="F200" s="1" t="s">
        <v>2121</v>
      </c>
      <c r="G200">
        <v>280</v>
      </c>
      <c r="H200">
        <v>2017</v>
      </c>
      <c r="J200">
        <v>879</v>
      </c>
      <c r="K200">
        <v>879</v>
      </c>
      <c r="L200">
        <v>1.7730006587059295</v>
      </c>
    </row>
    <row r="201" spans="2:13" x14ac:dyDescent="0.25">
      <c r="B201" s="1" t="s">
        <v>2323</v>
      </c>
      <c r="C201">
        <v>200</v>
      </c>
      <c r="D201" t="s">
        <v>116</v>
      </c>
      <c r="E201" s="1" t="s">
        <v>2058</v>
      </c>
      <c r="F201" s="1" t="s">
        <v>2121</v>
      </c>
      <c r="G201">
        <v>280</v>
      </c>
      <c r="H201">
        <v>2017</v>
      </c>
      <c r="J201">
        <v>879</v>
      </c>
      <c r="K201">
        <v>879</v>
      </c>
      <c r="L201">
        <v>1.7730318732605377</v>
      </c>
    </row>
    <row r="202" spans="2:13" x14ac:dyDescent="0.25">
      <c r="B202" s="1" t="s">
        <v>2324</v>
      </c>
      <c r="C202">
        <v>201</v>
      </c>
      <c r="D202" t="s">
        <v>116</v>
      </c>
      <c r="E202" s="1" t="s">
        <v>2058</v>
      </c>
      <c r="F202" s="1" t="s">
        <v>2121</v>
      </c>
      <c r="G202">
        <v>280</v>
      </c>
      <c r="H202">
        <v>2017</v>
      </c>
      <c r="J202">
        <v>879</v>
      </c>
      <c r="K202">
        <v>879</v>
      </c>
      <c r="L202">
        <v>1.7730786107460146</v>
      </c>
    </row>
    <row r="203" spans="2:13" x14ac:dyDescent="0.25">
      <c r="B203" s="1" t="s">
        <v>2325</v>
      </c>
      <c r="C203">
        <v>202</v>
      </c>
      <c r="D203" t="s">
        <v>116</v>
      </c>
      <c r="E203" s="1" t="s">
        <v>2058</v>
      </c>
      <c r="F203" s="1" t="s">
        <v>2121</v>
      </c>
      <c r="G203">
        <v>280</v>
      </c>
      <c r="H203">
        <v>2017</v>
      </c>
      <c r="J203">
        <v>879</v>
      </c>
      <c r="K203">
        <v>879</v>
      </c>
      <c r="L203">
        <v>1.773000638873194</v>
      </c>
    </row>
    <row r="204" spans="2:13" x14ac:dyDescent="0.25">
      <c r="B204" s="1" t="s">
        <v>2343</v>
      </c>
      <c r="C204">
        <v>203</v>
      </c>
      <c r="D204" t="s">
        <v>1196</v>
      </c>
      <c r="E204" s="1" t="s">
        <v>2342</v>
      </c>
      <c r="F204" s="1" t="s">
        <v>2345</v>
      </c>
      <c r="G204">
        <v>80</v>
      </c>
      <c r="H204">
        <v>5169</v>
      </c>
      <c r="I204">
        <v>3010</v>
      </c>
      <c r="M204">
        <v>15.559251155493358</v>
      </c>
    </row>
    <row r="205" spans="2:13" x14ac:dyDescent="0.25">
      <c r="B205" s="1" t="s">
        <v>2344</v>
      </c>
      <c r="C205">
        <v>204</v>
      </c>
      <c r="D205" t="s">
        <v>1196</v>
      </c>
      <c r="E205" s="1" t="s">
        <v>2342</v>
      </c>
      <c r="F205" s="1" t="s">
        <v>2345</v>
      </c>
      <c r="G205">
        <v>80</v>
      </c>
      <c r="H205">
        <v>5169</v>
      </c>
      <c r="I205">
        <v>1158</v>
      </c>
      <c r="M205">
        <v>5.9835279764053455</v>
      </c>
    </row>
  </sheetData>
  <phoneticPr fontId="13" type="noConversion"/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Arkusz13"/>
  <dimension ref="A1:Q31"/>
  <sheetViews>
    <sheetView zoomScale="85" zoomScaleNormal="85" workbookViewId="0">
      <pane ySplit="1" topLeftCell="A23" activePane="bottomLeft" state="frozen"/>
      <selection pane="bottomLeft" activeCell="F11" sqref="F11"/>
    </sheetView>
  </sheetViews>
  <sheetFormatPr defaultColWidth="9" defaultRowHeight="15" x14ac:dyDescent="0.25"/>
  <cols>
    <col min="1" max="1" width="18.28515625" style="34" bestFit="1" customWidth="1"/>
    <col min="2" max="2" width="17.85546875" style="35" customWidth="1"/>
    <col min="3" max="3" width="20.85546875" style="35" bestFit="1" customWidth="1"/>
    <col min="4" max="4" width="13.7109375" style="34" bestFit="1" customWidth="1"/>
    <col min="5" max="5" width="11.7109375" style="35" bestFit="1" customWidth="1"/>
    <col min="6" max="6" width="10.28515625" style="35" bestFit="1" customWidth="1"/>
    <col min="7" max="7" width="12.140625" style="36" bestFit="1" customWidth="1"/>
    <col min="8" max="8" width="11.28515625" style="35" bestFit="1" customWidth="1"/>
    <col min="9" max="9" width="11.7109375" style="35" bestFit="1" customWidth="1"/>
    <col min="10" max="10" width="13.85546875" style="35" bestFit="1" customWidth="1"/>
    <col min="11" max="11" width="18.42578125" style="35" bestFit="1" customWidth="1"/>
    <col min="12" max="12" width="15" style="35" bestFit="1" customWidth="1"/>
    <col min="13" max="13" width="17.85546875" style="37" bestFit="1" customWidth="1"/>
    <col min="14" max="14" width="20" style="35" bestFit="1" customWidth="1"/>
    <col min="15" max="15" width="15.5703125" style="35" bestFit="1" customWidth="1"/>
    <col min="16" max="16" width="16" style="35" bestFit="1" customWidth="1"/>
    <col min="17" max="17" width="15" style="35" bestFit="1" customWidth="1"/>
    <col min="18" max="16384" width="9" style="34"/>
  </cols>
  <sheetData>
    <row r="1" spans="1:17" ht="63.2" customHeight="1" x14ac:dyDescent="0.25">
      <c r="A1" s="30" t="s">
        <v>32</v>
      </c>
      <c r="B1" s="201" t="s">
        <v>19</v>
      </c>
      <c r="C1" s="202" t="s">
        <v>61</v>
      </c>
      <c r="D1" s="202" t="s">
        <v>14</v>
      </c>
      <c r="E1" s="30" t="s">
        <v>2330</v>
      </c>
      <c r="F1" s="30" t="s">
        <v>73</v>
      </c>
      <c r="G1" s="30" t="s">
        <v>21</v>
      </c>
      <c r="H1" s="30" t="s">
        <v>1</v>
      </c>
      <c r="I1" s="30" t="s">
        <v>2</v>
      </c>
      <c r="J1" s="30" t="s">
        <v>20</v>
      </c>
      <c r="K1" s="32" t="s">
        <v>31</v>
      </c>
      <c r="L1" s="30" t="s">
        <v>25</v>
      </c>
      <c r="M1" s="33" t="s">
        <v>26</v>
      </c>
      <c r="N1" s="30" t="s">
        <v>22</v>
      </c>
      <c r="O1" s="30" t="s">
        <v>24</v>
      </c>
      <c r="P1" s="30" t="s">
        <v>40</v>
      </c>
      <c r="Q1" s="30" t="s">
        <v>23</v>
      </c>
    </row>
    <row r="2" spans="1:17" x14ac:dyDescent="0.25">
      <c r="A2">
        <v>1</v>
      </c>
      <c r="B2" s="173" t="s">
        <v>2295</v>
      </c>
      <c r="C2" s="86" t="s">
        <v>152</v>
      </c>
      <c r="D2" s="173">
        <v>1</v>
      </c>
      <c r="E2" s="173" t="s">
        <v>2327</v>
      </c>
      <c r="F2" s="171">
        <v>1</v>
      </c>
      <c r="G2" s="155">
        <v>79</v>
      </c>
      <c r="H2" s="155">
        <v>918</v>
      </c>
      <c r="I2" s="155">
        <v>2057</v>
      </c>
      <c r="J2" s="206">
        <v>1.8874862029372668</v>
      </c>
      <c r="K2" s="207">
        <v>44589</v>
      </c>
      <c r="L2" s="207">
        <v>44589</v>
      </c>
      <c r="M2" s="207">
        <v>44589</v>
      </c>
      <c r="O2" s="38"/>
      <c r="P2" s="39" t="str">
        <f>IF(Harm_prod_stolarnia[[#This Row],[Data wykonania]]&lt;&gt;0,"WYKONANE","NIEWYKONANE")</f>
        <v>NIEWYKONANE</v>
      </c>
    </row>
    <row r="3" spans="1:17" x14ac:dyDescent="0.25">
      <c r="A3">
        <v>2</v>
      </c>
      <c r="B3" s="173" t="s">
        <v>2294</v>
      </c>
      <c r="C3" s="86" t="s">
        <v>152</v>
      </c>
      <c r="D3" s="173">
        <v>1</v>
      </c>
      <c r="E3" s="173" t="s">
        <v>2327</v>
      </c>
      <c r="F3" s="171">
        <v>1</v>
      </c>
      <c r="G3" s="155">
        <v>79</v>
      </c>
      <c r="H3" s="155">
        <v>918</v>
      </c>
      <c r="I3" s="155">
        <v>2057</v>
      </c>
      <c r="J3" s="206">
        <v>1.8874861873824706</v>
      </c>
      <c r="K3" s="207">
        <v>44589</v>
      </c>
      <c r="L3" s="207">
        <v>44589</v>
      </c>
      <c r="M3" s="207">
        <v>44589</v>
      </c>
      <c r="O3" s="38"/>
      <c r="P3" s="39" t="str">
        <f>IF(Harm_prod_stolarnia[[#This Row],[Data wykonania]]&lt;&gt;0,"WYKONANE","NIEWYKONANE")</f>
        <v>NIEWYKONANE</v>
      </c>
    </row>
    <row r="4" spans="1:17" x14ac:dyDescent="0.25">
      <c r="A4">
        <v>3</v>
      </c>
      <c r="B4" s="173" t="s">
        <v>2293</v>
      </c>
      <c r="C4" s="86" t="s">
        <v>152</v>
      </c>
      <c r="D4" s="173">
        <v>1</v>
      </c>
      <c r="E4" s="173" t="s">
        <v>2327</v>
      </c>
      <c r="F4" s="171">
        <v>1</v>
      </c>
      <c r="G4" s="155">
        <v>79</v>
      </c>
      <c r="H4" s="155">
        <v>918</v>
      </c>
      <c r="I4" s="155">
        <v>2057</v>
      </c>
      <c r="J4" s="206">
        <v>1.8874861873824706</v>
      </c>
      <c r="K4" s="207">
        <v>44589</v>
      </c>
      <c r="L4" s="207">
        <v>44589</v>
      </c>
      <c r="M4" s="207">
        <v>44589</v>
      </c>
      <c r="O4" s="38"/>
      <c r="P4" s="39" t="str">
        <f>IF(Harm_prod_stolarnia[[#This Row],[Data wykonania]]&lt;&gt;0,"WYKONANE","NIEWYKONANE")</f>
        <v>NIEWYKONANE</v>
      </c>
    </row>
    <row r="5" spans="1:17" x14ac:dyDescent="0.25">
      <c r="A5">
        <v>4</v>
      </c>
      <c r="B5" s="173" t="s">
        <v>2292</v>
      </c>
      <c r="C5" s="86" t="s">
        <v>152</v>
      </c>
      <c r="D5" s="173">
        <v>1</v>
      </c>
      <c r="E5" s="173" t="s">
        <v>2327</v>
      </c>
      <c r="F5" s="171">
        <v>1</v>
      </c>
      <c r="G5" s="155">
        <v>79</v>
      </c>
      <c r="H5" s="155">
        <v>918</v>
      </c>
      <c r="I5" s="155">
        <v>2057</v>
      </c>
      <c r="J5" s="206">
        <v>1.8874861873824706</v>
      </c>
      <c r="K5" s="207">
        <v>44589</v>
      </c>
      <c r="L5" s="207">
        <v>44589</v>
      </c>
      <c r="M5" s="207">
        <v>44589</v>
      </c>
      <c r="O5" s="159"/>
      <c r="P5" s="39" t="str">
        <f>IF(Harm_prod_stolarnia[[#This Row],[Data wykonania]]&lt;&gt;0,"WYKONANE","NIEWYKONANE")</f>
        <v>NIEWYKONANE</v>
      </c>
    </row>
    <row r="6" spans="1:17" x14ac:dyDescent="0.25">
      <c r="A6" s="197">
        <v>5</v>
      </c>
      <c r="B6" s="203" t="s">
        <v>2291</v>
      </c>
      <c r="C6" s="204" t="s">
        <v>152</v>
      </c>
      <c r="D6" s="203">
        <v>1</v>
      </c>
      <c r="E6" s="203" t="s">
        <v>2327</v>
      </c>
      <c r="F6" s="205">
        <v>1</v>
      </c>
      <c r="G6" s="183">
        <v>79</v>
      </c>
      <c r="H6" s="198">
        <v>918</v>
      </c>
      <c r="I6" s="198">
        <v>2057</v>
      </c>
      <c r="J6" s="199">
        <v>1.8874861873824706</v>
      </c>
      <c r="K6" s="207">
        <v>44589</v>
      </c>
      <c r="L6" s="207">
        <v>44589</v>
      </c>
      <c r="M6" s="207">
        <v>44589</v>
      </c>
      <c r="O6" s="38"/>
      <c r="P6" s="200" t="str">
        <f>IF(Harm_prod_stolarnia[[#This Row],[Data wykonania]]&lt;&gt;0,"WYKONANE","NIEWYKONANE")</f>
        <v>NIEWYKONANE</v>
      </c>
    </row>
    <row r="7" spans="1:17" x14ac:dyDescent="0.25">
      <c r="A7" s="197">
        <v>6</v>
      </c>
      <c r="B7" s="203" t="s">
        <v>2290</v>
      </c>
      <c r="C7" s="204" t="s">
        <v>152</v>
      </c>
      <c r="D7" s="203">
        <v>1</v>
      </c>
      <c r="E7" s="203" t="s">
        <v>2327</v>
      </c>
      <c r="F7" s="205">
        <v>1</v>
      </c>
      <c r="G7" s="183">
        <v>79</v>
      </c>
      <c r="H7" s="198">
        <v>918</v>
      </c>
      <c r="I7" s="198">
        <v>2057</v>
      </c>
      <c r="J7" s="199">
        <v>1.8874861873824706</v>
      </c>
      <c r="K7" s="207">
        <v>44589</v>
      </c>
      <c r="L7" s="207">
        <v>44589</v>
      </c>
      <c r="M7" s="207">
        <v>44589</v>
      </c>
      <c r="O7" s="38"/>
      <c r="P7" s="200" t="str">
        <f>IF(Harm_prod_stolarnia[[#This Row],[Data wykonania]]&lt;&gt;0,"WYKONANE","NIEWYKONANE")</f>
        <v>NIEWYKONANE</v>
      </c>
    </row>
    <row r="8" spans="1:17" x14ac:dyDescent="0.25">
      <c r="A8" s="197">
        <v>7</v>
      </c>
      <c r="B8" s="203" t="s">
        <v>2289</v>
      </c>
      <c r="C8" s="204" t="s">
        <v>152</v>
      </c>
      <c r="D8" s="203">
        <v>1</v>
      </c>
      <c r="E8" s="203" t="s">
        <v>2327</v>
      </c>
      <c r="F8" s="205">
        <v>1</v>
      </c>
      <c r="G8" s="183">
        <v>79</v>
      </c>
      <c r="H8" s="198">
        <v>918</v>
      </c>
      <c r="I8" s="198">
        <v>2057</v>
      </c>
      <c r="J8" s="199">
        <v>1.8874861873824706</v>
      </c>
      <c r="K8" s="207">
        <v>44589</v>
      </c>
      <c r="L8" s="207">
        <v>44589</v>
      </c>
      <c r="M8" s="207">
        <v>44589</v>
      </c>
      <c r="O8" s="38"/>
      <c r="P8" s="200" t="str">
        <f>IF(Harm_prod_stolarnia[[#This Row],[Data wykonania]]&lt;&gt;0,"WYKONANE","NIEWYKONANE")</f>
        <v>NIEWYKONANE</v>
      </c>
    </row>
    <row r="9" spans="1:17" x14ac:dyDescent="0.25">
      <c r="A9" s="197">
        <v>8</v>
      </c>
      <c r="B9" s="203" t="s">
        <v>2288</v>
      </c>
      <c r="C9" s="204" t="s">
        <v>152</v>
      </c>
      <c r="D9" s="203">
        <v>1</v>
      </c>
      <c r="E9" s="203" t="s">
        <v>2327</v>
      </c>
      <c r="F9" s="205">
        <v>1</v>
      </c>
      <c r="G9" s="183">
        <v>79</v>
      </c>
      <c r="H9" s="198">
        <v>918</v>
      </c>
      <c r="I9" s="198">
        <v>2057</v>
      </c>
      <c r="J9" s="199">
        <v>1.8874861873824706</v>
      </c>
      <c r="K9" s="207">
        <v>44589</v>
      </c>
      <c r="L9" s="207">
        <v>44589</v>
      </c>
      <c r="M9" s="207">
        <v>44589</v>
      </c>
      <c r="O9" s="38"/>
      <c r="P9" s="200" t="str">
        <f>IF(Harm_prod_stolarnia[[#This Row],[Data wykonania]]&lt;&gt;0,"WYKONANE","NIEWYKONANE")</f>
        <v>NIEWYKONANE</v>
      </c>
    </row>
    <row r="10" spans="1:17" x14ac:dyDescent="0.25">
      <c r="A10" s="197">
        <v>9</v>
      </c>
      <c r="B10" s="203" t="s">
        <v>2287</v>
      </c>
      <c r="C10" s="204" t="s">
        <v>152</v>
      </c>
      <c r="D10" s="203">
        <v>1</v>
      </c>
      <c r="E10" s="203" t="s">
        <v>2327</v>
      </c>
      <c r="F10" s="205">
        <v>1</v>
      </c>
      <c r="G10" s="183">
        <v>79</v>
      </c>
      <c r="H10" s="198">
        <v>918</v>
      </c>
      <c r="I10" s="198">
        <v>2057</v>
      </c>
      <c r="J10" s="199">
        <v>1.887486185352425</v>
      </c>
      <c r="K10" s="207">
        <v>44589</v>
      </c>
      <c r="L10" s="207">
        <v>44589</v>
      </c>
      <c r="M10" s="207">
        <v>44589</v>
      </c>
      <c r="O10" s="38"/>
      <c r="P10" s="200" t="str">
        <f>IF(Harm_prod_stolarnia[[#This Row],[Data wykonania]]&lt;&gt;0,"WYKONANE","NIEWYKONANE")</f>
        <v>NIEWYKONANE</v>
      </c>
    </row>
    <row r="11" spans="1:17" x14ac:dyDescent="0.25">
      <c r="A11" s="197">
        <v>10</v>
      </c>
      <c r="B11" s="203" t="s">
        <v>2286</v>
      </c>
      <c r="C11" s="204" t="s">
        <v>152</v>
      </c>
      <c r="D11" s="203">
        <v>1</v>
      </c>
      <c r="E11" s="203" t="s">
        <v>2327</v>
      </c>
      <c r="F11" s="205">
        <v>1</v>
      </c>
      <c r="G11" s="183">
        <v>79</v>
      </c>
      <c r="H11" s="198">
        <v>918</v>
      </c>
      <c r="I11" s="198">
        <v>2057</v>
      </c>
      <c r="J11" s="199">
        <v>1.887486185352425</v>
      </c>
      <c r="K11" s="207">
        <v>44589</v>
      </c>
      <c r="L11" s="207">
        <v>44589</v>
      </c>
      <c r="M11" s="207">
        <v>44589</v>
      </c>
      <c r="O11" s="38"/>
      <c r="P11" s="200" t="str">
        <f>IF(Harm_prod_stolarnia[[#This Row],[Data wykonania]]&lt;&gt;0,"WYKONANE","NIEWYKONANE")</f>
        <v>NIEWYKONANE</v>
      </c>
    </row>
    <row r="12" spans="1:17" x14ac:dyDescent="0.25">
      <c r="A12" s="197">
        <v>11</v>
      </c>
      <c r="B12" s="203" t="s">
        <v>2285</v>
      </c>
      <c r="C12" s="204" t="s">
        <v>152</v>
      </c>
      <c r="D12" s="203">
        <v>1</v>
      </c>
      <c r="E12" s="203" t="s">
        <v>2328</v>
      </c>
      <c r="F12" s="205">
        <v>1</v>
      </c>
      <c r="G12" s="183">
        <v>79</v>
      </c>
      <c r="H12" s="198">
        <v>918</v>
      </c>
      <c r="I12" s="198">
        <v>2057</v>
      </c>
      <c r="J12" s="199">
        <v>1.8874862029372668</v>
      </c>
      <c r="K12" s="207">
        <v>44589</v>
      </c>
      <c r="L12" s="207">
        <v>44589</v>
      </c>
      <c r="M12" s="207">
        <v>44589</v>
      </c>
      <c r="O12" s="38"/>
      <c r="P12" s="200" t="str">
        <f>IF(Harm_prod_stolarnia[[#This Row],[Data wykonania]]&lt;&gt;0,"WYKONANE","NIEWYKONANE")</f>
        <v>NIEWYKONANE</v>
      </c>
    </row>
    <row r="13" spans="1:17" x14ac:dyDescent="0.25">
      <c r="A13" s="197">
        <v>12</v>
      </c>
      <c r="B13" s="203" t="s">
        <v>2284</v>
      </c>
      <c r="C13" s="204" t="s">
        <v>152</v>
      </c>
      <c r="D13" s="203">
        <v>1</v>
      </c>
      <c r="E13" s="203" t="s">
        <v>2328</v>
      </c>
      <c r="F13" s="205">
        <v>1</v>
      </c>
      <c r="G13" s="183">
        <v>79</v>
      </c>
      <c r="H13" s="198">
        <v>918</v>
      </c>
      <c r="I13" s="198">
        <v>2057</v>
      </c>
      <c r="J13" s="199">
        <v>1.8874861873824706</v>
      </c>
      <c r="K13" s="207">
        <v>44589</v>
      </c>
      <c r="L13" s="207">
        <v>44589</v>
      </c>
      <c r="M13" s="207">
        <v>44589</v>
      </c>
      <c r="O13" s="38"/>
      <c r="P13" s="200" t="str">
        <f>IF(Harm_prod_stolarnia[[#This Row],[Data wykonania]]&lt;&gt;0,"WYKONANE","NIEWYKONANE")</f>
        <v>NIEWYKONANE</v>
      </c>
    </row>
    <row r="14" spans="1:17" x14ac:dyDescent="0.25">
      <c r="A14" s="197">
        <v>13</v>
      </c>
      <c r="B14" s="203" t="s">
        <v>2283</v>
      </c>
      <c r="C14" s="204" t="s">
        <v>152</v>
      </c>
      <c r="D14" s="203">
        <v>1</v>
      </c>
      <c r="E14" s="203" t="s">
        <v>2328</v>
      </c>
      <c r="F14" s="205">
        <v>1</v>
      </c>
      <c r="G14" s="183">
        <v>79</v>
      </c>
      <c r="H14" s="198">
        <v>918</v>
      </c>
      <c r="I14" s="198">
        <v>2057</v>
      </c>
      <c r="J14" s="199">
        <v>1.8874861873824706</v>
      </c>
      <c r="K14" s="207">
        <v>44589</v>
      </c>
      <c r="L14" s="207">
        <v>44589</v>
      </c>
      <c r="M14" s="207">
        <v>44589</v>
      </c>
      <c r="O14" s="38"/>
      <c r="P14" s="200" t="str">
        <f>IF(Harm_prod_stolarnia[[#This Row],[Data wykonania]]&lt;&gt;0,"WYKONANE","NIEWYKONANE")</f>
        <v>NIEWYKONANE</v>
      </c>
    </row>
    <row r="15" spans="1:17" x14ac:dyDescent="0.25">
      <c r="A15" s="197">
        <v>14</v>
      </c>
      <c r="B15" s="203" t="s">
        <v>2282</v>
      </c>
      <c r="C15" s="204" t="s">
        <v>152</v>
      </c>
      <c r="D15" s="203">
        <v>1</v>
      </c>
      <c r="E15" s="203" t="s">
        <v>2328</v>
      </c>
      <c r="F15" s="205">
        <v>1</v>
      </c>
      <c r="G15" s="183">
        <v>79</v>
      </c>
      <c r="H15" s="198">
        <v>918</v>
      </c>
      <c r="I15" s="198">
        <v>2057</v>
      </c>
      <c r="J15" s="199">
        <v>1.8874861873824706</v>
      </c>
      <c r="K15" s="207">
        <v>44589</v>
      </c>
      <c r="L15" s="207">
        <v>44589</v>
      </c>
      <c r="M15" s="207">
        <v>44589</v>
      </c>
      <c r="O15" s="38"/>
      <c r="P15" s="200" t="str">
        <f>IF(Harm_prod_stolarnia[[#This Row],[Data wykonania]]&lt;&gt;0,"WYKONANE","NIEWYKONANE")</f>
        <v>NIEWYKONANE</v>
      </c>
    </row>
    <row r="16" spans="1:17" x14ac:dyDescent="0.25">
      <c r="A16" s="197">
        <v>15</v>
      </c>
      <c r="B16" s="203" t="s">
        <v>2281</v>
      </c>
      <c r="C16" s="204" t="s">
        <v>152</v>
      </c>
      <c r="D16" s="203">
        <v>1</v>
      </c>
      <c r="E16" s="203" t="s">
        <v>2328</v>
      </c>
      <c r="F16" s="205">
        <v>1</v>
      </c>
      <c r="G16" s="183">
        <v>79</v>
      </c>
      <c r="H16" s="198">
        <v>918</v>
      </c>
      <c r="I16" s="198">
        <v>2057</v>
      </c>
      <c r="J16" s="199">
        <v>1.8874861873824706</v>
      </c>
      <c r="K16" s="207">
        <v>44589</v>
      </c>
      <c r="L16" s="207">
        <v>44589</v>
      </c>
      <c r="M16" s="207">
        <v>44589</v>
      </c>
      <c r="O16" s="38"/>
      <c r="P16" s="200" t="str">
        <f>IF(Harm_prod_stolarnia[[#This Row],[Data wykonania]]&lt;&gt;0,"WYKONANE","NIEWYKONANE")</f>
        <v>NIEWYKONANE</v>
      </c>
    </row>
    <row r="17" spans="1:16" x14ac:dyDescent="0.25">
      <c r="A17" s="197">
        <v>16</v>
      </c>
      <c r="B17" s="203" t="s">
        <v>2280</v>
      </c>
      <c r="C17" s="204" t="s">
        <v>152</v>
      </c>
      <c r="D17" s="203">
        <v>1</v>
      </c>
      <c r="E17" s="203" t="s">
        <v>2328</v>
      </c>
      <c r="F17" s="205">
        <v>1</v>
      </c>
      <c r="G17" s="183">
        <v>79</v>
      </c>
      <c r="H17" s="198">
        <v>918</v>
      </c>
      <c r="I17" s="198">
        <v>2057</v>
      </c>
      <c r="J17" s="199">
        <v>1.8874861873824706</v>
      </c>
      <c r="K17" s="207">
        <v>44589</v>
      </c>
      <c r="L17" s="207">
        <v>44589</v>
      </c>
      <c r="M17" s="207">
        <v>44589</v>
      </c>
      <c r="O17" s="38"/>
      <c r="P17" s="200" t="str">
        <f>IF(Harm_prod_stolarnia[[#This Row],[Data wykonania]]&lt;&gt;0,"WYKONANE","NIEWYKONANE")</f>
        <v>NIEWYKONANE</v>
      </c>
    </row>
    <row r="18" spans="1:16" x14ac:dyDescent="0.25">
      <c r="A18" s="197">
        <v>17</v>
      </c>
      <c r="B18" s="203" t="s">
        <v>2279</v>
      </c>
      <c r="C18" s="204" t="s">
        <v>152</v>
      </c>
      <c r="D18" s="203">
        <v>1</v>
      </c>
      <c r="E18" s="203" t="s">
        <v>2328</v>
      </c>
      <c r="F18" s="205">
        <v>1</v>
      </c>
      <c r="G18" s="183">
        <v>79</v>
      </c>
      <c r="H18" s="198">
        <v>918</v>
      </c>
      <c r="I18" s="198">
        <v>2057</v>
      </c>
      <c r="J18" s="199">
        <v>1.8874861873824706</v>
      </c>
      <c r="K18" s="207">
        <v>44589</v>
      </c>
      <c r="L18" s="207">
        <v>44589</v>
      </c>
      <c r="M18" s="207">
        <v>44589</v>
      </c>
      <c r="O18" s="38"/>
      <c r="P18" s="200" t="str">
        <f>IF(Harm_prod_stolarnia[[#This Row],[Data wykonania]]&lt;&gt;0,"WYKONANE","NIEWYKONANE")</f>
        <v>NIEWYKONANE</v>
      </c>
    </row>
    <row r="19" spans="1:16" x14ac:dyDescent="0.25">
      <c r="A19" s="197">
        <v>18</v>
      </c>
      <c r="B19" s="203" t="s">
        <v>2278</v>
      </c>
      <c r="C19" s="204" t="s">
        <v>152</v>
      </c>
      <c r="D19" s="203">
        <v>1</v>
      </c>
      <c r="E19" s="203" t="s">
        <v>2328</v>
      </c>
      <c r="F19" s="205">
        <v>1</v>
      </c>
      <c r="G19" s="183">
        <v>79</v>
      </c>
      <c r="H19" s="198">
        <v>918</v>
      </c>
      <c r="I19" s="198">
        <v>2057</v>
      </c>
      <c r="J19" s="199">
        <v>1.8874861873824706</v>
      </c>
      <c r="K19" s="207">
        <v>44589</v>
      </c>
      <c r="L19" s="207">
        <v>44589</v>
      </c>
      <c r="M19" s="207">
        <v>44589</v>
      </c>
      <c r="O19" s="38"/>
      <c r="P19" s="200" t="str">
        <f>IF(Harm_prod_stolarnia[[#This Row],[Data wykonania]]&lt;&gt;0,"WYKONANE","NIEWYKONANE")</f>
        <v>NIEWYKONANE</v>
      </c>
    </row>
    <row r="20" spans="1:16" x14ac:dyDescent="0.25">
      <c r="A20" s="197">
        <v>19</v>
      </c>
      <c r="B20" s="203" t="s">
        <v>2277</v>
      </c>
      <c r="C20" s="204" t="s">
        <v>152</v>
      </c>
      <c r="D20" s="203">
        <v>1</v>
      </c>
      <c r="E20" s="203" t="s">
        <v>2328</v>
      </c>
      <c r="F20" s="205">
        <v>1</v>
      </c>
      <c r="G20" s="183">
        <v>79</v>
      </c>
      <c r="H20" s="198">
        <v>918</v>
      </c>
      <c r="I20" s="198">
        <v>2057</v>
      </c>
      <c r="J20" s="199">
        <v>1.887486185352425</v>
      </c>
      <c r="K20" s="207">
        <v>44589</v>
      </c>
      <c r="L20" s="207">
        <v>44589</v>
      </c>
      <c r="M20" s="207">
        <v>44589</v>
      </c>
      <c r="O20" s="38"/>
      <c r="P20" s="200" t="str">
        <f>IF(Harm_prod_stolarnia[[#This Row],[Data wykonania]]&lt;&gt;0,"WYKONANE","NIEWYKONANE")</f>
        <v>NIEWYKONANE</v>
      </c>
    </row>
    <row r="21" spans="1:16" x14ac:dyDescent="0.25">
      <c r="A21" s="197">
        <v>20</v>
      </c>
      <c r="B21" s="203" t="s">
        <v>2276</v>
      </c>
      <c r="C21" s="204" t="s">
        <v>152</v>
      </c>
      <c r="D21" s="203">
        <v>1</v>
      </c>
      <c r="E21" s="203" t="s">
        <v>2328</v>
      </c>
      <c r="F21" s="205">
        <v>1</v>
      </c>
      <c r="G21" s="183">
        <v>79</v>
      </c>
      <c r="H21" s="198">
        <v>918</v>
      </c>
      <c r="I21" s="198">
        <v>2057</v>
      </c>
      <c r="J21" s="199">
        <v>1.887486185352425</v>
      </c>
      <c r="K21" s="207">
        <v>44589</v>
      </c>
      <c r="L21" s="207">
        <v>44589</v>
      </c>
      <c r="M21" s="207">
        <v>44589</v>
      </c>
      <c r="O21" s="38"/>
      <c r="P21" s="200" t="str">
        <f>IF(Harm_prod_stolarnia[[#This Row],[Data wykonania]]&lt;&gt;0,"WYKONANE","NIEWYKONANE")</f>
        <v>NIEWYKONANE</v>
      </c>
    </row>
    <row r="22" spans="1:16" x14ac:dyDescent="0.25">
      <c r="A22" s="197">
        <v>21</v>
      </c>
      <c r="B22" s="203" t="s">
        <v>2275</v>
      </c>
      <c r="C22" s="204" t="s">
        <v>152</v>
      </c>
      <c r="D22" s="203">
        <v>1</v>
      </c>
      <c r="E22" s="203" t="s">
        <v>2329</v>
      </c>
      <c r="F22" s="205">
        <v>1</v>
      </c>
      <c r="G22" s="183">
        <v>79</v>
      </c>
      <c r="H22" s="198">
        <v>918</v>
      </c>
      <c r="I22" s="198">
        <v>2057</v>
      </c>
      <c r="J22" s="199">
        <v>1.8874862029372668</v>
      </c>
      <c r="K22" s="207">
        <v>44589</v>
      </c>
      <c r="L22" s="207">
        <v>44589</v>
      </c>
      <c r="M22" s="207">
        <v>44589</v>
      </c>
      <c r="O22" s="38"/>
      <c r="P22" s="200" t="str">
        <f>IF(Harm_prod_stolarnia[[#This Row],[Data wykonania]]&lt;&gt;0,"WYKONANE","NIEWYKONANE")</f>
        <v>NIEWYKONANE</v>
      </c>
    </row>
    <row r="23" spans="1:16" x14ac:dyDescent="0.25">
      <c r="A23" s="197">
        <v>22</v>
      </c>
      <c r="B23" s="203" t="s">
        <v>2274</v>
      </c>
      <c r="C23" s="204" t="s">
        <v>152</v>
      </c>
      <c r="D23" s="203">
        <v>1</v>
      </c>
      <c r="E23" s="203" t="s">
        <v>2329</v>
      </c>
      <c r="F23" s="205">
        <v>1</v>
      </c>
      <c r="G23" s="183">
        <v>79</v>
      </c>
      <c r="H23" s="198">
        <v>918</v>
      </c>
      <c r="I23" s="198">
        <v>2057</v>
      </c>
      <c r="J23" s="199">
        <v>1.8874861873824706</v>
      </c>
      <c r="K23" s="207">
        <v>44589</v>
      </c>
      <c r="L23" s="207">
        <v>44589</v>
      </c>
      <c r="M23" s="207">
        <v>44589</v>
      </c>
      <c r="O23" s="38"/>
      <c r="P23" s="200" t="str">
        <f>IF(Harm_prod_stolarnia[[#This Row],[Data wykonania]]&lt;&gt;0,"WYKONANE","NIEWYKONANE")</f>
        <v>NIEWYKONANE</v>
      </c>
    </row>
    <row r="24" spans="1:16" x14ac:dyDescent="0.25">
      <c r="A24" s="197">
        <v>23</v>
      </c>
      <c r="B24" s="203" t="s">
        <v>2273</v>
      </c>
      <c r="C24" s="204" t="s">
        <v>152</v>
      </c>
      <c r="D24" s="203">
        <v>1</v>
      </c>
      <c r="E24" s="203" t="s">
        <v>2329</v>
      </c>
      <c r="F24" s="205">
        <v>1</v>
      </c>
      <c r="G24" s="183">
        <v>79</v>
      </c>
      <c r="H24" s="198">
        <v>918</v>
      </c>
      <c r="I24" s="198">
        <v>2057</v>
      </c>
      <c r="J24" s="199">
        <v>1.8874861873824706</v>
      </c>
      <c r="K24" s="207">
        <v>44589</v>
      </c>
      <c r="L24" s="207">
        <v>44589</v>
      </c>
      <c r="M24" s="207">
        <v>44589</v>
      </c>
      <c r="O24" s="38"/>
      <c r="P24" s="200" t="str">
        <f>IF(Harm_prod_stolarnia[[#This Row],[Data wykonania]]&lt;&gt;0,"WYKONANE","NIEWYKONANE")</f>
        <v>NIEWYKONANE</v>
      </c>
    </row>
    <row r="25" spans="1:16" x14ac:dyDescent="0.25">
      <c r="A25" s="197">
        <v>24</v>
      </c>
      <c r="B25" s="203" t="s">
        <v>2272</v>
      </c>
      <c r="C25" s="204" t="s">
        <v>152</v>
      </c>
      <c r="D25" s="203">
        <v>1</v>
      </c>
      <c r="E25" s="203" t="s">
        <v>2329</v>
      </c>
      <c r="F25" s="205">
        <v>1</v>
      </c>
      <c r="G25" s="183">
        <v>79</v>
      </c>
      <c r="H25" s="198">
        <v>918</v>
      </c>
      <c r="I25" s="198">
        <v>2057</v>
      </c>
      <c r="J25" s="199">
        <v>1.8874861873824706</v>
      </c>
      <c r="K25" s="207">
        <v>44589</v>
      </c>
      <c r="L25" s="207">
        <v>44589</v>
      </c>
      <c r="M25" s="207">
        <v>44589</v>
      </c>
      <c r="O25" s="38"/>
      <c r="P25" s="200" t="str">
        <f>IF(Harm_prod_stolarnia[[#This Row],[Data wykonania]]&lt;&gt;0,"WYKONANE","NIEWYKONANE")</f>
        <v>NIEWYKONANE</v>
      </c>
    </row>
    <row r="26" spans="1:16" x14ac:dyDescent="0.25">
      <c r="A26" s="197">
        <v>25</v>
      </c>
      <c r="B26" s="203" t="s">
        <v>2271</v>
      </c>
      <c r="C26" s="204" t="s">
        <v>152</v>
      </c>
      <c r="D26" s="203">
        <v>1</v>
      </c>
      <c r="E26" s="203" t="s">
        <v>2329</v>
      </c>
      <c r="F26" s="205">
        <v>1</v>
      </c>
      <c r="G26" s="183">
        <v>79</v>
      </c>
      <c r="H26" s="198">
        <v>918</v>
      </c>
      <c r="I26" s="198">
        <v>2057</v>
      </c>
      <c r="J26" s="199">
        <v>1.8874861873824706</v>
      </c>
      <c r="K26" s="207">
        <v>44589</v>
      </c>
      <c r="L26" s="207">
        <v>44589</v>
      </c>
      <c r="M26" s="207">
        <v>44589</v>
      </c>
      <c r="O26" s="38"/>
      <c r="P26" s="200" t="str">
        <f>IF(Harm_prod_stolarnia[[#This Row],[Data wykonania]]&lt;&gt;0,"WYKONANE","NIEWYKONANE")</f>
        <v>NIEWYKONANE</v>
      </c>
    </row>
    <row r="27" spans="1:16" x14ac:dyDescent="0.25">
      <c r="A27" s="197">
        <v>26</v>
      </c>
      <c r="B27" s="203" t="s">
        <v>2270</v>
      </c>
      <c r="C27" s="204" t="s">
        <v>152</v>
      </c>
      <c r="D27" s="203">
        <v>1</v>
      </c>
      <c r="E27" s="203" t="s">
        <v>2329</v>
      </c>
      <c r="F27" s="205">
        <v>1</v>
      </c>
      <c r="G27" s="183">
        <v>79</v>
      </c>
      <c r="H27" s="198">
        <v>918</v>
      </c>
      <c r="I27" s="198">
        <v>2057</v>
      </c>
      <c r="J27" s="199">
        <v>1.8874861873824706</v>
      </c>
      <c r="K27" s="207">
        <v>44589</v>
      </c>
      <c r="L27" s="207">
        <v>44589</v>
      </c>
      <c r="M27" s="207">
        <v>44589</v>
      </c>
      <c r="O27" s="38"/>
      <c r="P27" s="200" t="str">
        <f>IF(Harm_prod_stolarnia[[#This Row],[Data wykonania]]&lt;&gt;0,"WYKONANE","NIEWYKONANE")</f>
        <v>NIEWYKONANE</v>
      </c>
    </row>
    <row r="28" spans="1:16" x14ac:dyDescent="0.25">
      <c r="A28" s="197">
        <v>27</v>
      </c>
      <c r="B28" s="203" t="s">
        <v>2269</v>
      </c>
      <c r="C28" s="204" t="s">
        <v>152</v>
      </c>
      <c r="D28" s="203">
        <v>1</v>
      </c>
      <c r="E28" s="203" t="s">
        <v>2329</v>
      </c>
      <c r="F28" s="205">
        <v>1</v>
      </c>
      <c r="G28" s="183">
        <v>79</v>
      </c>
      <c r="H28" s="198">
        <v>918</v>
      </c>
      <c r="I28" s="198">
        <v>2057</v>
      </c>
      <c r="J28" s="199">
        <v>1.8874861873824706</v>
      </c>
      <c r="K28" s="207">
        <v>44589</v>
      </c>
      <c r="L28" s="207">
        <v>44589</v>
      </c>
      <c r="M28" s="207">
        <v>44589</v>
      </c>
      <c r="O28" s="38"/>
      <c r="P28" s="200" t="str">
        <f>IF(Harm_prod_stolarnia[[#This Row],[Data wykonania]]&lt;&gt;0,"WYKONANE","NIEWYKONANE")</f>
        <v>NIEWYKONANE</v>
      </c>
    </row>
    <row r="29" spans="1:16" x14ac:dyDescent="0.25">
      <c r="A29" s="197">
        <v>28</v>
      </c>
      <c r="B29" s="203" t="s">
        <v>2268</v>
      </c>
      <c r="C29" s="204" t="s">
        <v>152</v>
      </c>
      <c r="D29" s="203">
        <v>1</v>
      </c>
      <c r="E29" s="203" t="s">
        <v>2329</v>
      </c>
      <c r="F29" s="205">
        <v>1</v>
      </c>
      <c r="G29" s="183">
        <v>79</v>
      </c>
      <c r="H29" s="198">
        <v>918</v>
      </c>
      <c r="I29" s="198">
        <v>2057</v>
      </c>
      <c r="J29" s="199">
        <v>1.8874861873824706</v>
      </c>
      <c r="K29" s="207">
        <v>44589</v>
      </c>
      <c r="L29" s="207">
        <v>44589</v>
      </c>
      <c r="M29" s="207">
        <v>44589</v>
      </c>
      <c r="O29" s="38"/>
      <c r="P29" s="200" t="str">
        <f>IF(Harm_prod_stolarnia[[#This Row],[Data wykonania]]&lt;&gt;0,"WYKONANE","NIEWYKONANE")</f>
        <v>NIEWYKONANE</v>
      </c>
    </row>
    <row r="30" spans="1:16" x14ac:dyDescent="0.25">
      <c r="A30" s="197">
        <v>29</v>
      </c>
      <c r="B30" s="203" t="s">
        <v>2267</v>
      </c>
      <c r="C30" s="204" t="s">
        <v>152</v>
      </c>
      <c r="D30" s="203">
        <v>1</v>
      </c>
      <c r="E30" s="203" t="s">
        <v>2329</v>
      </c>
      <c r="F30" s="205">
        <v>1</v>
      </c>
      <c r="G30" s="183">
        <v>79</v>
      </c>
      <c r="H30" s="198">
        <v>918</v>
      </c>
      <c r="I30" s="198">
        <v>2057</v>
      </c>
      <c r="J30" s="199">
        <v>1.887486185352425</v>
      </c>
      <c r="K30" s="207">
        <v>44589</v>
      </c>
      <c r="L30" s="207">
        <v>44589</v>
      </c>
      <c r="M30" s="207">
        <v>44589</v>
      </c>
      <c r="O30" s="38"/>
      <c r="P30" s="200" t="str">
        <f>IF(Harm_prod_stolarnia[[#This Row],[Data wykonania]]&lt;&gt;0,"WYKONANE","NIEWYKONANE")</f>
        <v>NIEWYKONANE</v>
      </c>
    </row>
    <row r="31" spans="1:16" x14ac:dyDescent="0.25">
      <c r="A31" s="197">
        <v>30</v>
      </c>
      <c r="B31" s="203" t="s">
        <v>2266</v>
      </c>
      <c r="C31" s="204" t="s">
        <v>152</v>
      </c>
      <c r="D31" s="203">
        <v>1</v>
      </c>
      <c r="E31" s="203" t="s">
        <v>2329</v>
      </c>
      <c r="F31" s="205">
        <v>1</v>
      </c>
      <c r="G31" s="183">
        <v>79</v>
      </c>
      <c r="H31" s="198">
        <v>918</v>
      </c>
      <c r="I31" s="198">
        <v>2057</v>
      </c>
      <c r="J31" s="199">
        <v>1.887486185352425</v>
      </c>
      <c r="K31" s="207">
        <v>44589</v>
      </c>
      <c r="L31" s="207">
        <v>44589</v>
      </c>
      <c r="M31" s="207">
        <v>44589</v>
      </c>
      <c r="O31" s="38"/>
      <c r="P31" s="200" t="str">
        <f>IF(Harm_prod_stolarnia[[#This Row],[Data wykonania]]&lt;&gt;0,"WYKONANE","NIEWYKONANE")</f>
        <v>NIEWYKONANE</v>
      </c>
    </row>
  </sheetData>
  <conditionalFormatting sqref="P2:P31">
    <cfRule type="cellIs" dxfId="90" priority="1" operator="equal">
      <formula>"WYKONANE"</formula>
    </cfRule>
    <cfRule type="cellIs" dxfId="89" priority="2" operator="equal">
      <formula>"NIEWYKONANE"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Arkusz55"/>
  <dimension ref="A1:K31"/>
  <sheetViews>
    <sheetView workbookViewId="0">
      <selection activeCell="F2" sqref="F2:F31"/>
    </sheetView>
  </sheetViews>
  <sheetFormatPr defaultRowHeight="15" x14ac:dyDescent="0.25"/>
  <cols>
    <col min="2" max="2" width="9.140625" bestFit="1" customWidth="1"/>
    <col min="3" max="3" width="16" bestFit="1" customWidth="1"/>
    <col min="4" max="4" width="18.42578125" bestFit="1" customWidth="1"/>
    <col min="5" max="5" width="11" bestFit="1" customWidth="1"/>
    <col min="6" max="6" width="9.140625" bestFit="1" customWidth="1"/>
    <col min="7" max="7" width="7.28515625" bestFit="1" customWidth="1"/>
    <col min="8" max="8" width="8.85546875" bestFit="1" customWidth="1"/>
    <col min="9" max="9" width="9.140625" bestFit="1" customWidth="1"/>
    <col min="10" max="10" width="8" bestFit="1" customWidth="1"/>
    <col min="11" max="11" width="12" bestFit="1" customWidth="1"/>
  </cols>
  <sheetData>
    <row r="1" spans="1:11" x14ac:dyDescent="0.25">
      <c r="A1" t="s">
        <v>2068</v>
      </c>
      <c r="B1" s="1" t="s">
        <v>19</v>
      </c>
      <c r="C1" s="1" t="s">
        <v>32</v>
      </c>
      <c r="D1" s="1" t="s">
        <v>61</v>
      </c>
      <c r="E1" s="1" t="s">
        <v>14</v>
      </c>
      <c r="F1" s="1" t="s">
        <v>0</v>
      </c>
      <c r="G1" s="1" t="s">
        <v>73</v>
      </c>
      <c r="H1" s="1" t="s">
        <v>270</v>
      </c>
      <c r="I1" s="1" t="s">
        <v>271</v>
      </c>
      <c r="J1" s="1" t="s">
        <v>1</v>
      </c>
      <c r="K1" s="1" t="s">
        <v>202</v>
      </c>
    </row>
    <row r="2" spans="1:11" x14ac:dyDescent="0.25">
      <c r="B2" s="1">
        <v>1</v>
      </c>
      <c r="C2" s="1" t="s">
        <v>2295</v>
      </c>
      <c r="D2" s="1" t="s">
        <v>152</v>
      </c>
      <c r="E2" s="1" t="s">
        <v>2058</v>
      </c>
      <c r="F2" s="1" t="s">
        <v>2327</v>
      </c>
      <c r="G2" s="1">
        <v>1</v>
      </c>
      <c r="H2" s="1">
        <v>79</v>
      </c>
      <c r="I2" s="1">
        <v>918</v>
      </c>
      <c r="J2" s="1">
        <v>2057</v>
      </c>
      <c r="K2" s="1">
        <v>1.8874862029372668</v>
      </c>
    </row>
    <row r="3" spans="1:11" x14ac:dyDescent="0.25">
      <c r="B3" s="1">
        <v>2</v>
      </c>
      <c r="C3" s="1" t="s">
        <v>2294</v>
      </c>
      <c r="D3" s="1" t="s">
        <v>152</v>
      </c>
      <c r="E3" s="1" t="s">
        <v>2058</v>
      </c>
      <c r="F3" s="1" t="s">
        <v>2327</v>
      </c>
      <c r="G3" s="1">
        <v>1</v>
      </c>
      <c r="H3" s="1">
        <v>79</v>
      </c>
      <c r="I3" s="1">
        <v>918</v>
      </c>
      <c r="J3" s="1">
        <v>2057</v>
      </c>
      <c r="K3" s="1">
        <v>1.8874861873824706</v>
      </c>
    </row>
    <row r="4" spans="1:11" x14ac:dyDescent="0.25">
      <c r="B4" s="1">
        <v>3</v>
      </c>
      <c r="C4" s="1" t="s">
        <v>2293</v>
      </c>
      <c r="D4" s="1" t="s">
        <v>152</v>
      </c>
      <c r="E4" s="1" t="s">
        <v>2058</v>
      </c>
      <c r="F4" s="1" t="s">
        <v>2327</v>
      </c>
      <c r="G4" s="1">
        <v>1</v>
      </c>
      <c r="H4" s="1">
        <v>79</v>
      </c>
      <c r="I4" s="1">
        <v>918</v>
      </c>
      <c r="J4" s="1">
        <v>2057</v>
      </c>
      <c r="K4" s="1">
        <v>1.8874861873824706</v>
      </c>
    </row>
    <row r="5" spans="1:11" x14ac:dyDescent="0.25">
      <c r="B5" s="1">
        <v>4</v>
      </c>
      <c r="C5" s="1" t="s">
        <v>2292</v>
      </c>
      <c r="D5" s="1" t="s">
        <v>152</v>
      </c>
      <c r="E5" s="1" t="s">
        <v>2058</v>
      </c>
      <c r="F5" s="1" t="s">
        <v>2327</v>
      </c>
      <c r="G5" s="1">
        <v>1</v>
      </c>
      <c r="H5" s="1">
        <v>79</v>
      </c>
      <c r="I5" s="1">
        <v>918</v>
      </c>
      <c r="J5" s="1">
        <v>2057</v>
      </c>
      <c r="K5" s="1">
        <v>1.8874861873824706</v>
      </c>
    </row>
    <row r="6" spans="1:11" x14ac:dyDescent="0.25">
      <c r="B6" s="1">
        <v>5</v>
      </c>
      <c r="C6" s="1" t="s">
        <v>2291</v>
      </c>
      <c r="D6" s="1" t="s">
        <v>152</v>
      </c>
      <c r="E6" s="1" t="s">
        <v>2058</v>
      </c>
      <c r="F6" s="1" t="s">
        <v>2327</v>
      </c>
      <c r="G6" s="1">
        <v>1</v>
      </c>
      <c r="H6" s="1">
        <v>79</v>
      </c>
      <c r="I6" s="1">
        <v>918</v>
      </c>
      <c r="J6" s="1">
        <v>2057</v>
      </c>
      <c r="K6" s="1">
        <v>1.8874861873824706</v>
      </c>
    </row>
    <row r="7" spans="1:11" x14ac:dyDescent="0.25">
      <c r="B7" s="1">
        <v>6</v>
      </c>
      <c r="C7" s="1" t="s">
        <v>2290</v>
      </c>
      <c r="D7" s="1" t="s">
        <v>152</v>
      </c>
      <c r="E7" s="1" t="s">
        <v>2058</v>
      </c>
      <c r="F7" s="1" t="s">
        <v>2327</v>
      </c>
      <c r="G7" s="1">
        <v>1</v>
      </c>
      <c r="H7" s="1">
        <v>79</v>
      </c>
      <c r="I7" s="1">
        <v>918</v>
      </c>
      <c r="J7" s="1">
        <v>2057</v>
      </c>
      <c r="K7" s="1">
        <v>1.8874861873824706</v>
      </c>
    </row>
    <row r="8" spans="1:11" x14ac:dyDescent="0.25">
      <c r="B8" s="1">
        <v>7</v>
      </c>
      <c r="C8" s="1" t="s">
        <v>2289</v>
      </c>
      <c r="D8" s="1" t="s">
        <v>152</v>
      </c>
      <c r="E8" s="1" t="s">
        <v>2058</v>
      </c>
      <c r="F8" s="1" t="s">
        <v>2327</v>
      </c>
      <c r="G8" s="1">
        <v>1</v>
      </c>
      <c r="H8" s="1">
        <v>79</v>
      </c>
      <c r="I8" s="1">
        <v>918</v>
      </c>
      <c r="J8" s="1">
        <v>2057</v>
      </c>
      <c r="K8" s="1">
        <v>1.8874861873824706</v>
      </c>
    </row>
    <row r="9" spans="1:11" x14ac:dyDescent="0.25">
      <c r="B9" s="1">
        <v>8</v>
      </c>
      <c r="C9" s="1" t="s">
        <v>2288</v>
      </c>
      <c r="D9" s="1" t="s">
        <v>152</v>
      </c>
      <c r="E9" s="1" t="s">
        <v>2058</v>
      </c>
      <c r="F9" s="1" t="s">
        <v>2327</v>
      </c>
      <c r="G9" s="1">
        <v>1</v>
      </c>
      <c r="H9" s="1">
        <v>79</v>
      </c>
      <c r="I9" s="1">
        <v>918</v>
      </c>
      <c r="J9" s="1">
        <v>2057</v>
      </c>
      <c r="K9" s="1">
        <v>1.8874861873824706</v>
      </c>
    </row>
    <row r="10" spans="1:11" x14ac:dyDescent="0.25">
      <c r="B10" s="1">
        <v>9</v>
      </c>
      <c r="C10" s="1" t="s">
        <v>2287</v>
      </c>
      <c r="D10" s="1" t="s">
        <v>152</v>
      </c>
      <c r="E10" s="1" t="s">
        <v>2058</v>
      </c>
      <c r="F10" s="1" t="s">
        <v>2327</v>
      </c>
      <c r="G10" s="1">
        <v>1</v>
      </c>
      <c r="H10" s="1">
        <v>79</v>
      </c>
      <c r="I10" s="1">
        <v>918</v>
      </c>
      <c r="J10" s="1">
        <v>2057</v>
      </c>
      <c r="K10" s="1">
        <v>1.887486185352425</v>
      </c>
    </row>
    <row r="11" spans="1:11" x14ac:dyDescent="0.25">
      <c r="B11" s="1">
        <v>10</v>
      </c>
      <c r="C11" s="1" t="s">
        <v>2286</v>
      </c>
      <c r="D11" s="1" t="s">
        <v>152</v>
      </c>
      <c r="E11" s="1" t="s">
        <v>2058</v>
      </c>
      <c r="F11" s="1" t="s">
        <v>2327</v>
      </c>
      <c r="G11" s="1">
        <v>1</v>
      </c>
      <c r="H11" s="1">
        <v>79</v>
      </c>
      <c r="I11" s="1">
        <v>918</v>
      </c>
      <c r="J11" s="1">
        <v>2057</v>
      </c>
      <c r="K11" s="1">
        <v>1.887486185352425</v>
      </c>
    </row>
    <row r="12" spans="1:11" x14ac:dyDescent="0.25">
      <c r="B12" s="1">
        <v>11</v>
      </c>
      <c r="C12" s="1" t="s">
        <v>2285</v>
      </c>
      <c r="D12" s="1" t="s">
        <v>152</v>
      </c>
      <c r="E12" s="1" t="s">
        <v>2058</v>
      </c>
      <c r="F12" s="1" t="s">
        <v>2328</v>
      </c>
      <c r="G12" s="1">
        <v>1</v>
      </c>
      <c r="H12" s="1">
        <v>79</v>
      </c>
      <c r="I12" s="1">
        <v>918</v>
      </c>
      <c r="J12" s="1">
        <v>2057</v>
      </c>
      <c r="K12" s="1">
        <v>1.8874862029372668</v>
      </c>
    </row>
    <row r="13" spans="1:11" x14ac:dyDescent="0.25">
      <c r="B13" s="1">
        <v>12</v>
      </c>
      <c r="C13" s="1" t="s">
        <v>2284</v>
      </c>
      <c r="D13" s="1" t="s">
        <v>152</v>
      </c>
      <c r="E13" s="1" t="s">
        <v>2058</v>
      </c>
      <c r="F13" s="1" t="s">
        <v>2328</v>
      </c>
      <c r="G13" s="1">
        <v>1</v>
      </c>
      <c r="H13" s="1">
        <v>79</v>
      </c>
      <c r="I13" s="1">
        <v>918</v>
      </c>
      <c r="J13" s="1">
        <v>2057</v>
      </c>
      <c r="K13" s="1">
        <v>1.8874861873824706</v>
      </c>
    </row>
    <row r="14" spans="1:11" x14ac:dyDescent="0.25">
      <c r="B14" s="1">
        <v>13</v>
      </c>
      <c r="C14" s="1" t="s">
        <v>2283</v>
      </c>
      <c r="D14" s="1" t="s">
        <v>152</v>
      </c>
      <c r="E14" s="1" t="s">
        <v>2058</v>
      </c>
      <c r="F14" s="1" t="s">
        <v>2328</v>
      </c>
      <c r="G14" s="1">
        <v>1</v>
      </c>
      <c r="H14" s="1">
        <v>79</v>
      </c>
      <c r="I14" s="1">
        <v>918</v>
      </c>
      <c r="J14" s="1">
        <v>2057</v>
      </c>
      <c r="K14" s="1">
        <v>1.8874861873824706</v>
      </c>
    </row>
    <row r="15" spans="1:11" x14ac:dyDescent="0.25">
      <c r="B15" s="1">
        <v>14</v>
      </c>
      <c r="C15" s="1" t="s">
        <v>2282</v>
      </c>
      <c r="D15" s="1" t="s">
        <v>152</v>
      </c>
      <c r="E15" s="1" t="s">
        <v>2058</v>
      </c>
      <c r="F15" s="1" t="s">
        <v>2328</v>
      </c>
      <c r="G15" s="1">
        <v>1</v>
      </c>
      <c r="H15" s="1">
        <v>79</v>
      </c>
      <c r="I15" s="1">
        <v>918</v>
      </c>
      <c r="J15" s="1">
        <v>2057</v>
      </c>
      <c r="K15" s="1">
        <v>1.8874861873824706</v>
      </c>
    </row>
    <row r="16" spans="1:11" x14ac:dyDescent="0.25">
      <c r="B16" s="1">
        <v>15</v>
      </c>
      <c r="C16" s="1" t="s">
        <v>2281</v>
      </c>
      <c r="D16" s="1" t="s">
        <v>152</v>
      </c>
      <c r="E16" s="1" t="s">
        <v>2058</v>
      </c>
      <c r="F16" s="1" t="s">
        <v>2328</v>
      </c>
      <c r="G16" s="1">
        <v>1</v>
      </c>
      <c r="H16" s="1">
        <v>79</v>
      </c>
      <c r="I16" s="1">
        <v>918</v>
      </c>
      <c r="J16" s="1">
        <v>2057</v>
      </c>
      <c r="K16" s="1">
        <v>1.8874861873824706</v>
      </c>
    </row>
    <row r="17" spans="2:11" x14ac:dyDescent="0.25">
      <c r="B17" s="1">
        <v>16</v>
      </c>
      <c r="C17" s="1" t="s">
        <v>2280</v>
      </c>
      <c r="D17" s="1" t="s">
        <v>152</v>
      </c>
      <c r="E17" s="1" t="s">
        <v>2058</v>
      </c>
      <c r="F17" s="1" t="s">
        <v>2328</v>
      </c>
      <c r="G17" s="1">
        <v>1</v>
      </c>
      <c r="H17" s="1">
        <v>79</v>
      </c>
      <c r="I17" s="1">
        <v>918</v>
      </c>
      <c r="J17" s="1">
        <v>2057</v>
      </c>
      <c r="K17" s="1">
        <v>1.8874861873824706</v>
      </c>
    </row>
    <row r="18" spans="2:11" x14ac:dyDescent="0.25">
      <c r="B18" s="1">
        <v>17</v>
      </c>
      <c r="C18" s="1" t="s">
        <v>2279</v>
      </c>
      <c r="D18" s="1" t="s">
        <v>152</v>
      </c>
      <c r="E18" s="1" t="s">
        <v>2058</v>
      </c>
      <c r="F18" s="1" t="s">
        <v>2328</v>
      </c>
      <c r="G18" s="1">
        <v>1</v>
      </c>
      <c r="H18" s="1">
        <v>79</v>
      </c>
      <c r="I18" s="1">
        <v>918</v>
      </c>
      <c r="J18" s="1">
        <v>2057</v>
      </c>
      <c r="K18" s="1">
        <v>1.8874861873824706</v>
      </c>
    </row>
    <row r="19" spans="2:11" x14ac:dyDescent="0.25">
      <c r="B19" s="1">
        <v>18</v>
      </c>
      <c r="C19" s="1" t="s">
        <v>2278</v>
      </c>
      <c r="D19" s="1" t="s">
        <v>152</v>
      </c>
      <c r="E19" s="1" t="s">
        <v>2058</v>
      </c>
      <c r="F19" s="1" t="s">
        <v>2328</v>
      </c>
      <c r="G19" s="1">
        <v>1</v>
      </c>
      <c r="H19" s="1">
        <v>79</v>
      </c>
      <c r="I19" s="1">
        <v>918</v>
      </c>
      <c r="J19" s="1">
        <v>2057</v>
      </c>
      <c r="K19" s="1">
        <v>1.8874861873824706</v>
      </c>
    </row>
    <row r="20" spans="2:11" x14ac:dyDescent="0.25">
      <c r="B20" s="1">
        <v>19</v>
      </c>
      <c r="C20" s="1" t="s">
        <v>2277</v>
      </c>
      <c r="D20" s="1" t="s">
        <v>152</v>
      </c>
      <c r="E20" s="1" t="s">
        <v>2058</v>
      </c>
      <c r="F20" s="1" t="s">
        <v>2328</v>
      </c>
      <c r="G20" s="1">
        <v>1</v>
      </c>
      <c r="H20" s="1">
        <v>79</v>
      </c>
      <c r="I20" s="1">
        <v>918</v>
      </c>
      <c r="J20" s="1">
        <v>2057</v>
      </c>
      <c r="K20" s="1">
        <v>1.887486185352425</v>
      </c>
    </row>
    <row r="21" spans="2:11" x14ac:dyDescent="0.25">
      <c r="B21">
        <v>20</v>
      </c>
      <c r="C21" s="1" t="s">
        <v>2276</v>
      </c>
      <c r="D21" t="s">
        <v>152</v>
      </c>
      <c r="E21" s="1" t="s">
        <v>2058</v>
      </c>
      <c r="F21" s="1" t="s">
        <v>2328</v>
      </c>
      <c r="G21">
        <v>1</v>
      </c>
      <c r="H21">
        <v>79</v>
      </c>
      <c r="I21">
        <v>918</v>
      </c>
      <c r="J21">
        <v>2057</v>
      </c>
      <c r="K21">
        <v>1.887486185352425</v>
      </c>
    </row>
    <row r="22" spans="2:11" x14ac:dyDescent="0.25">
      <c r="B22">
        <v>21</v>
      </c>
      <c r="C22" s="1" t="s">
        <v>2275</v>
      </c>
      <c r="D22" t="s">
        <v>152</v>
      </c>
      <c r="E22" s="1" t="s">
        <v>2058</v>
      </c>
      <c r="F22" s="1" t="s">
        <v>2329</v>
      </c>
      <c r="G22">
        <v>1</v>
      </c>
      <c r="H22">
        <v>79</v>
      </c>
      <c r="I22">
        <v>918</v>
      </c>
      <c r="J22">
        <v>2057</v>
      </c>
      <c r="K22">
        <v>1.8874862029372668</v>
      </c>
    </row>
    <row r="23" spans="2:11" x14ac:dyDescent="0.25">
      <c r="B23">
        <v>22</v>
      </c>
      <c r="C23" s="1" t="s">
        <v>2274</v>
      </c>
      <c r="D23" t="s">
        <v>152</v>
      </c>
      <c r="E23" s="1" t="s">
        <v>2058</v>
      </c>
      <c r="F23" s="1" t="s">
        <v>2329</v>
      </c>
      <c r="G23">
        <v>1</v>
      </c>
      <c r="H23">
        <v>79</v>
      </c>
      <c r="I23">
        <v>918</v>
      </c>
      <c r="J23">
        <v>2057</v>
      </c>
      <c r="K23">
        <v>1.8874861873824706</v>
      </c>
    </row>
    <row r="24" spans="2:11" x14ac:dyDescent="0.25">
      <c r="B24">
        <v>23</v>
      </c>
      <c r="C24" s="1" t="s">
        <v>2273</v>
      </c>
      <c r="D24" t="s">
        <v>152</v>
      </c>
      <c r="E24" s="1" t="s">
        <v>2058</v>
      </c>
      <c r="F24" s="1" t="s">
        <v>2329</v>
      </c>
      <c r="G24">
        <v>1</v>
      </c>
      <c r="H24">
        <v>79</v>
      </c>
      <c r="I24">
        <v>918</v>
      </c>
      <c r="J24">
        <v>2057</v>
      </c>
      <c r="K24">
        <v>1.8874861873824706</v>
      </c>
    </row>
    <row r="25" spans="2:11" x14ac:dyDescent="0.25">
      <c r="B25">
        <v>24</v>
      </c>
      <c r="C25" s="1" t="s">
        <v>2272</v>
      </c>
      <c r="D25" t="s">
        <v>152</v>
      </c>
      <c r="E25" s="1" t="s">
        <v>2058</v>
      </c>
      <c r="F25" s="1" t="s">
        <v>2329</v>
      </c>
      <c r="G25">
        <v>1</v>
      </c>
      <c r="H25">
        <v>79</v>
      </c>
      <c r="I25">
        <v>918</v>
      </c>
      <c r="J25">
        <v>2057</v>
      </c>
      <c r="K25">
        <v>1.8874861873824706</v>
      </c>
    </row>
    <row r="26" spans="2:11" x14ac:dyDescent="0.25">
      <c r="B26">
        <v>25</v>
      </c>
      <c r="C26" s="1" t="s">
        <v>2271</v>
      </c>
      <c r="D26" t="s">
        <v>152</v>
      </c>
      <c r="E26" s="1" t="s">
        <v>2058</v>
      </c>
      <c r="F26" s="1" t="s">
        <v>2329</v>
      </c>
      <c r="G26">
        <v>1</v>
      </c>
      <c r="H26">
        <v>79</v>
      </c>
      <c r="I26">
        <v>918</v>
      </c>
      <c r="J26">
        <v>2057</v>
      </c>
      <c r="K26">
        <v>1.8874861873824706</v>
      </c>
    </row>
    <row r="27" spans="2:11" x14ac:dyDescent="0.25">
      <c r="B27">
        <v>26</v>
      </c>
      <c r="C27" s="1" t="s">
        <v>2270</v>
      </c>
      <c r="D27" t="s">
        <v>152</v>
      </c>
      <c r="E27" s="1" t="s">
        <v>2058</v>
      </c>
      <c r="F27" s="1" t="s">
        <v>2329</v>
      </c>
      <c r="G27">
        <v>1</v>
      </c>
      <c r="H27">
        <v>79</v>
      </c>
      <c r="I27">
        <v>918</v>
      </c>
      <c r="J27">
        <v>2057</v>
      </c>
      <c r="K27">
        <v>1.8874861873824706</v>
      </c>
    </row>
    <row r="28" spans="2:11" x14ac:dyDescent="0.25">
      <c r="B28">
        <v>27</v>
      </c>
      <c r="C28" s="1" t="s">
        <v>2269</v>
      </c>
      <c r="D28" t="s">
        <v>152</v>
      </c>
      <c r="E28" s="1" t="s">
        <v>2058</v>
      </c>
      <c r="F28" s="1" t="s">
        <v>2329</v>
      </c>
      <c r="G28">
        <v>1</v>
      </c>
      <c r="H28">
        <v>79</v>
      </c>
      <c r="I28">
        <v>918</v>
      </c>
      <c r="J28">
        <v>2057</v>
      </c>
      <c r="K28">
        <v>1.8874861873824706</v>
      </c>
    </row>
    <row r="29" spans="2:11" x14ac:dyDescent="0.25">
      <c r="B29">
        <v>28</v>
      </c>
      <c r="C29" s="1" t="s">
        <v>2268</v>
      </c>
      <c r="D29" t="s">
        <v>152</v>
      </c>
      <c r="E29" s="1" t="s">
        <v>2058</v>
      </c>
      <c r="F29" s="1" t="s">
        <v>2329</v>
      </c>
      <c r="G29">
        <v>1</v>
      </c>
      <c r="H29">
        <v>79</v>
      </c>
      <c r="I29">
        <v>918</v>
      </c>
      <c r="J29">
        <v>2057</v>
      </c>
      <c r="K29">
        <v>1.8874861873824706</v>
      </c>
    </row>
    <row r="30" spans="2:11" x14ac:dyDescent="0.25">
      <c r="B30">
        <v>29</v>
      </c>
      <c r="C30" s="1" t="s">
        <v>2267</v>
      </c>
      <c r="D30" t="s">
        <v>152</v>
      </c>
      <c r="E30" s="1" t="s">
        <v>2058</v>
      </c>
      <c r="F30" s="1" t="s">
        <v>2329</v>
      </c>
      <c r="G30">
        <v>1</v>
      </c>
      <c r="H30">
        <v>79</v>
      </c>
      <c r="I30">
        <v>918</v>
      </c>
      <c r="J30">
        <v>2057</v>
      </c>
      <c r="K30">
        <v>1.887486185352425</v>
      </c>
    </row>
    <row r="31" spans="2:11" x14ac:dyDescent="0.25">
      <c r="B31">
        <v>30</v>
      </c>
      <c r="C31" s="1" t="s">
        <v>2266</v>
      </c>
      <c r="D31" t="s">
        <v>152</v>
      </c>
      <c r="E31" s="1" t="s">
        <v>2058</v>
      </c>
      <c r="F31" s="1" t="s">
        <v>2329</v>
      </c>
      <c r="G31">
        <v>1</v>
      </c>
      <c r="H31">
        <v>79</v>
      </c>
      <c r="I31">
        <v>918</v>
      </c>
      <c r="J31">
        <v>2057</v>
      </c>
      <c r="K31">
        <v>1.887486185352425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Arkusz16"/>
  <dimension ref="A1:S85"/>
  <sheetViews>
    <sheetView zoomScale="85" zoomScaleNormal="85" workbookViewId="0">
      <pane ySplit="1" topLeftCell="A2" activePane="bottomLeft" state="frozen"/>
      <selection pane="bottomLeft" activeCell="Q2" sqref="Q2:Q6"/>
    </sheetView>
  </sheetViews>
  <sheetFormatPr defaultColWidth="9" defaultRowHeight="15" x14ac:dyDescent="0.25"/>
  <cols>
    <col min="1" max="1" width="15.140625" style="34" customWidth="1"/>
    <col min="2" max="2" width="16" style="35" bestFit="1" customWidth="1"/>
    <col min="3" max="3" width="30.42578125" style="35" customWidth="1"/>
    <col min="4" max="4" width="11.42578125" style="34" customWidth="1"/>
    <col min="5" max="6" width="7.7109375" style="35" customWidth="1"/>
    <col min="7" max="7" width="7.42578125" style="36" customWidth="1"/>
    <col min="8" max="8" width="8.5703125" style="35" customWidth="1"/>
    <col min="9" max="9" width="9.7109375" style="35" customWidth="1"/>
    <col min="10" max="10" width="9.28515625" style="35" bestFit="1" customWidth="1"/>
    <col min="11" max="11" width="13.140625" style="35" customWidth="1"/>
    <col min="12" max="12" width="10.28515625" style="35" customWidth="1"/>
    <col min="13" max="13" width="13.42578125" style="37" customWidth="1"/>
    <col min="14" max="14" width="14.5703125" style="35" customWidth="1"/>
    <col min="15" max="15" width="14" style="35" customWidth="1"/>
    <col min="16" max="16" width="15" customWidth="1"/>
    <col min="17" max="17" width="17.5703125" style="35" customWidth="1"/>
    <col min="18" max="18" width="14" style="35" customWidth="1"/>
    <col min="19" max="19" width="21" style="35" customWidth="1"/>
    <col min="20" max="16384" width="9" style="34"/>
  </cols>
  <sheetData>
    <row r="1" spans="1:19" ht="63.2" customHeight="1" x14ac:dyDescent="0.25">
      <c r="A1" s="30" t="s">
        <v>32</v>
      </c>
      <c r="B1" s="31" t="s">
        <v>19</v>
      </c>
      <c r="C1" s="30" t="s">
        <v>61</v>
      </c>
      <c r="D1" s="30" t="s">
        <v>14</v>
      </c>
      <c r="E1" s="30" t="s">
        <v>0</v>
      </c>
      <c r="F1" s="30" t="s">
        <v>73</v>
      </c>
      <c r="G1" s="30" t="s">
        <v>21</v>
      </c>
      <c r="H1" s="30" t="s">
        <v>1</v>
      </c>
      <c r="I1" s="30" t="s">
        <v>2</v>
      </c>
      <c r="J1" s="30" t="s">
        <v>20</v>
      </c>
      <c r="K1" s="32" t="s">
        <v>31</v>
      </c>
      <c r="L1" s="30" t="s">
        <v>25</v>
      </c>
      <c r="M1" s="33" t="s">
        <v>26</v>
      </c>
      <c r="N1" s="30" t="s">
        <v>22</v>
      </c>
      <c r="O1" s="30" t="s">
        <v>24</v>
      </c>
      <c r="P1" s="30" t="s">
        <v>40</v>
      </c>
      <c r="Q1" s="30" t="s">
        <v>210</v>
      </c>
      <c r="R1" s="30" t="s">
        <v>23</v>
      </c>
      <c r="S1" s="34"/>
    </row>
    <row r="2" spans="1:19" s="35" customFormat="1" x14ac:dyDescent="0.25">
      <c r="A2" s="1"/>
      <c r="B2"/>
      <c r="C2"/>
      <c r="D2" s="1"/>
      <c r="E2" s="1"/>
      <c r="F2"/>
      <c r="G2"/>
      <c r="H2"/>
      <c r="I2"/>
      <c r="J2"/>
      <c r="K2" s="37"/>
      <c r="L2" s="37"/>
      <c r="M2" s="37"/>
      <c r="O2" s="38"/>
      <c r="P2" s="144" t="str">
        <f>IF(Harm_podwyk[[#This Row],[Data wykonania]]&lt;&gt;0,"WYKONANE","NIEWYKONANE")</f>
        <v>NIEWYKONANE</v>
      </c>
      <c r="Q2" s="146"/>
    </row>
    <row r="3" spans="1:19" s="35" customFormat="1" x14ac:dyDescent="0.25">
      <c r="A3" s="1"/>
      <c r="B3"/>
      <c r="C3"/>
      <c r="D3" s="1"/>
      <c r="E3" s="1"/>
      <c r="F3"/>
      <c r="G3"/>
      <c r="H3"/>
      <c r="I3"/>
      <c r="J3"/>
      <c r="K3" s="37"/>
      <c r="L3" s="37"/>
      <c r="M3" s="37"/>
      <c r="O3" s="38"/>
      <c r="P3" s="144" t="str">
        <f>IF(Harm_podwyk[[#This Row],[Data wykonania]]&lt;&gt;0,"WYKONANE","NIEWYKONANE")</f>
        <v>NIEWYKONANE</v>
      </c>
      <c r="Q3" s="146"/>
    </row>
    <row r="4" spans="1:19" s="35" customFormat="1" x14ac:dyDescent="0.25">
      <c r="A4" s="1"/>
      <c r="B4"/>
      <c r="C4"/>
      <c r="D4" s="1"/>
      <c r="E4" s="1"/>
      <c r="F4"/>
      <c r="G4"/>
      <c r="H4"/>
      <c r="I4"/>
      <c r="J4"/>
      <c r="K4" s="37"/>
      <c r="L4" s="37"/>
      <c r="M4" s="37"/>
      <c r="O4" s="38"/>
      <c r="P4" s="144" t="str">
        <f>IF(Harm_podwyk[[#This Row],[Data wykonania]]&lt;&gt;0,"WYKONANE","NIEWYKONANE")</f>
        <v>NIEWYKONANE</v>
      </c>
      <c r="Q4" s="146"/>
    </row>
    <row r="5" spans="1:19" s="35" customFormat="1" x14ac:dyDescent="0.25">
      <c r="A5" s="1"/>
      <c r="B5"/>
      <c r="C5"/>
      <c r="D5" s="1"/>
      <c r="E5" s="1"/>
      <c r="F5"/>
      <c r="G5"/>
      <c r="H5"/>
      <c r="I5"/>
      <c r="J5"/>
      <c r="K5" s="37"/>
      <c r="L5" s="37"/>
      <c r="M5" s="37"/>
      <c r="O5" s="38"/>
      <c r="P5" s="144" t="str">
        <f>IF(Harm_podwyk[[#This Row],[Data wykonania]]&lt;&gt;0,"WYKONANE","NIEWYKONANE")</f>
        <v>NIEWYKONANE</v>
      </c>
      <c r="Q5" s="146"/>
    </row>
    <row r="6" spans="1:19" s="35" customFormat="1" x14ac:dyDescent="0.25">
      <c r="A6" s="1"/>
      <c r="B6"/>
      <c r="C6"/>
      <c r="D6" s="1"/>
      <c r="E6" s="1"/>
      <c r="F6"/>
      <c r="G6"/>
      <c r="H6"/>
      <c r="I6"/>
      <c r="J6"/>
      <c r="K6" s="37"/>
      <c r="L6" s="37"/>
      <c r="M6" s="37"/>
      <c r="O6" s="38"/>
      <c r="P6" s="144" t="str">
        <f>IF(Harm_podwyk[[#This Row],[Data wykonania]]&lt;&gt;0,"WYKONANE","NIEWYKONANE")</f>
        <v>NIEWYKONANE</v>
      </c>
      <c r="Q6" s="146"/>
    </row>
    <row r="7" spans="1:19" x14ac:dyDescent="0.25">
      <c r="A7" s="1"/>
      <c r="B7" s="155"/>
      <c r="C7"/>
      <c r="D7" s="1"/>
      <c r="E7" s="1"/>
      <c r="F7" s="143"/>
      <c r="G7"/>
      <c r="H7"/>
      <c r="I7"/>
      <c r="J7" s="153"/>
      <c r="K7" s="37"/>
      <c r="O7" s="156"/>
      <c r="P7" s="157"/>
      <c r="Q7" s="145"/>
    </row>
    <row r="8" spans="1:19" x14ac:dyDescent="0.25">
      <c r="A8" s="1"/>
      <c r="B8" s="155"/>
      <c r="C8"/>
      <c r="D8" s="1"/>
      <c r="E8" s="1"/>
      <c r="F8" s="143"/>
      <c r="G8"/>
      <c r="H8"/>
      <c r="I8"/>
      <c r="J8" s="153"/>
      <c r="K8" s="37"/>
      <c r="O8" s="156"/>
      <c r="P8" s="157"/>
      <c r="Q8" s="145"/>
    </row>
    <row r="9" spans="1:19" x14ac:dyDescent="0.25">
      <c r="A9" s="1"/>
      <c r="B9" s="155"/>
      <c r="C9"/>
      <c r="D9" s="1"/>
      <c r="E9" s="1"/>
      <c r="F9" s="143"/>
      <c r="G9"/>
      <c r="H9"/>
      <c r="I9"/>
      <c r="J9" s="153"/>
      <c r="K9" s="37"/>
      <c r="O9" s="156"/>
      <c r="P9" s="157"/>
      <c r="Q9" s="145"/>
    </row>
    <row r="10" spans="1:19" x14ac:dyDescent="0.25">
      <c r="A10" s="1"/>
      <c r="B10" s="155"/>
      <c r="C10"/>
      <c r="D10" s="1"/>
      <c r="E10" s="1"/>
      <c r="F10" s="143"/>
      <c r="G10"/>
      <c r="H10"/>
      <c r="I10"/>
      <c r="J10" s="153"/>
      <c r="K10" s="37"/>
      <c r="O10" s="156"/>
      <c r="P10" s="157"/>
      <c r="Q10" s="145"/>
    </row>
    <row r="11" spans="1:19" x14ac:dyDescent="0.25">
      <c r="A11" s="1"/>
      <c r="B11" s="155"/>
      <c r="C11"/>
      <c r="D11" s="1"/>
      <c r="E11" s="1"/>
      <c r="F11" s="143"/>
      <c r="G11"/>
      <c r="H11"/>
      <c r="I11"/>
      <c r="J11" s="153"/>
      <c r="K11" s="37"/>
      <c r="O11" s="156"/>
      <c r="P11" s="157"/>
      <c r="Q11" s="145"/>
    </row>
    <row r="12" spans="1:19" x14ac:dyDescent="0.25">
      <c r="A12" s="1"/>
      <c r="B12" s="155"/>
      <c r="C12"/>
      <c r="D12" s="1"/>
      <c r="E12" s="1"/>
      <c r="F12" s="143"/>
      <c r="G12"/>
      <c r="H12"/>
      <c r="I12"/>
      <c r="J12" s="153"/>
      <c r="K12" s="37"/>
      <c r="O12" s="156"/>
      <c r="P12" s="157"/>
      <c r="Q12" s="145"/>
    </row>
    <row r="13" spans="1:19" x14ac:dyDescent="0.25">
      <c r="A13" s="1"/>
      <c r="B13" s="155"/>
      <c r="C13"/>
      <c r="D13" s="1"/>
      <c r="E13" s="1"/>
      <c r="F13" s="143"/>
      <c r="G13"/>
      <c r="H13"/>
      <c r="I13"/>
      <c r="J13" s="153"/>
      <c r="K13" s="37"/>
      <c r="O13" s="156"/>
      <c r="P13" s="157"/>
      <c r="Q13" s="145"/>
    </row>
    <row r="14" spans="1:19" x14ac:dyDescent="0.25">
      <c r="A14" s="1"/>
      <c r="B14" s="155"/>
      <c r="C14"/>
      <c r="D14" s="1"/>
      <c r="E14" s="1"/>
      <c r="F14" s="143"/>
      <c r="G14"/>
      <c r="H14"/>
      <c r="I14"/>
      <c r="J14" s="153"/>
      <c r="K14" s="37"/>
      <c r="O14" s="156"/>
      <c r="P14" s="157"/>
      <c r="Q14" s="145"/>
    </row>
    <row r="15" spans="1:19" x14ac:dyDescent="0.25">
      <c r="A15" s="1"/>
      <c r="B15" s="155"/>
      <c r="C15"/>
      <c r="D15" s="1"/>
      <c r="E15" s="1"/>
      <c r="F15" s="143"/>
      <c r="G15"/>
      <c r="H15"/>
      <c r="I15"/>
      <c r="J15" s="153"/>
      <c r="K15" s="37"/>
      <c r="O15" s="156"/>
      <c r="P15" s="157"/>
      <c r="Q15" s="145"/>
    </row>
    <row r="16" spans="1:19" x14ac:dyDescent="0.25">
      <c r="A16" s="1"/>
      <c r="B16" s="155"/>
      <c r="C16"/>
      <c r="D16" s="1"/>
      <c r="E16" s="1"/>
      <c r="F16" s="143"/>
      <c r="G16"/>
      <c r="H16"/>
      <c r="I16"/>
      <c r="J16" s="153"/>
      <c r="K16" s="37"/>
      <c r="O16" s="156"/>
      <c r="P16" s="157"/>
      <c r="Q16" s="145"/>
    </row>
    <row r="17" spans="1:17" x14ac:dyDescent="0.25">
      <c r="A17" s="1"/>
      <c r="B17" s="155"/>
      <c r="C17"/>
      <c r="D17" s="1"/>
      <c r="E17" s="1"/>
      <c r="F17" s="143"/>
      <c r="G17"/>
      <c r="H17"/>
      <c r="I17"/>
      <c r="J17" s="153"/>
      <c r="K17" s="37"/>
      <c r="O17" s="156"/>
      <c r="P17" s="157"/>
      <c r="Q17" s="145"/>
    </row>
    <row r="18" spans="1:17" x14ac:dyDescent="0.25">
      <c r="A18" s="1"/>
      <c r="B18" s="155"/>
      <c r="C18"/>
      <c r="D18" s="1"/>
      <c r="E18" s="1"/>
      <c r="F18" s="143"/>
      <c r="G18"/>
      <c r="H18"/>
      <c r="I18"/>
      <c r="J18" s="153"/>
      <c r="K18" s="37"/>
      <c r="O18" s="156"/>
      <c r="P18" s="157"/>
      <c r="Q18" s="145"/>
    </row>
    <row r="19" spans="1:17" x14ac:dyDescent="0.25">
      <c r="A19" s="1"/>
      <c r="B19" s="155"/>
      <c r="C19"/>
      <c r="D19" s="1"/>
      <c r="E19" s="1"/>
      <c r="F19" s="143"/>
      <c r="G19"/>
      <c r="H19"/>
      <c r="I19"/>
      <c r="J19" s="153"/>
      <c r="K19" s="37"/>
      <c r="O19" s="156"/>
      <c r="P19" s="157"/>
      <c r="Q19" s="145"/>
    </row>
    <row r="20" spans="1:17" x14ac:dyDescent="0.25">
      <c r="A20" s="1"/>
      <c r="B20" s="155"/>
      <c r="C20"/>
      <c r="D20" s="1"/>
      <c r="E20" s="1"/>
      <c r="F20" s="143"/>
      <c r="G20"/>
      <c r="H20"/>
      <c r="I20"/>
      <c r="J20" s="153"/>
      <c r="K20" s="37"/>
      <c r="O20" s="156"/>
      <c r="P20" s="157"/>
      <c r="Q20" s="145"/>
    </row>
    <row r="21" spans="1:17" x14ac:dyDescent="0.25">
      <c r="A21" s="1"/>
      <c r="B21" s="155"/>
      <c r="C21"/>
      <c r="D21" s="1"/>
      <c r="E21" s="1"/>
      <c r="F21" s="143"/>
      <c r="G21"/>
      <c r="H21"/>
      <c r="I21"/>
      <c r="J21" s="153"/>
      <c r="K21" s="37"/>
      <c r="O21" s="156"/>
      <c r="P21" s="157"/>
      <c r="Q21" s="145"/>
    </row>
    <row r="22" spans="1:17" x14ac:dyDescent="0.25">
      <c r="A22" s="1"/>
      <c r="B22" s="155"/>
      <c r="C22"/>
      <c r="D22" s="1"/>
      <c r="E22" s="1"/>
      <c r="F22" s="143"/>
      <c r="G22"/>
      <c r="H22"/>
      <c r="I22"/>
      <c r="J22" s="153"/>
      <c r="K22" s="37"/>
      <c r="O22" s="156"/>
      <c r="P22" s="157"/>
      <c r="Q22" s="145"/>
    </row>
    <row r="23" spans="1:17" x14ac:dyDescent="0.25">
      <c r="A23" s="1"/>
      <c r="B23" s="155"/>
      <c r="C23"/>
      <c r="D23" s="1"/>
      <c r="E23" s="1"/>
      <c r="F23" s="143"/>
      <c r="G23"/>
      <c r="H23"/>
      <c r="I23"/>
      <c r="J23" s="153"/>
      <c r="K23" s="37"/>
      <c r="O23" s="156"/>
      <c r="P23" s="157"/>
      <c r="Q23" s="145"/>
    </row>
    <row r="24" spans="1:17" x14ac:dyDescent="0.25">
      <c r="A24" s="1"/>
      <c r="B24" s="155"/>
      <c r="C24"/>
      <c r="D24" s="1"/>
      <c r="E24" s="1"/>
      <c r="F24" s="143"/>
      <c r="G24"/>
      <c r="H24"/>
      <c r="I24"/>
      <c r="J24" s="153"/>
      <c r="K24" s="37"/>
      <c r="O24" s="156"/>
      <c r="P24" s="157"/>
      <c r="Q24" s="145"/>
    </row>
    <row r="25" spans="1:17" x14ac:dyDescent="0.25">
      <c r="A25" s="1"/>
      <c r="B25" s="155"/>
      <c r="C25"/>
      <c r="D25" s="1"/>
      <c r="E25" s="1"/>
      <c r="F25" s="143"/>
      <c r="G25"/>
      <c r="H25"/>
      <c r="I25"/>
      <c r="J25" s="153"/>
      <c r="K25" s="37"/>
      <c r="O25" s="156"/>
      <c r="P25" s="157"/>
      <c r="Q25" s="145"/>
    </row>
    <row r="26" spans="1:17" x14ac:dyDescent="0.25">
      <c r="A26" s="1"/>
      <c r="B26" s="155"/>
      <c r="C26"/>
      <c r="D26" s="1"/>
      <c r="E26" s="1"/>
      <c r="F26" s="143"/>
      <c r="G26"/>
      <c r="H26"/>
      <c r="I26"/>
      <c r="J26" s="153"/>
      <c r="K26" s="37"/>
      <c r="O26" s="156"/>
      <c r="P26" s="157"/>
      <c r="Q26" s="145"/>
    </row>
    <row r="27" spans="1:17" x14ac:dyDescent="0.25">
      <c r="A27" s="1"/>
      <c r="B27" s="155"/>
      <c r="C27"/>
      <c r="D27" s="1"/>
      <c r="E27" s="1"/>
      <c r="F27" s="143"/>
      <c r="G27"/>
      <c r="H27"/>
      <c r="I27"/>
      <c r="J27" s="153"/>
      <c r="K27" s="37"/>
      <c r="O27" s="156"/>
      <c r="P27" s="157"/>
      <c r="Q27" s="145"/>
    </row>
    <row r="28" spans="1:17" x14ac:dyDescent="0.25">
      <c r="A28" s="1"/>
      <c r="B28" s="155"/>
      <c r="C28"/>
      <c r="D28" s="1"/>
      <c r="E28" s="1"/>
      <c r="F28" s="143"/>
      <c r="G28"/>
      <c r="H28"/>
      <c r="I28"/>
      <c r="J28" s="153"/>
      <c r="K28" s="37"/>
      <c r="O28" s="156"/>
      <c r="P28" s="157"/>
      <c r="Q28" s="145"/>
    </row>
    <row r="29" spans="1:17" x14ac:dyDescent="0.25">
      <c r="A29" s="1"/>
      <c r="B29" s="155"/>
      <c r="C29"/>
      <c r="D29" s="1"/>
      <c r="E29" s="1"/>
      <c r="F29" s="143"/>
      <c r="G29"/>
      <c r="H29"/>
      <c r="I29"/>
      <c r="J29" s="153"/>
      <c r="K29" s="37"/>
      <c r="O29" s="156"/>
      <c r="P29" s="157"/>
      <c r="Q29" s="145"/>
    </row>
    <row r="30" spans="1:17" x14ac:dyDescent="0.25">
      <c r="A30" s="1"/>
      <c r="B30" s="155"/>
      <c r="C30"/>
      <c r="D30" s="1"/>
      <c r="E30" s="1"/>
      <c r="F30" s="143"/>
      <c r="G30"/>
      <c r="H30"/>
      <c r="I30"/>
      <c r="J30" s="153"/>
      <c r="K30" s="37"/>
      <c r="O30" s="156"/>
      <c r="P30" s="157"/>
      <c r="Q30" s="145"/>
    </row>
    <row r="31" spans="1:17" x14ac:dyDescent="0.25">
      <c r="A31" s="1"/>
      <c r="B31" s="155"/>
      <c r="C31"/>
      <c r="D31" s="1"/>
      <c r="E31" s="1"/>
      <c r="F31" s="143"/>
      <c r="G31"/>
      <c r="H31"/>
      <c r="I31"/>
      <c r="J31" s="153"/>
      <c r="K31" s="37"/>
      <c r="O31" s="156"/>
      <c r="P31" s="157"/>
      <c r="Q31" s="145"/>
    </row>
    <row r="32" spans="1:17" x14ac:dyDescent="0.25">
      <c r="A32" s="1"/>
      <c r="B32" s="155"/>
      <c r="C32"/>
      <c r="D32" s="1"/>
      <c r="E32" s="1"/>
      <c r="F32" s="143"/>
      <c r="G32"/>
      <c r="H32"/>
      <c r="I32"/>
      <c r="J32" s="153"/>
      <c r="K32" s="37"/>
      <c r="O32" s="156"/>
      <c r="P32" s="157"/>
      <c r="Q32" s="145"/>
    </row>
    <row r="33" spans="1:17" x14ac:dyDescent="0.25">
      <c r="A33" s="1"/>
      <c r="B33" s="155"/>
      <c r="C33"/>
      <c r="D33" s="1"/>
      <c r="E33" s="1"/>
      <c r="F33" s="143"/>
      <c r="G33"/>
      <c r="H33"/>
      <c r="I33"/>
      <c r="J33" s="153"/>
      <c r="K33" s="37"/>
      <c r="O33" s="156"/>
      <c r="P33" s="157"/>
      <c r="Q33" s="145"/>
    </row>
    <row r="34" spans="1:17" x14ac:dyDescent="0.25">
      <c r="A34" s="1"/>
      <c r="B34" s="155"/>
      <c r="C34"/>
      <c r="D34" s="1"/>
      <c r="E34" s="1"/>
      <c r="F34" s="143"/>
      <c r="G34"/>
      <c r="H34"/>
      <c r="I34"/>
      <c r="J34" s="153"/>
      <c r="K34" s="37"/>
      <c r="O34" s="156"/>
      <c r="P34" s="157"/>
      <c r="Q34" s="145"/>
    </row>
    <row r="35" spans="1:17" x14ac:dyDescent="0.25">
      <c r="A35" s="1"/>
      <c r="B35" s="155"/>
      <c r="C35"/>
      <c r="D35" s="1"/>
      <c r="E35" s="1"/>
      <c r="F35" s="143"/>
      <c r="G35"/>
      <c r="H35"/>
      <c r="I35"/>
      <c r="J35" s="153"/>
      <c r="K35" s="37"/>
      <c r="O35" s="156"/>
      <c r="P35" s="157"/>
      <c r="Q35" s="145"/>
    </row>
    <row r="36" spans="1:17" x14ac:dyDescent="0.25">
      <c r="A36" s="1"/>
      <c r="B36" s="155"/>
      <c r="C36"/>
      <c r="D36" s="1"/>
      <c r="E36" s="1"/>
      <c r="F36" s="143"/>
      <c r="G36"/>
      <c r="H36"/>
      <c r="I36"/>
      <c r="J36" s="153"/>
      <c r="K36" s="37"/>
      <c r="O36" s="156"/>
      <c r="P36" s="157"/>
      <c r="Q36" s="145"/>
    </row>
    <row r="37" spans="1:17" x14ac:dyDescent="0.25">
      <c r="A37" s="1"/>
      <c r="B37" s="155"/>
      <c r="C37"/>
      <c r="D37" s="1"/>
      <c r="E37" s="1"/>
      <c r="F37" s="143"/>
      <c r="G37"/>
      <c r="H37"/>
      <c r="I37"/>
      <c r="J37" s="153"/>
      <c r="K37" s="37"/>
      <c r="O37" s="156"/>
      <c r="P37" s="157"/>
      <c r="Q37" s="145"/>
    </row>
    <row r="38" spans="1:17" x14ac:dyDescent="0.25">
      <c r="A38" s="1"/>
      <c r="B38" s="155"/>
      <c r="C38"/>
      <c r="D38" s="1"/>
      <c r="E38" s="1"/>
      <c r="F38" s="143"/>
      <c r="G38"/>
      <c r="H38"/>
      <c r="I38"/>
      <c r="J38" s="153"/>
      <c r="K38" s="37"/>
      <c r="O38" s="156"/>
      <c r="P38" s="157"/>
      <c r="Q38" s="145"/>
    </row>
    <row r="39" spans="1:17" x14ac:dyDescent="0.25">
      <c r="A39" s="1"/>
      <c r="B39" s="155"/>
      <c r="C39"/>
      <c r="D39" s="1"/>
      <c r="E39" s="1"/>
      <c r="F39" s="143"/>
      <c r="G39"/>
      <c r="H39"/>
      <c r="I39"/>
      <c r="J39" s="153"/>
      <c r="K39" s="37"/>
      <c r="O39" s="156"/>
      <c r="P39" s="157"/>
      <c r="Q39" s="145"/>
    </row>
    <row r="40" spans="1:17" x14ac:dyDescent="0.25">
      <c r="A40" s="1"/>
      <c r="B40" s="155"/>
      <c r="C40"/>
      <c r="D40" s="1"/>
      <c r="E40" s="1"/>
      <c r="F40" s="143"/>
      <c r="G40"/>
      <c r="H40"/>
      <c r="I40"/>
      <c r="J40" s="153"/>
      <c r="K40" s="37"/>
      <c r="O40" s="156"/>
      <c r="P40" s="157"/>
      <c r="Q40" s="145"/>
    </row>
    <row r="41" spans="1:17" x14ac:dyDescent="0.25">
      <c r="A41" s="1"/>
      <c r="B41" s="155"/>
      <c r="C41"/>
      <c r="D41" s="1"/>
      <c r="E41" s="1"/>
      <c r="F41" s="143"/>
      <c r="G41"/>
      <c r="H41"/>
      <c r="I41"/>
      <c r="J41" s="153"/>
      <c r="K41" s="37"/>
      <c r="O41" s="156"/>
      <c r="P41" s="157"/>
      <c r="Q41" s="145"/>
    </row>
    <row r="42" spans="1:17" x14ac:dyDescent="0.25">
      <c r="A42" s="1"/>
      <c r="B42" s="155"/>
      <c r="C42"/>
      <c r="D42" s="1"/>
      <c r="E42" s="1"/>
      <c r="F42" s="143"/>
      <c r="G42"/>
      <c r="H42"/>
      <c r="I42"/>
      <c r="J42" s="153"/>
      <c r="K42" s="37"/>
      <c r="O42" s="156"/>
      <c r="P42" s="157"/>
      <c r="Q42" s="145"/>
    </row>
    <row r="43" spans="1:17" x14ac:dyDescent="0.25">
      <c r="A43" s="1"/>
      <c r="B43" s="155"/>
      <c r="C43"/>
      <c r="D43" s="1"/>
      <c r="E43" s="1"/>
      <c r="F43" s="143"/>
      <c r="G43"/>
      <c r="H43"/>
      <c r="I43"/>
      <c r="J43" s="153"/>
      <c r="K43" s="37"/>
      <c r="O43" s="156"/>
      <c r="P43" s="157"/>
      <c r="Q43" s="145"/>
    </row>
    <row r="44" spans="1:17" x14ac:dyDescent="0.25">
      <c r="A44" s="1"/>
      <c r="B44" s="155"/>
      <c r="C44"/>
      <c r="D44" s="1"/>
      <c r="E44" s="1"/>
      <c r="F44" s="143"/>
      <c r="G44"/>
      <c r="H44"/>
      <c r="I44"/>
      <c r="J44" s="153"/>
      <c r="K44" s="37"/>
      <c r="O44" s="156"/>
      <c r="P44" s="157"/>
      <c r="Q44" s="145"/>
    </row>
    <row r="45" spans="1:17" x14ac:dyDescent="0.25">
      <c r="A45" s="1"/>
      <c r="B45" s="155"/>
      <c r="C45"/>
      <c r="D45" s="1"/>
      <c r="E45" s="1"/>
      <c r="F45" s="143"/>
      <c r="G45"/>
      <c r="H45"/>
      <c r="I45"/>
      <c r="J45" s="153"/>
      <c r="K45" s="37"/>
      <c r="O45" s="156"/>
      <c r="P45" s="157"/>
      <c r="Q45" s="145"/>
    </row>
    <row r="46" spans="1:17" x14ac:dyDescent="0.25">
      <c r="A46" s="1"/>
      <c r="B46" s="155"/>
      <c r="C46"/>
      <c r="D46" s="1"/>
      <c r="E46" s="1"/>
      <c r="F46" s="143"/>
      <c r="G46"/>
      <c r="H46"/>
      <c r="I46"/>
      <c r="J46" s="153"/>
      <c r="K46" s="37"/>
      <c r="O46" s="156"/>
      <c r="P46" s="157"/>
      <c r="Q46" s="145"/>
    </row>
    <row r="47" spans="1:17" x14ac:dyDescent="0.25">
      <c r="A47" s="1"/>
      <c r="B47" s="155"/>
      <c r="C47"/>
      <c r="D47" s="1"/>
      <c r="E47" s="1"/>
      <c r="F47" s="143"/>
      <c r="G47"/>
      <c r="H47"/>
      <c r="I47"/>
      <c r="J47" s="153"/>
      <c r="K47" s="37"/>
      <c r="O47" s="156"/>
      <c r="P47" s="157"/>
      <c r="Q47" s="145"/>
    </row>
    <row r="48" spans="1:17" x14ac:dyDescent="0.25">
      <c r="A48" s="1"/>
      <c r="B48" s="155"/>
      <c r="C48"/>
      <c r="D48" s="1"/>
      <c r="E48" s="1"/>
      <c r="F48" s="143"/>
      <c r="G48"/>
      <c r="H48"/>
      <c r="I48"/>
      <c r="J48" s="153"/>
      <c r="K48" s="37"/>
      <c r="O48" s="156"/>
      <c r="P48" s="157"/>
      <c r="Q48" s="145"/>
    </row>
    <row r="49" spans="1:17" x14ac:dyDescent="0.25">
      <c r="A49" s="1"/>
      <c r="B49" s="155"/>
      <c r="C49"/>
      <c r="D49" s="1"/>
      <c r="E49" s="1"/>
      <c r="F49" s="143"/>
      <c r="G49"/>
      <c r="H49"/>
      <c r="I49"/>
      <c r="J49" s="153"/>
      <c r="K49" s="37"/>
      <c r="O49" s="156"/>
      <c r="P49" s="157"/>
      <c r="Q49" s="145"/>
    </row>
    <row r="50" spans="1:17" x14ac:dyDescent="0.25">
      <c r="A50" s="1"/>
      <c r="B50" s="155"/>
      <c r="C50"/>
      <c r="D50" s="1"/>
      <c r="E50" s="1"/>
      <c r="F50" s="143"/>
      <c r="G50"/>
      <c r="H50"/>
      <c r="I50"/>
      <c r="J50" s="153"/>
      <c r="K50" s="37"/>
      <c r="O50" s="156"/>
      <c r="P50" s="157"/>
      <c r="Q50" s="145"/>
    </row>
    <row r="51" spans="1:17" x14ac:dyDescent="0.25">
      <c r="A51" s="1"/>
      <c r="B51" s="155"/>
      <c r="C51"/>
      <c r="D51" s="1"/>
      <c r="E51" s="1"/>
      <c r="F51" s="143"/>
      <c r="G51"/>
      <c r="H51"/>
      <c r="I51"/>
      <c r="J51" s="153"/>
      <c r="K51" s="37"/>
      <c r="O51" s="156"/>
      <c r="P51" s="157"/>
      <c r="Q51" s="145"/>
    </row>
    <row r="52" spans="1:17" x14ac:dyDescent="0.25">
      <c r="A52" s="1"/>
      <c r="B52" s="155"/>
      <c r="C52"/>
      <c r="D52" s="1"/>
      <c r="E52" s="1"/>
      <c r="F52" s="143"/>
      <c r="G52"/>
      <c r="H52"/>
      <c r="I52"/>
      <c r="J52" s="153"/>
      <c r="K52" s="37"/>
      <c r="O52" s="156"/>
      <c r="P52" s="157"/>
      <c r="Q52" s="145"/>
    </row>
    <row r="53" spans="1:17" x14ac:dyDescent="0.25">
      <c r="A53" s="1" t="s">
        <v>1308</v>
      </c>
      <c r="B53">
        <v>64</v>
      </c>
    </row>
    <row r="54" spans="1:17" x14ac:dyDescent="0.25">
      <c r="A54" s="1" t="s">
        <v>1309</v>
      </c>
      <c r="B54">
        <v>65</v>
      </c>
    </row>
    <row r="55" spans="1:17" x14ac:dyDescent="0.25">
      <c r="A55" s="1" t="s">
        <v>1310</v>
      </c>
      <c r="B55">
        <v>66</v>
      </c>
    </row>
    <row r="56" spans="1:17" x14ac:dyDescent="0.25">
      <c r="A56" s="1" t="s">
        <v>1311</v>
      </c>
      <c r="B56">
        <v>67</v>
      </c>
    </row>
    <row r="57" spans="1:17" x14ac:dyDescent="0.25">
      <c r="A57" s="1" t="s">
        <v>1312</v>
      </c>
      <c r="B57">
        <v>68</v>
      </c>
    </row>
    <row r="58" spans="1:17" x14ac:dyDescent="0.25">
      <c r="A58" s="1" t="s">
        <v>1313</v>
      </c>
      <c r="B58">
        <v>69</v>
      </c>
    </row>
    <row r="59" spans="1:17" x14ac:dyDescent="0.25">
      <c r="A59" s="1" t="s">
        <v>1314</v>
      </c>
      <c r="B59">
        <v>70</v>
      </c>
    </row>
    <row r="60" spans="1:17" x14ac:dyDescent="0.25">
      <c r="A60" s="1" t="s">
        <v>1325</v>
      </c>
      <c r="B60">
        <v>81</v>
      </c>
    </row>
    <row r="61" spans="1:17" x14ac:dyDescent="0.25">
      <c r="A61" s="1" t="s">
        <v>1326</v>
      </c>
      <c r="B61">
        <v>82</v>
      </c>
    </row>
    <row r="62" spans="1:17" x14ac:dyDescent="0.25">
      <c r="A62" s="1" t="s">
        <v>1327</v>
      </c>
      <c r="B62">
        <v>83</v>
      </c>
    </row>
    <row r="63" spans="1:17" x14ac:dyDescent="0.25">
      <c r="A63" s="1" t="s">
        <v>1328</v>
      </c>
      <c r="B63">
        <v>84</v>
      </c>
    </row>
    <row r="64" spans="1:17" x14ac:dyDescent="0.25">
      <c r="A64" s="1" t="s">
        <v>1329</v>
      </c>
      <c r="B64">
        <v>85</v>
      </c>
    </row>
    <row r="65" spans="1:2" x14ac:dyDescent="0.25">
      <c r="A65" s="1" t="s">
        <v>1330</v>
      </c>
      <c r="B65">
        <v>86</v>
      </c>
    </row>
    <row r="66" spans="1:2" x14ac:dyDescent="0.25">
      <c r="A66" s="1" t="s">
        <v>1331</v>
      </c>
      <c r="B66">
        <v>87</v>
      </c>
    </row>
    <row r="67" spans="1:2" x14ac:dyDescent="0.25">
      <c r="A67" s="1" t="s">
        <v>1342</v>
      </c>
      <c r="B67">
        <v>98</v>
      </c>
    </row>
    <row r="68" spans="1:2" x14ac:dyDescent="0.25">
      <c r="A68" s="1" t="s">
        <v>1343</v>
      </c>
      <c r="B68">
        <v>99</v>
      </c>
    </row>
    <row r="69" spans="1:2" x14ac:dyDescent="0.25">
      <c r="A69" s="1" t="s">
        <v>1344</v>
      </c>
      <c r="B69">
        <v>100</v>
      </c>
    </row>
    <row r="70" spans="1:2" x14ac:dyDescent="0.25">
      <c r="A70" s="1" t="s">
        <v>1345</v>
      </c>
      <c r="B70">
        <v>101</v>
      </c>
    </row>
    <row r="71" spans="1:2" x14ac:dyDescent="0.25">
      <c r="A71" s="1" t="s">
        <v>1346</v>
      </c>
      <c r="B71">
        <v>102</v>
      </c>
    </row>
    <row r="72" spans="1:2" x14ac:dyDescent="0.25">
      <c r="A72" s="1" t="s">
        <v>1347</v>
      </c>
      <c r="B72">
        <v>103</v>
      </c>
    </row>
    <row r="73" spans="1:2" x14ac:dyDescent="0.25">
      <c r="A73" s="1" t="s">
        <v>1348</v>
      </c>
      <c r="B73">
        <v>104</v>
      </c>
    </row>
    <row r="74" spans="1:2" x14ac:dyDescent="0.25">
      <c r="A74" s="1" t="s">
        <v>1273</v>
      </c>
      <c r="B74">
        <v>115</v>
      </c>
    </row>
    <row r="75" spans="1:2" x14ac:dyDescent="0.25">
      <c r="A75" s="1" t="s">
        <v>1274</v>
      </c>
      <c r="B75">
        <v>116</v>
      </c>
    </row>
    <row r="76" spans="1:2" x14ac:dyDescent="0.25">
      <c r="A76" s="1" t="s">
        <v>1275</v>
      </c>
      <c r="B76">
        <v>117</v>
      </c>
    </row>
    <row r="77" spans="1:2" x14ac:dyDescent="0.25">
      <c r="A77" s="1" t="s">
        <v>1276</v>
      </c>
      <c r="B77">
        <v>118</v>
      </c>
    </row>
    <row r="78" spans="1:2" x14ac:dyDescent="0.25">
      <c r="A78" s="1" t="s">
        <v>1277</v>
      </c>
      <c r="B78">
        <v>119</v>
      </c>
    </row>
    <row r="79" spans="1:2" x14ac:dyDescent="0.25">
      <c r="A79" s="1" t="s">
        <v>1269</v>
      </c>
      <c r="B79">
        <v>120</v>
      </c>
    </row>
    <row r="80" spans="1:2" x14ac:dyDescent="0.25">
      <c r="A80" s="1" t="s">
        <v>1270</v>
      </c>
      <c r="B80">
        <v>121</v>
      </c>
    </row>
    <row r="81" spans="1:2" x14ac:dyDescent="0.25">
      <c r="A81" s="1" t="s">
        <v>1271</v>
      </c>
      <c r="B81">
        <v>122</v>
      </c>
    </row>
    <row r="82" spans="1:2" x14ac:dyDescent="0.25">
      <c r="A82" s="1" t="s">
        <v>1272</v>
      </c>
      <c r="B82">
        <v>123</v>
      </c>
    </row>
    <row r="83" spans="1:2" x14ac:dyDescent="0.25">
      <c r="A83" s="1" t="s">
        <v>1266</v>
      </c>
      <c r="B83">
        <v>124</v>
      </c>
    </row>
    <row r="84" spans="1:2" x14ac:dyDescent="0.25">
      <c r="A84" s="1" t="s">
        <v>1267</v>
      </c>
      <c r="B84">
        <v>125</v>
      </c>
    </row>
    <row r="85" spans="1:2" x14ac:dyDescent="0.25">
      <c r="A85" s="1" t="s">
        <v>1268</v>
      </c>
      <c r="B85">
        <v>126</v>
      </c>
    </row>
  </sheetData>
  <conditionalFormatting sqref="P2:Q52">
    <cfRule type="cellIs" dxfId="65" priority="1" operator="equal">
      <formula>"WYKONANE"</formula>
    </cfRule>
    <cfRule type="cellIs" dxfId="64" priority="2" operator="equal">
      <formula>"NIEWYKONANE"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Arkusz56"/>
  <dimension ref="A1:P110"/>
  <sheetViews>
    <sheetView workbookViewId="0"/>
  </sheetViews>
  <sheetFormatPr defaultRowHeight="15" x14ac:dyDescent="0.25"/>
  <cols>
    <col min="2" max="2" width="11.7109375" bestFit="1" customWidth="1"/>
    <col min="3" max="4" width="8.85546875" bestFit="1" customWidth="1"/>
    <col min="5" max="5" width="9.28515625" bestFit="1" customWidth="1"/>
    <col min="6" max="6" width="8.7109375" bestFit="1" customWidth="1"/>
    <col min="7" max="7" width="7.85546875" bestFit="1" customWidth="1"/>
    <col min="8" max="8" width="8.28515625" bestFit="1" customWidth="1"/>
    <col min="9" max="9" width="12.5703125" bestFit="1" customWidth="1"/>
    <col min="10" max="10" width="13.42578125" bestFit="1" customWidth="1"/>
    <col min="11" max="11" width="8" bestFit="1" customWidth="1"/>
    <col min="12" max="12" width="6.5703125" bestFit="1" customWidth="1"/>
    <col min="13" max="13" width="17.42578125" bestFit="1" customWidth="1"/>
    <col min="14" max="14" width="10.5703125" bestFit="1" customWidth="1"/>
    <col min="15" max="15" width="8.5703125" bestFit="1" customWidth="1"/>
    <col min="16" max="16" width="8.7109375" bestFit="1" customWidth="1"/>
  </cols>
  <sheetData>
    <row r="1" spans="1:16" x14ac:dyDescent="0.25">
      <c r="A1" t="s">
        <v>2067</v>
      </c>
      <c r="B1" t="s">
        <v>5</v>
      </c>
      <c r="C1" t="s">
        <v>68</v>
      </c>
      <c r="D1" t="s">
        <v>69</v>
      </c>
      <c r="E1" t="s">
        <v>70</v>
      </c>
      <c r="F1" t="s">
        <v>270</v>
      </c>
      <c r="G1" t="s">
        <v>1</v>
      </c>
      <c r="H1" t="s">
        <v>2</v>
      </c>
      <c r="I1" t="s">
        <v>71</v>
      </c>
      <c r="J1" t="s">
        <v>1101</v>
      </c>
      <c r="K1" t="s">
        <v>272</v>
      </c>
      <c r="L1" t="s">
        <v>273</v>
      </c>
      <c r="M1" t="s">
        <v>61</v>
      </c>
      <c r="N1" t="s">
        <v>14</v>
      </c>
      <c r="O1" t="s">
        <v>19</v>
      </c>
      <c r="P1" t="s">
        <v>0</v>
      </c>
    </row>
    <row r="2" spans="1:16" x14ac:dyDescent="0.25">
      <c r="B2" s="1" t="s">
        <v>1167</v>
      </c>
      <c r="C2">
        <v>180</v>
      </c>
      <c r="D2">
        <v>1350</v>
      </c>
      <c r="E2">
        <v>3250</v>
      </c>
      <c r="F2">
        <v>256</v>
      </c>
      <c r="G2">
        <v>1459</v>
      </c>
      <c r="H2">
        <v>3450</v>
      </c>
      <c r="I2">
        <v>4</v>
      </c>
      <c r="J2">
        <v>4.3874997857232607</v>
      </c>
      <c r="M2" t="s">
        <v>1196</v>
      </c>
      <c r="N2" s="1" t="s">
        <v>80</v>
      </c>
      <c r="O2">
        <v>1</v>
      </c>
      <c r="P2" s="1" t="s">
        <v>1197</v>
      </c>
    </row>
    <row r="3" spans="1:16" x14ac:dyDescent="0.25">
      <c r="B3" s="1" t="s">
        <v>1168</v>
      </c>
      <c r="C3">
        <v>180</v>
      </c>
      <c r="D3">
        <v>1350</v>
      </c>
      <c r="E3">
        <v>3120</v>
      </c>
      <c r="F3">
        <v>256</v>
      </c>
      <c r="G3">
        <v>1459</v>
      </c>
      <c r="H3">
        <v>3320</v>
      </c>
      <c r="I3">
        <v>4</v>
      </c>
      <c r="J3">
        <v>4.2120776392098689</v>
      </c>
      <c r="M3" t="s">
        <v>1196</v>
      </c>
      <c r="N3" s="1" t="s">
        <v>80</v>
      </c>
      <c r="O3">
        <v>2</v>
      </c>
      <c r="P3" s="1" t="s">
        <v>1198</v>
      </c>
    </row>
    <row r="4" spans="1:16" x14ac:dyDescent="0.25">
      <c r="B4" s="1" t="s">
        <v>1169</v>
      </c>
      <c r="C4">
        <v>180</v>
      </c>
      <c r="D4">
        <v>1350</v>
      </c>
      <c r="E4">
        <v>3120</v>
      </c>
      <c r="F4">
        <v>256</v>
      </c>
      <c r="G4">
        <v>1459</v>
      </c>
      <c r="H4">
        <v>3320</v>
      </c>
      <c r="I4">
        <v>4</v>
      </c>
      <c r="J4">
        <v>4.2120019820508698</v>
      </c>
      <c r="M4" t="s">
        <v>1196</v>
      </c>
      <c r="N4" s="1" t="s">
        <v>80</v>
      </c>
      <c r="O4">
        <v>3</v>
      </c>
      <c r="P4" s="1" t="s">
        <v>1199</v>
      </c>
    </row>
    <row r="5" spans="1:16" x14ac:dyDescent="0.25">
      <c r="B5" s="1" t="s">
        <v>1170</v>
      </c>
      <c r="C5">
        <v>180</v>
      </c>
      <c r="D5">
        <v>1350</v>
      </c>
      <c r="E5">
        <v>3137</v>
      </c>
      <c r="F5">
        <v>256</v>
      </c>
      <c r="G5">
        <v>1459</v>
      </c>
      <c r="H5">
        <v>3775</v>
      </c>
      <c r="I5">
        <v>4</v>
      </c>
      <c r="J5">
        <v>4.2348972947659878</v>
      </c>
      <c r="M5" t="s">
        <v>1196</v>
      </c>
      <c r="N5" s="1" t="s">
        <v>80</v>
      </c>
      <c r="O5">
        <v>4</v>
      </c>
      <c r="P5" s="1" t="s">
        <v>1200</v>
      </c>
    </row>
    <row r="6" spans="1:16" x14ac:dyDescent="0.25">
      <c r="B6" s="1" t="s">
        <v>1171</v>
      </c>
      <c r="C6">
        <v>180</v>
      </c>
      <c r="D6">
        <v>1350</v>
      </c>
      <c r="E6">
        <v>3251</v>
      </c>
      <c r="F6">
        <v>256</v>
      </c>
      <c r="G6">
        <v>1459</v>
      </c>
      <c r="H6">
        <v>3451</v>
      </c>
      <c r="I6">
        <v>4</v>
      </c>
      <c r="J6">
        <v>4.3888501166012004</v>
      </c>
      <c r="M6" t="s">
        <v>1196</v>
      </c>
      <c r="N6" s="1" t="s">
        <v>80</v>
      </c>
      <c r="O6">
        <v>5</v>
      </c>
      <c r="P6" s="1" t="s">
        <v>1201</v>
      </c>
    </row>
    <row r="7" spans="1:16" x14ac:dyDescent="0.25">
      <c r="B7" s="1" t="s">
        <v>1172</v>
      </c>
      <c r="C7">
        <v>180</v>
      </c>
      <c r="D7">
        <v>1350</v>
      </c>
      <c r="E7">
        <v>3120</v>
      </c>
      <c r="F7">
        <v>256</v>
      </c>
      <c r="G7">
        <v>1459</v>
      </c>
      <c r="H7">
        <v>3320</v>
      </c>
      <c r="I7">
        <v>4</v>
      </c>
      <c r="J7">
        <v>4.2120776392085197</v>
      </c>
      <c r="M7" t="s">
        <v>1196</v>
      </c>
      <c r="N7" s="1" t="s">
        <v>80</v>
      </c>
      <c r="O7">
        <v>6</v>
      </c>
      <c r="P7" s="1" t="s">
        <v>1202</v>
      </c>
    </row>
    <row r="8" spans="1:16" x14ac:dyDescent="0.25">
      <c r="B8" s="1" t="s">
        <v>1173</v>
      </c>
      <c r="C8">
        <v>180</v>
      </c>
      <c r="D8">
        <v>1350</v>
      </c>
      <c r="E8">
        <v>3120</v>
      </c>
      <c r="F8">
        <v>256</v>
      </c>
      <c r="G8">
        <v>1459</v>
      </c>
      <c r="H8">
        <v>3320</v>
      </c>
      <c r="I8">
        <v>4</v>
      </c>
      <c r="J8">
        <v>4.2120019820643693</v>
      </c>
      <c r="M8" t="s">
        <v>1196</v>
      </c>
      <c r="N8" s="1" t="s">
        <v>80</v>
      </c>
      <c r="O8">
        <v>7</v>
      </c>
      <c r="P8" s="1" t="s">
        <v>1203</v>
      </c>
    </row>
    <row r="9" spans="1:16" x14ac:dyDescent="0.25">
      <c r="B9" s="1" t="s">
        <v>1174</v>
      </c>
      <c r="C9">
        <v>180</v>
      </c>
      <c r="D9">
        <v>1350</v>
      </c>
      <c r="E9">
        <v>3136</v>
      </c>
      <c r="F9">
        <v>256</v>
      </c>
      <c r="G9">
        <v>1459</v>
      </c>
      <c r="H9">
        <v>3774</v>
      </c>
      <c r="I9">
        <v>4</v>
      </c>
      <c r="J9">
        <v>4.2334715538394789</v>
      </c>
      <c r="M9" t="s">
        <v>1196</v>
      </c>
      <c r="N9" s="1" t="s">
        <v>80</v>
      </c>
      <c r="O9">
        <v>8</v>
      </c>
      <c r="P9" s="1" t="s">
        <v>1204</v>
      </c>
    </row>
    <row r="10" spans="1:16" x14ac:dyDescent="0.25">
      <c r="B10" s="1" t="s">
        <v>1175</v>
      </c>
      <c r="C10">
        <v>180</v>
      </c>
      <c r="D10">
        <v>1350</v>
      </c>
      <c r="E10">
        <v>3153</v>
      </c>
      <c r="F10">
        <v>261</v>
      </c>
      <c r="G10">
        <v>1481</v>
      </c>
      <c r="H10">
        <v>3153</v>
      </c>
      <c r="I10">
        <v>4</v>
      </c>
      <c r="J10">
        <v>4.2565494307046272</v>
      </c>
      <c r="M10" t="s">
        <v>1196</v>
      </c>
      <c r="N10" s="1" t="s">
        <v>80</v>
      </c>
      <c r="O10">
        <v>9</v>
      </c>
      <c r="P10" s="1" t="s">
        <v>1205</v>
      </c>
    </row>
    <row r="11" spans="1:16" x14ac:dyDescent="0.25">
      <c r="B11" s="1" t="s">
        <v>1176</v>
      </c>
      <c r="C11">
        <v>180</v>
      </c>
      <c r="D11">
        <v>1319</v>
      </c>
      <c r="E11">
        <v>3153</v>
      </c>
      <c r="F11">
        <v>231</v>
      </c>
      <c r="G11">
        <v>1424</v>
      </c>
      <c r="H11">
        <v>3153</v>
      </c>
      <c r="I11">
        <v>4</v>
      </c>
      <c r="J11">
        <v>4.1589518230493008</v>
      </c>
      <c r="M11" t="s">
        <v>1196</v>
      </c>
      <c r="N11" s="1" t="s">
        <v>80</v>
      </c>
      <c r="O11">
        <v>10</v>
      </c>
      <c r="P11" s="1" t="s">
        <v>1206</v>
      </c>
    </row>
    <row r="12" spans="1:16" x14ac:dyDescent="0.25">
      <c r="B12" s="1" t="s">
        <v>1177</v>
      </c>
      <c r="C12">
        <v>180</v>
      </c>
      <c r="D12">
        <v>987</v>
      </c>
      <c r="E12">
        <v>3250</v>
      </c>
      <c r="F12">
        <v>261</v>
      </c>
      <c r="G12">
        <v>987</v>
      </c>
      <c r="H12">
        <v>3450</v>
      </c>
      <c r="I12">
        <v>3</v>
      </c>
      <c r="J12">
        <v>3.2078410898587699</v>
      </c>
      <c r="M12" t="s">
        <v>1196</v>
      </c>
      <c r="N12" s="1" t="s">
        <v>81</v>
      </c>
      <c r="O12">
        <v>11</v>
      </c>
      <c r="P12" s="1" t="s">
        <v>1207</v>
      </c>
    </row>
    <row r="13" spans="1:16" x14ac:dyDescent="0.25">
      <c r="B13" s="1" t="s">
        <v>1178</v>
      </c>
      <c r="C13">
        <v>180</v>
      </c>
      <c r="D13">
        <v>987</v>
      </c>
      <c r="E13">
        <v>3120</v>
      </c>
      <c r="F13">
        <v>261</v>
      </c>
      <c r="G13">
        <v>987</v>
      </c>
      <c r="H13">
        <v>3320</v>
      </c>
      <c r="I13">
        <v>3</v>
      </c>
      <c r="J13">
        <v>3.0795845195840554</v>
      </c>
      <c r="M13" t="s">
        <v>1196</v>
      </c>
      <c r="N13" s="1" t="s">
        <v>81</v>
      </c>
      <c r="O13">
        <v>12</v>
      </c>
      <c r="P13" s="1" t="s">
        <v>1208</v>
      </c>
    </row>
    <row r="14" spans="1:16" x14ac:dyDescent="0.25">
      <c r="B14" s="1" t="s">
        <v>1179</v>
      </c>
      <c r="C14">
        <v>180</v>
      </c>
      <c r="D14">
        <v>987</v>
      </c>
      <c r="E14">
        <v>3120</v>
      </c>
      <c r="F14">
        <v>261</v>
      </c>
      <c r="G14">
        <v>987</v>
      </c>
      <c r="H14">
        <v>3320</v>
      </c>
      <c r="I14">
        <v>3</v>
      </c>
      <c r="J14">
        <v>3.079584519584055</v>
      </c>
      <c r="M14" t="s">
        <v>1196</v>
      </c>
      <c r="N14" s="1" t="s">
        <v>81</v>
      </c>
      <c r="O14">
        <v>13</v>
      </c>
      <c r="P14" s="1" t="s">
        <v>1209</v>
      </c>
    </row>
    <row r="15" spans="1:16" x14ac:dyDescent="0.25">
      <c r="B15" s="1" t="s">
        <v>1180</v>
      </c>
      <c r="C15">
        <v>180</v>
      </c>
      <c r="D15">
        <v>987</v>
      </c>
      <c r="E15">
        <v>3137</v>
      </c>
      <c r="F15">
        <v>261</v>
      </c>
      <c r="G15">
        <v>987</v>
      </c>
      <c r="H15">
        <v>3775</v>
      </c>
      <c r="I15">
        <v>3</v>
      </c>
      <c r="J15">
        <v>3.0960844469763078</v>
      </c>
      <c r="M15" t="s">
        <v>1196</v>
      </c>
      <c r="N15" s="1" t="s">
        <v>81</v>
      </c>
      <c r="O15">
        <v>14</v>
      </c>
      <c r="P15" s="1" t="s">
        <v>1210</v>
      </c>
    </row>
    <row r="16" spans="1:16" x14ac:dyDescent="0.25">
      <c r="B16" s="1" t="s">
        <v>1181</v>
      </c>
      <c r="C16">
        <v>180</v>
      </c>
      <c r="D16">
        <v>750</v>
      </c>
      <c r="E16">
        <v>3250</v>
      </c>
      <c r="F16">
        <v>261</v>
      </c>
      <c r="G16">
        <v>750</v>
      </c>
      <c r="H16">
        <v>3450</v>
      </c>
      <c r="I16">
        <v>2</v>
      </c>
      <c r="J16">
        <v>2.4364026504885712</v>
      </c>
      <c r="M16" t="s">
        <v>1196</v>
      </c>
      <c r="N16" s="1" t="s">
        <v>81</v>
      </c>
      <c r="O16">
        <v>15</v>
      </c>
      <c r="P16" s="1" t="s">
        <v>1211</v>
      </c>
    </row>
    <row r="17" spans="2:16" x14ac:dyDescent="0.25">
      <c r="B17" s="1" t="s">
        <v>1182</v>
      </c>
      <c r="C17">
        <v>180</v>
      </c>
      <c r="D17">
        <v>750</v>
      </c>
      <c r="E17">
        <v>3120</v>
      </c>
      <c r="F17">
        <v>261</v>
      </c>
      <c r="G17">
        <v>750</v>
      </c>
      <c r="H17">
        <v>3320</v>
      </c>
      <c r="I17">
        <v>2</v>
      </c>
      <c r="J17">
        <v>2.3389898926067993</v>
      </c>
      <c r="M17" t="s">
        <v>1196</v>
      </c>
      <c r="N17" s="1" t="s">
        <v>81</v>
      </c>
      <c r="O17">
        <v>16</v>
      </c>
      <c r="P17" s="1" t="s">
        <v>1212</v>
      </c>
    </row>
    <row r="18" spans="2:16" x14ac:dyDescent="0.25">
      <c r="B18" s="1" t="s">
        <v>1183</v>
      </c>
      <c r="C18">
        <v>180</v>
      </c>
      <c r="D18">
        <v>750</v>
      </c>
      <c r="E18">
        <v>3120</v>
      </c>
      <c r="F18">
        <v>261</v>
      </c>
      <c r="G18">
        <v>750</v>
      </c>
      <c r="H18">
        <v>3320</v>
      </c>
      <c r="I18">
        <v>2</v>
      </c>
      <c r="J18">
        <v>2.3389898924975601</v>
      </c>
      <c r="M18" t="s">
        <v>1196</v>
      </c>
      <c r="N18" s="1" t="s">
        <v>81</v>
      </c>
      <c r="O18">
        <v>17</v>
      </c>
      <c r="P18" s="1" t="s">
        <v>1213</v>
      </c>
    </row>
    <row r="19" spans="2:16" x14ac:dyDescent="0.25">
      <c r="B19" s="1" t="s">
        <v>1184</v>
      </c>
      <c r="C19">
        <v>180</v>
      </c>
      <c r="D19">
        <v>750</v>
      </c>
      <c r="E19">
        <v>3137</v>
      </c>
      <c r="F19">
        <v>261</v>
      </c>
      <c r="G19">
        <v>750</v>
      </c>
      <c r="H19">
        <v>3775</v>
      </c>
      <c r="I19">
        <v>2</v>
      </c>
      <c r="J19">
        <v>2.3515230036076979</v>
      </c>
      <c r="M19" t="s">
        <v>1196</v>
      </c>
      <c r="N19" s="1" t="s">
        <v>81</v>
      </c>
      <c r="O19">
        <v>18</v>
      </c>
      <c r="P19" s="1" t="s">
        <v>1214</v>
      </c>
    </row>
    <row r="20" spans="2:16" x14ac:dyDescent="0.25">
      <c r="B20" s="1" t="s">
        <v>1185</v>
      </c>
      <c r="C20">
        <v>180</v>
      </c>
      <c r="D20">
        <v>2289</v>
      </c>
      <c r="E20">
        <v>3250</v>
      </c>
      <c r="F20">
        <v>261</v>
      </c>
      <c r="G20">
        <v>2289</v>
      </c>
      <c r="H20">
        <v>3450</v>
      </c>
      <c r="I20">
        <v>7</v>
      </c>
      <c r="J20">
        <v>7.438233567273155</v>
      </c>
      <c r="M20" t="s">
        <v>1196</v>
      </c>
      <c r="N20" s="1" t="s">
        <v>82</v>
      </c>
      <c r="O20">
        <v>19</v>
      </c>
      <c r="P20" s="1" t="s">
        <v>1215</v>
      </c>
    </row>
    <row r="21" spans="2:16" x14ac:dyDescent="0.25">
      <c r="B21" s="1" t="s">
        <v>1186</v>
      </c>
      <c r="C21">
        <v>180</v>
      </c>
      <c r="D21">
        <v>2289</v>
      </c>
      <c r="E21">
        <v>3120</v>
      </c>
      <c r="F21">
        <v>261</v>
      </c>
      <c r="G21">
        <v>2289</v>
      </c>
      <c r="H21">
        <v>3320</v>
      </c>
      <c r="I21">
        <v>7</v>
      </c>
      <c r="J21">
        <v>7.1408358052471756</v>
      </c>
      <c r="M21" t="s">
        <v>1196</v>
      </c>
      <c r="N21" s="1" t="s">
        <v>82</v>
      </c>
      <c r="O21">
        <v>20</v>
      </c>
      <c r="P21" s="1" t="s">
        <v>913</v>
      </c>
    </row>
    <row r="22" spans="2:16" x14ac:dyDescent="0.25">
      <c r="B22" s="1" t="s">
        <v>1187</v>
      </c>
      <c r="C22">
        <v>180</v>
      </c>
      <c r="D22">
        <v>2289</v>
      </c>
      <c r="E22">
        <v>3120</v>
      </c>
      <c r="F22">
        <v>261</v>
      </c>
      <c r="G22">
        <v>2289</v>
      </c>
      <c r="H22">
        <v>3320</v>
      </c>
      <c r="I22">
        <v>7</v>
      </c>
      <c r="J22">
        <v>7.1408358052380194</v>
      </c>
      <c r="M22" t="s">
        <v>1196</v>
      </c>
      <c r="N22" s="1" t="s">
        <v>82</v>
      </c>
      <c r="O22">
        <v>21</v>
      </c>
      <c r="P22" s="1" t="s">
        <v>930</v>
      </c>
    </row>
    <row r="23" spans="2:16" x14ac:dyDescent="0.25">
      <c r="B23" s="1" t="s">
        <v>1188</v>
      </c>
      <c r="C23">
        <v>180</v>
      </c>
      <c r="D23">
        <v>2289</v>
      </c>
      <c r="E23">
        <v>3137</v>
      </c>
      <c r="F23">
        <v>261</v>
      </c>
      <c r="G23">
        <v>2289</v>
      </c>
      <c r="H23">
        <v>3775</v>
      </c>
      <c r="I23">
        <v>7</v>
      </c>
      <c r="J23">
        <v>7.1794358133708274</v>
      </c>
      <c r="M23" t="s">
        <v>1196</v>
      </c>
      <c r="N23" s="1" t="s">
        <v>82</v>
      </c>
      <c r="O23">
        <v>22</v>
      </c>
      <c r="P23" s="1" t="s">
        <v>924</v>
      </c>
    </row>
    <row r="24" spans="2:16" x14ac:dyDescent="0.25">
      <c r="B24" s="1" t="s">
        <v>1189</v>
      </c>
      <c r="C24">
        <v>180</v>
      </c>
      <c r="D24">
        <v>2268</v>
      </c>
      <c r="E24">
        <v>3250</v>
      </c>
      <c r="F24">
        <v>222</v>
      </c>
      <c r="G24">
        <v>2394</v>
      </c>
      <c r="H24">
        <v>4146</v>
      </c>
      <c r="I24">
        <v>7</v>
      </c>
      <c r="J24">
        <v>7.371000003943843</v>
      </c>
      <c r="M24" t="s">
        <v>1196</v>
      </c>
      <c r="N24" s="1" t="s">
        <v>82</v>
      </c>
      <c r="O24">
        <v>23</v>
      </c>
      <c r="P24" s="1" t="s">
        <v>1216</v>
      </c>
    </row>
    <row r="25" spans="2:16" x14ac:dyDescent="0.25">
      <c r="B25" s="1" t="s">
        <v>1190</v>
      </c>
      <c r="C25">
        <v>180</v>
      </c>
      <c r="D25">
        <v>2268</v>
      </c>
      <c r="E25">
        <v>3120</v>
      </c>
      <c r="F25">
        <v>222</v>
      </c>
      <c r="G25">
        <v>2394</v>
      </c>
      <c r="H25">
        <v>4692</v>
      </c>
      <c r="I25">
        <v>7</v>
      </c>
      <c r="J25">
        <v>7.0762907977146181</v>
      </c>
      <c r="M25" t="s">
        <v>1196</v>
      </c>
      <c r="N25" s="1" t="s">
        <v>82</v>
      </c>
      <c r="O25">
        <v>24</v>
      </c>
      <c r="P25" s="1" t="s">
        <v>911</v>
      </c>
    </row>
    <row r="26" spans="2:16" x14ac:dyDescent="0.25">
      <c r="B26" s="1" t="s">
        <v>1191</v>
      </c>
      <c r="C26">
        <v>180</v>
      </c>
      <c r="D26">
        <v>2268</v>
      </c>
      <c r="E26">
        <v>3120</v>
      </c>
      <c r="F26">
        <v>222</v>
      </c>
      <c r="G26">
        <v>2394</v>
      </c>
      <c r="H26">
        <v>4690</v>
      </c>
      <c r="I26">
        <v>7</v>
      </c>
      <c r="J26">
        <v>7.0762907957314107</v>
      </c>
      <c r="M26" t="s">
        <v>1196</v>
      </c>
      <c r="N26" s="1" t="s">
        <v>82</v>
      </c>
      <c r="O26">
        <v>25</v>
      </c>
      <c r="P26" s="1" t="s">
        <v>921</v>
      </c>
    </row>
    <row r="27" spans="2:16" x14ac:dyDescent="0.25">
      <c r="B27" s="1" t="s">
        <v>1192</v>
      </c>
      <c r="C27">
        <v>180</v>
      </c>
      <c r="D27">
        <v>2268</v>
      </c>
      <c r="E27">
        <v>2815</v>
      </c>
      <c r="F27">
        <v>222</v>
      </c>
      <c r="G27">
        <v>2394</v>
      </c>
      <c r="H27">
        <v>3679</v>
      </c>
      <c r="I27">
        <v>6</v>
      </c>
      <c r="J27">
        <v>6.3840778556194175</v>
      </c>
      <c r="M27" t="s">
        <v>1196</v>
      </c>
      <c r="N27" s="1" t="s">
        <v>82</v>
      </c>
      <c r="O27">
        <v>26</v>
      </c>
      <c r="P27" s="1" t="s">
        <v>918</v>
      </c>
    </row>
    <row r="28" spans="2:16" x14ac:dyDescent="0.25">
      <c r="B28" s="1" t="s">
        <v>1193</v>
      </c>
      <c r="C28">
        <v>180</v>
      </c>
      <c r="D28">
        <v>2046</v>
      </c>
      <c r="E28">
        <v>3120</v>
      </c>
      <c r="F28">
        <v>424</v>
      </c>
      <c r="G28">
        <v>2176</v>
      </c>
      <c r="H28">
        <v>3320</v>
      </c>
      <c r="I28">
        <v>6</v>
      </c>
      <c r="J28">
        <v>6.3831646752514795</v>
      </c>
      <c r="M28" t="s">
        <v>1196</v>
      </c>
      <c r="N28" s="1" t="s">
        <v>82</v>
      </c>
      <c r="O28">
        <v>27</v>
      </c>
      <c r="P28" s="1" t="s">
        <v>913</v>
      </c>
    </row>
    <row r="29" spans="2:16" x14ac:dyDescent="0.25">
      <c r="B29" s="1" t="s">
        <v>1194</v>
      </c>
      <c r="C29">
        <v>180</v>
      </c>
      <c r="D29">
        <v>2046</v>
      </c>
      <c r="E29">
        <v>3120</v>
      </c>
      <c r="F29">
        <v>424</v>
      </c>
      <c r="G29">
        <v>2176</v>
      </c>
      <c r="H29">
        <v>3320</v>
      </c>
      <c r="I29">
        <v>6</v>
      </c>
      <c r="J29">
        <v>6.3829184429068109</v>
      </c>
      <c r="M29" t="s">
        <v>1196</v>
      </c>
      <c r="N29" s="1" t="s">
        <v>82</v>
      </c>
      <c r="O29">
        <v>28</v>
      </c>
      <c r="P29" s="1" t="s">
        <v>930</v>
      </c>
    </row>
    <row r="30" spans="2:16" x14ac:dyDescent="0.25">
      <c r="B30" s="1" t="s">
        <v>1195</v>
      </c>
      <c r="C30">
        <v>180</v>
      </c>
      <c r="D30">
        <v>2046</v>
      </c>
      <c r="E30">
        <v>2852</v>
      </c>
      <c r="F30">
        <v>424</v>
      </c>
      <c r="G30">
        <v>2176</v>
      </c>
      <c r="H30">
        <v>3692</v>
      </c>
      <c r="I30">
        <v>6</v>
      </c>
      <c r="J30">
        <v>5.8353275154418291</v>
      </c>
      <c r="M30" t="s">
        <v>1196</v>
      </c>
      <c r="N30" s="1" t="s">
        <v>82</v>
      </c>
      <c r="O30">
        <v>29</v>
      </c>
      <c r="P30" s="1" t="s">
        <v>924</v>
      </c>
    </row>
    <row r="31" spans="2:16" x14ac:dyDescent="0.25">
      <c r="B31" s="1" t="s">
        <v>1929</v>
      </c>
      <c r="C31">
        <v>80</v>
      </c>
      <c r="D31">
        <v>1169</v>
      </c>
      <c r="E31">
        <v>2782</v>
      </c>
      <c r="F31">
        <v>101</v>
      </c>
      <c r="G31">
        <v>1489</v>
      </c>
      <c r="H31">
        <v>2782</v>
      </c>
      <c r="J31">
        <v>3.2519446386351603</v>
      </c>
      <c r="M31" t="s">
        <v>2012</v>
      </c>
      <c r="N31" s="1" t="s">
        <v>80</v>
      </c>
      <c r="O31">
        <v>30</v>
      </c>
      <c r="P31" s="1" t="s">
        <v>2013</v>
      </c>
    </row>
    <row r="32" spans="2:16" x14ac:dyDescent="0.25">
      <c r="B32" s="1" t="s">
        <v>1930</v>
      </c>
      <c r="C32">
        <v>120</v>
      </c>
      <c r="D32">
        <v>1111</v>
      </c>
      <c r="E32">
        <v>2950</v>
      </c>
      <c r="F32">
        <v>234</v>
      </c>
      <c r="G32">
        <v>1195</v>
      </c>
      <c r="H32">
        <v>3176</v>
      </c>
      <c r="J32">
        <v>3.2772762114738714</v>
      </c>
      <c r="M32" t="s">
        <v>2012</v>
      </c>
      <c r="N32" s="1" t="s">
        <v>80</v>
      </c>
      <c r="O32">
        <v>31</v>
      </c>
      <c r="P32" s="1" t="s">
        <v>2013</v>
      </c>
    </row>
    <row r="33" spans="2:16" x14ac:dyDescent="0.25">
      <c r="B33" s="1" t="s">
        <v>1931</v>
      </c>
      <c r="C33">
        <v>80</v>
      </c>
      <c r="D33">
        <v>1194</v>
      </c>
      <c r="E33">
        <v>2170</v>
      </c>
      <c r="F33">
        <v>182</v>
      </c>
      <c r="G33">
        <v>1196</v>
      </c>
      <c r="H33">
        <v>2170</v>
      </c>
      <c r="J33">
        <v>2.5906100575293562</v>
      </c>
      <c r="M33" t="s">
        <v>2012</v>
      </c>
      <c r="N33" s="1" t="s">
        <v>80</v>
      </c>
      <c r="O33">
        <v>32</v>
      </c>
      <c r="P33" s="1" t="s">
        <v>2013</v>
      </c>
    </row>
    <row r="34" spans="2:16" x14ac:dyDescent="0.25">
      <c r="B34" s="1" t="s">
        <v>1932</v>
      </c>
      <c r="C34">
        <v>80</v>
      </c>
      <c r="D34">
        <v>1143</v>
      </c>
      <c r="E34">
        <v>2170</v>
      </c>
      <c r="F34">
        <v>182</v>
      </c>
      <c r="G34">
        <v>1143</v>
      </c>
      <c r="H34">
        <v>2170</v>
      </c>
      <c r="J34">
        <v>2.4812128366785622</v>
      </c>
      <c r="M34" t="s">
        <v>2012</v>
      </c>
      <c r="N34" s="1" t="s">
        <v>80</v>
      </c>
      <c r="O34">
        <v>33</v>
      </c>
      <c r="P34" s="1" t="s">
        <v>2013</v>
      </c>
    </row>
    <row r="35" spans="2:16" x14ac:dyDescent="0.25">
      <c r="B35" s="1" t="s">
        <v>1933</v>
      </c>
      <c r="C35">
        <v>80</v>
      </c>
      <c r="D35">
        <v>936</v>
      </c>
      <c r="E35">
        <v>2812</v>
      </c>
      <c r="F35">
        <v>172</v>
      </c>
      <c r="G35">
        <v>978</v>
      </c>
      <c r="H35">
        <v>2812</v>
      </c>
      <c r="J35">
        <v>2.6316639353428952</v>
      </c>
      <c r="M35" t="s">
        <v>2012</v>
      </c>
      <c r="N35" s="1" t="s">
        <v>80</v>
      </c>
      <c r="O35">
        <v>34</v>
      </c>
      <c r="P35" s="1" t="s">
        <v>2013</v>
      </c>
    </row>
    <row r="36" spans="2:16" x14ac:dyDescent="0.25">
      <c r="B36" s="1" t="s">
        <v>1934</v>
      </c>
      <c r="C36">
        <v>80</v>
      </c>
      <c r="D36">
        <v>1159</v>
      </c>
      <c r="E36">
        <v>2782</v>
      </c>
      <c r="F36">
        <v>131</v>
      </c>
      <c r="G36">
        <v>1515</v>
      </c>
      <c r="H36">
        <v>2782</v>
      </c>
      <c r="J36">
        <v>3.2245258569441266</v>
      </c>
      <c r="M36" t="s">
        <v>2012</v>
      </c>
      <c r="N36" s="1" t="s">
        <v>80</v>
      </c>
      <c r="O36">
        <v>35</v>
      </c>
      <c r="P36" s="1" t="s">
        <v>2013</v>
      </c>
    </row>
    <row r="37" spans="2:16" x14ac:dyDescent="0.25">
      <c r="B37" s="1" t="s">
        <v>1935</v>
      </c>
      <c r="C37">
        <v>80</v>
      </c>
      <c r="D37">
        <v>1144</v>
      </c>
      <c r="E37">
        <v>2200</v>
      </c>
      <c r="F37">
        <v>182</v>
      </c>
      <c r="G37">
        <v>1144</v>
      </c>
      <c r="H37">
        <v>2200</v>
      </c>
      <c r="J37">
        <v>2.5162155784683677</v>
      </c>
      <c r="M37" t="s">
        <v>2012</v>
      </c>
      <c r="N37" s="1" t="s">
        <v>80</v>
      </c>
      <c r="O37">
        <v>36</v>
      </c>
      <c r="P37" s="1" t="s">
        <v>322</v>
      </c>
    </row>
    <row r="38" spans="2:16" x14ac:dyDescent="0.25">
      <c r="B38" s="1" t="s">
        <v>1936</v>
      </c>
      <c r="C38">
        <v>80</v>
      </c>
      <c r="D38">
        <v>1159</v>
      </c>
      <c r="E38">
        <v>3120</v>
      </c>
      <c r="F38">
        <v>131</v>
      </c>
      <c r="G38">
        <v>1515</v>
      </c>
      <c r="H38">
        <v>3120</v>
      </c>
      <c r="J38">
        <v>3.616183498499677</v>
      </c>
      <c r="M38" t="s">
        <v>2012</v>
      </c>
      <c r="N38" s="1" t="s">
        <v>80</v>
      </c>
      <c r="O38">
        <v>37</v>
      </c>
      <c r="P38" s="1" t="s">
        <v>314</v>
      </c>
    </row>
    <row r="39" spans="2:16" x14ac:dyDescent="0.25">
      <c r="B39" s="1" t="s">
        <v>1937</v>
      </c>
      <c r="C39">
        <v>81</v>
      </c>
      <c r="D39">
        <v>1169</v>
      </c>
      <c r="E39">
        <v>2788</v>
      </c>
      <c r="F39">
        <v>101</v>
      </c>
      <c r="G39">
        <v>1489</v>
      </c>
      <c r="H39">
        <v>2788</v>
      </c>
      <c r="J39">
        <v>3.2591526130667496</v>
      </c>
      <c r="M39" t="s">
        <v>2012</v>
      </c>
      <c r="N39" s="1" t="s">
        <v>80</v>
      </c>
      <c r="O39">
        <v>38</v>
      </c>
      <c r="P39" s="1" t="s">
        <v>314</v>
      </c>
    </row>
    <row r="40" spans="2:16" x14ac:dyDescent="0.25">
      <c r="B40" s="1" t="s">
        <v>1938</v>
      </c>
      <c r="C40">
        <v>80</v>
      </c>
      <c r="D40">
        <v>1159</v>
      </c>
      <c r="E40">
        <v>3120</v>
      </c>
      <c r="F40">
        <v>131</v>
      </c>
      <c r="G40">
        <v>1515</v>
      </c>
      <c r="H40">
        <v>3120</v>
      </c>
      <c r="J40">
        <v>3.616183498464983</v>
      </c>
      <c r="M40" t="s">
        <v>2012</v>
      </c>
      <c r="N40" s="1" t="s">
        <v>80</v>
      </c>
      <c r="O40">
        <v>39</v>
      </c>
      <c r="P40" s="1" t="s">
        <v>318</v>
      </c>
    </row>
    <row r="41" spans="2:16" x14ac:dyDescent="0.25">
      <c r="B41" s="1" t="s">
        <v>1939</v>
      </c>
      <c r="C41">
        <v>81</v>
      </c>
      <c r="D41">
        <v>1169</v>
      </c>
      <c r="E41">
        <v>2788</v>
      </c>
      <c r="F41">
        <v>101</v>
      </c>
      <c r="G41">
        <v>1489</v>
      </c>
      <c r="H41">
        <v>2788</v>
      </c>
      <c r="J41">
        <v>3.2591550797141866</v>
      </c>
      <c r="M41" t="s">
        <v>2012</v>
      </c>
      <c r="N41" s="1" t="s">
        <v>80</v>
      </c>
      <c r="O41">
        <v>40</v>
      </c>
      <c r="P41" s="1" t="s">
        <v>318</v>
      </c>
    </row>
    <row r="42" spans="2:16" x14ac:dyDescent="0.25">
      <c r="B42" s="1" t="s">
        <v>1940</v>
      </c>
      <c r="C42">
        <v>80</v>
      </c>
      <c r="D42">
        <v>1159</v>
      </c>
      <c r="E42">
        <v>3003</v>
      </c>
      <c r="F42">
        <v>131</v>
      </c>
      <c r="G42">
        <v>1515</v>
      </c>
      <c r="H42">
        <v>3004</v>
      </c>
      <c r="J42">
        <v>3.4812666879229526</v>
      </c>
      <c r="M42" t="s">
        <v>2012</v>
      </c>
      <c r="N42" s="1" t="s">
        <v>80</v>
      </c>
      <c r="O42">
        <v>41</v>
      </c>
      <c r="P42" s="1" t="s">
        <v>322</v>
      </c>
    </row>
    <row r="43" spans="2:16" x14ac:dyDescent="0.25">
      <c r="B43" s="1" t="s">
        <v>1941</v>
      </c>
      <c r="C43">
        <v>80</v>
      </c>
      <c r="D43">
        <v>1169</v>
      </c>
      <c r="E43">
        <v>2671</v>
      </c>
      <c r="F43">
        <v>101</v>
      </c>
      <c r="G43">
        <v>1489</v>
      </c>
      <c r="H43">
        <v>2671</v>
      </c>
      <c r="J43">
        <v>3.1230626867623661</v>
      </c>
      <c r="M43" t="s">
        <v>2012</v>
      </c>
      <c r="N43" s="1" t="s">
        <v>80</v>
      </c>
      <c r="O43">
        <v>42</v>
      </c>
      <c r="P43" s="1" t="s">
        <v>322</v>
      </c>
    </row>
    <row r="44" spans="2:16" x14ac:dyDescent="0.25">
      <c r="B44" s="1" t="s">
        <v>1942</v>
      </c>
      <c r="C44">
        <v>80</v>
      </c>
      <c r="D44">
        <v>936</v>
      </c>
      <c r="E44">
        <v>2816</v>
      </c>
      <c r="F44">
        <v>172</v>
      </c>
      <c r="G44">
        <v>978</v>
      </c>
      <c r="H44">
        <v>2816</v>
      </c>
      <c r="J44">
        <v>2.6360604147891329</v>
      </c>
      <c r="M44" t="s">
        <v>2012</v>
      </c>
      <c r="N44" s="1" t="s">
        <v>80</v>
      </c>
      <c r="O44">
        <v>43</v>
      </c>
      <c r="P44" s="1" t="s">
        <v>314</v>
      </c>
    </row>
    <row r="45" spans="2:16" x14ac:dyDescent="0.25">
      <c r="B45" s="1" t="s">
        <v>1943</v>
      </c>
      <c r="C45">
        <v>80</v>
      </c>
      <c r="D45">
        <v>936</v>
      </c>
      <c r="E45">
        <v>2816</v>
      </c>
      <c r="F45">
        <v>172</v>
      </c>
      <c r="G45">
        <v>978</v>
      </c>
      <c r="H45">
        <v>2816</v>
      </c>
      <c r="J45">
        <v>2.6360721495275734</v>
      </c>
      <c r="M45" t="s">
        <v>2012</v>
      </c>
      <c r="N45" s="1" t="s">
        <v>80</v>
      </c>
      <c r="O45">
        <v>44</v>
      </c>
      <c r="P45" s="1" t="s">
        <v>318</v>
      </c>
    </row>
    <row r="46" spans="2:16" x14ac:dyDescent="0.25">
      <c r="B46" s="1" t="s">
        <v>1944</v>
      </c>
      <c r="C46">
        <v>80</v>
      </c>
      <c r="D46">
        <v>936</v>
      </c>
      <c r="E46">
        <v>2638</v>
      </c>
      <c r="F46">
        <v>172</v>
      </c>
      <c r="G46">
        <v>978</v>
      </c>
      <c r="H46">
        <v>2638</v>
      </c>
      <c r="J46">
        <v>2.4696223495062282</v>
      </c>
      <c r="M46" t="s">
        <v>2012</v>
      </c>
      <c r="N46" s="1" t="s">
        <v>80</v>
      </c>
      <c r="O46">
        <v>45</v>
      </c>
      <c r="P46" s="1" t="s">
        <v>322</v>
      </c>
    </row>
    <row r="47" spans="2:16" x14ac:dyDescent="0.25">
      <c r="B47" s="1" t="s">
        <v>1945</v>
      </c>
      <c r="C47">
        <v>120</v>
      </c>
      <c r="D47">
        <v>1111</v>
      </c>
      <c r="E47">
        <v>3121</v>
      </c>
      <c r="F47">
        <v>234</v>
      </c>
      <c r="G47">
        <v>1195</v>
      </c>
      <c r="H47">
        <v>4632</v>
      </c>
      <c r="J47">
        <v>3.4678664262604735</v>
      </c>
      <c r="M47" t="s">
        <v>2012</v>
      </c>
      <c r="N47" s="1" t="s">
        <v>80</v>
      </c>
      <c r="O47">
        <v>46</v>
      </c>
      <c r="P47" s="1" t="s">
        <v>314</v>
      </c>
    </row>
    <row r="48" spans="2:16" x14ac:dyDescent="0.25">
      <c r="B48" s="1" t="s">
        <v>1946</v>
      </c>
      <c r="C48">
        <v>120</v>
      </c>
      <c r="D48">
        <v>1111</v>
      </c>
      <c r="E48">
        <v>3121</v>
      </c>
      <c r="F48">
        <v>234</v>
      </c>
      <c r="G48">
        <v>1195</v>
      </c>
      <c r="H48">
        <v>4630</v>
      </c>
      <c r="J48">
        <v>3.4678664262714713</v>
      </c>
      <c r="M48" t="s">
        <v>2012</v>
      </c>
      <c r="N48" s="1" t="s">
        <v>80</v>
      </c>
      <c r="O48">
        <v>47</v>
      </c>
      <c r="P48" s="1" t="s">
        <v>318</v>
      </c>
    </row>
    <row r="49" spans="2:16" x14ac:dyDescent="0.25">
      <c r="B49" s="1" t="s">
        <v>1947</v>
      </c>
      <c r="C49">
        <v>120</v>
      </c>
      <c r="D49">
        <v>1111</v>
      </c>
      <c r="E49">
        <v>3101</v>
      </c>
      <c r="F49">
        <v>234</v>
      </c>
      <c r="G49">
        <v>1195</v>
      </c>
      <c r="H49">
        <v>4628</v>
      </c>
      <c r="J49">
        <v>3.4449193676965457</v>
      </c>
      <c r="M49" t="s">
        <v>2012</v>
      </c>
      <c r="N49" s="1" t="s">
        <v>80</v>
      </c>
      <c r="O49">
        <v>48</v>
      </c>
      <c r="P49" s="1" t="s">
        <v>322</v>
      </c>
    </row>
    <row r="50" spans="2:16" x14ac:dyDescent="0.25">
      <c r="B50" s="1" t="s">
        <v>1948</v>
      </c>
      <c r="C50">
        <v>80</v>
      </c>
      <c r="D50">
        <v>1732</v>
      </c>
      <c r="E50">
        <v>2832</v>
      </c>
      <c r="F50">
        <v>131</v>
      </c>
      <c r="G50">
        <v>2058</v>
      </c>
      <c r="H50">
        <v>2832</v>
      </c>
      <c r="J50">
        <v>4.9050869872653742</v>
      </c>
      <c r="M50" t="s">
        <v>2012</v>
      </c>
      <c r="N50" s="1" t="s">
        <v>81</v>
      </c>
      <c r="O50">
        <v>49</v>
      </c>
      <c r="P50" s="1" t="s">
        <v>2014</v>
      </c>
    </row>
    <row r="51" spans="2:16" x14ac:dyDescent="0.25">
      <c r="B51" s="1" t="s">
        <v>1949</v>
      </c>
      <c r="C51">
        <v>80</v>
      </c>
      <c r="D51">
        <v>1732</v>
      </c>
      <c r="E51">
        <v>2782</v>
      </c>
      <c r="F51">
        <v>101</v>
      </c>
      <c r="G51">
        <v>2052</v>
      </c>
      <c r="H51">
        <v>2782</v>
      </c>
      <c r="J51">
        <v>4.8181195470052849</v>
      </c>
      <c r="M51" t="s">
        <v>2012</v>
      </c>
      <c r="N51" s="1" t="s">
        <v>81</v>
      </c>
      <c r="O51">
        <v>50</v>
      </c>
      <c r="P51" s="1" t="s">
        <v>2014</v>
      </c>
    </row>
    <row r="52" spans="2:16" x14ac:dyDescent="0.25">
      <c r="B52" s="1" t="s">
        <v>1950</v>
      </c>
      <c r="C52">
        <v>80</v>
      </c>
      <c r="D52">
        <v>1387</v>
      </c>
      <c r="E52">
        <v>2832</v>
      </c>
      <c r="F52">
        <v>131</v>
      </c>
      <c r="G52">
        <v>1496</v>
      </c>
      <c r="H52">
        <v>2832</v>
      </c>
      <c r="J52">
        <v>3.9275140488762221</v>
      </c>
      <c r="M52" t="s">
        <v>2012</v>
      </c>
      <c r="N52" s="1" t="s">
        <v>81</v>
      </c>
      <c r="O52">
        <v>51</v>
      </c>
      <c r="P52" s="1" t="s">
        <v>2014</v>
      </c>
    </row>
    <row r="53" spans="2:16" x14ac:dyDescent="0.25">
      <c r="B53" s="1" t="s">
        <v>1951</v>
      </c>
      <c r="C53">
        <v>80</v>
      </c>
      <c r="D53">
        <v>1237</v>
      </c>
      <c r="E53">
        <v>2782</v>
      </c>
      <c r="F53">
        <v>131</v>
      </c>
      <c r="G53">
        <v>1542</v>
      </c>
      <c r="H53">
        <v>2782</v>
      </c>
      <c r="J53">
        <v>3.4414756765685204</v>
      </c>
      <c r="M53" t="s">
        <v>2012</v>
      </c>
      <c r="N53" s="1" t="s">
        <v>81</v>
      </c>
      <c r="O53">
        <v>52</v>
      </c>
      <c r="P53" s="1" t="s">
        <v>2014</v>
      </c>
    </row>
    <row r="54" spans="2:16" x14ac:dyDescent="0.25">
      <c r="B54" s="1" t="s">
        <v>1952</v>
      </c>
      <c r="C54">
        <v>240</v>
      </c>
      <c r="D54">
        <v>1530</v>
      </c>
      <c r="E54">
        <v>2788</v>
      </c>
      <c r="F54">
        <v>341</v>
      </c>
      <c r="G54">
        <v>1555</v>
      </c>
      <c r="H54">
        <v>2788</v>
      </c>
      <c r="J54">
        <v>4.2661997573734638</v>
      </c>
      <c r="M54" t="s">
        <v>2012</v>
      </c>
      <c r="N54" s="1" t="s">
        <v>81</v>
      </c>
      <c r="O54">
        <v>53</v>
      </c>
      <c r="P54" s="1" t="s">
        <v>2014</v>
      </c>
    </row>
    <row r="55" spans="2:16" x14ac:dyDescent="0.25">
      <c r="B55" s="1" t="s">
        <v>1953</v>
      </c>
      <c r="C55">
        <v>80</v>
      </c>
      <c r="D55">
        <v>1387</v>
      </c>
      <c r="E55">
        <v>2870</v>
      </c>
      <c r="F55">
        <v>131</v>
      </c>
      <c r="G55">
        <v>1496</v>
      </c>
      <c r="H55">
        <v>2870</v>
      </c>
      <c r="J55">
        <v>3.9798271185625507</v>
      </c>
      <c r="M55" t="s">
        <v>2012</v>
      </c>
      <c r="N55" s="1" t="s">
        <v>81</v>
      </c>
      <c r="O55">
        <v>54</v>
      </c>
      <c r="P55" s="1" t="s">
        <v>415</v>
      </c>
    </row>
    <row r="56" spans="2:16" x14ac:dyDescent="0.25">
      <c r="B56" s="1" t="s">
        <v>1954</v>
      </c>
      <c r="C56">
        <v>80</v>
      </c>
      <c r="D56">
        <v>1237</v>
      </c>
      <c r="E56">
        <v>2820</v>
      </c>
      <c r="F56">
        <v>131</v>
      </c>
      <c r="G56">
        <v>1542</v>
      </c>
      <c r="H56">
        <v>2820</v>
      </c>
      <c r="J56">
        <v>3.4881010153165497</v>
      </c>
      <c r="M56" t="s">
        <v>2012</v>
      </c>
      <c r="N56" s="1" t="s">
        <v>81</v>
      </c>
      <c r="O56">
        <v>55</v>
      </c>
      <c r="P56" s="1" t="s">
        <v>415</v>
      </c>
    </row>
    <row r="57" spans="2:16" x14ac:dyDescent="0.25">
      <c r="B57" s="1" t="s">
        <v>1955</v>
      </c>
      <c r="C57">
        <v>80</v>
      </c>
      <c r="D57">
        <v>1387</v>
      </c>
      <c r="E57">
        <v>2870</v>
      </c>
      <c r="F57">
        <v>131</v>
      </c>
      <c r="G57">
        <v>1496</v>
      </c>
      <c r="H57">
        <v>2870</v>
      </c>
      <c r="J57">
        <v>3.9798456540115192</v>
      </c>
      <c r="M57" t="s">
        <v>2012</v>
      </c>
      <c r="N57" s="1" t="s">
        <v>81</v>
      </c>
      <c r="O57">
        <v>56</v>
      </c>
      <c r="P57" s="1" t="s">
        <v>416</v>
      </c>
    </row>
    <row r="58" spans="2:16" x14ac:dyDescent="0.25">
      <c r="B58" s="1" t="s">
        <v>1956</v>
      </c>
      <c r="C58">
        <v>80</v>
      </c>
      <c r="D58">
        <v>1237</v>
      </c>
      <c r="E58">
        <v>2820</v>
      </c>
      <c r="F58">
        <v>131</v>
      </c>
      <c r="G58">
        <v>1542</v>
      </c>
      <c r="H58">
        <v>2820</v>
      </c>
      <c r="J58">
        <v>3.4881192266624561</v>
      </c>
      <c r="M58" t="s">
        <v>2012</v>
      </c>
      <c r="N58" s="1" t="s">
        <v>81</v>
      </c>
      <c r="O58">
        <v>57</v>
      </c>
      <c r="P58" s="1" t="s">
        <v>416</v>
      </c>
    </row>
    <row r="59" spans="2:16" x14ac:dyDescent="0.25">
      <c r="B59" s="1" t="s">
        <v>1957</v>
      </c>
      <c r="C59">
        <v>240</v>
      </c>
      <c r="D59">
        <v>1530</v>
      </c>
      <c r="E59">
        <v>2821</v>
      </c>
      <c r="F59">
        <v>341</v>
      </c>
      <c r="G59">
        <v>1555</v>
      </c>
      <c r="H59">
        <v>2821</v>
      </c>
      <c r="J59">
        <v>4.31613025773781</v>
      </c>
      <c r="M59" t="s">
        <v>2012</v>
      </c>
      <c r="N59" s="1" t="s">
        <v>81</v>
      </c>
      <c r="O59">
        <v>58</v>
      </c>
      <c r="P59" s="1" t="s">
        <v>415</v>
      </c>
    </row>
    <row r="60" spans="2:16" x14ac:dyDescent="0.25">
      <c r="B60" s="1" t="s">
        <v>1958</v>
      </c>
      <c r="C60">
        <v>240</v>
      </c>
      <c r="D60">
        <v>1530</v>
      </c>
      <c r="E60">
        <v>2821</v>
      </c>
      <c r="F60">
        <v>341</v>
      </c>
      <c r="G60">
        <v>1555</v>
      </c>
      <c r="H60">
        <v>2821</v>
      </c>
      <c r="J60">
        <v>4.3161302604071086</v>
      </c>
      <c r="M60" t="s">
        <v>2012</v>
      </c>
      <c r="N60" s="1" t="s">
        <v>81</v>
      </c>
      <c r="O60">
        <v>59</v>
      </c>
      <c r="P60" s="1" t="s">
        <v>416</v>
      </c>
    </row>
    <row r="61" spans="2:16" x14ac:dyDescent="0.25">
      <c r="B61" s="1" t="s">
        <v>1959</v>
      </c>
      <c r="C61">
        <v>240</v>
      </c>
      <c r="D61">
        <v>1530</v>
      </c>
      <c r="E61">
        <v>2783</v>
      </c>
      <c r="F61">
        <v>387</v>
      </c>
      <c r="G61">
        <v>1555</v>
      </c>
      <c r="H61">
        <v>2783</v>
      </c>
      <c r="J61">
        <v>4.2575412237652301</v>
      </c>
      <c r="M61" t="s">
        <v>2012</v>
      </c>
      <c r="N61" s="1" t="s">
        <v>81</v>
      </c>
      <c r="O61">
        <v>60</v>
      </c>
      <c r="P61" s="1" t="s">
        <v>417</v>
      </c>
    </row>
    <row r="62" spans="2:16" x14ac:dyDescent="0.25">
      <c r="B62" s="1" t="s">
        <v>1960</v>
      </c>
      <c r="C62">
        <v>80</v>
      </c>
      <c r="D62">
        <v>1732</v>
      </c>
      <c r="E62">
        <v>2940</v>
      </c>
      <c r="F62">
        <v>131</v>
      </c>
      <c r="G62">
        <v>2058</v>
      </c>
      <c r="H62">
        <v>2940</v>
      </c>
      <c r="J62">
        <v>5.0928992072183688</v>
      </c>
      <c r="M62" t="s">
        <v>2012</v>
      </c>
      <c r="N62" s="1" t="s">
        <v>81</v>
      </c>
      <c r="O62">
        <v>61</v>
      </c>
      <c r="P62" s="1" t="s">
        <v>415</v>
      </c>
    </row>
    <row r="63" spans="2:16" x14ac:dyDescent="0.25">
      <c r="B63" s="1" t="s">
        <v>1962</v>
      </c>
      <c r="C63">
        <v>80</v>
      </c>
      <c r="D63">
        <v>1732</v>
      </c>
      <c r="E63">
        <v>2940</v>
      </c>
      <c r="F63">
        <v>131</v>
      </c>
      <c r="G63">
        <v>2058</v>
      </c>
      <c r="H63">
        <v>2940</v>
      </c>
      <c r="J63">
        <v>5.0928992072876484</v>
      </c>
      <c r="M63" t="s">
        <v>2012</v>
      </c>
      <c r="N63" s="1" t="s">
        <v>81</v>
      </c>
      <c r="O63">
        <v>62</v>
      </c>
      <c r="P63" s="1" t="s">
        <v>416</v>
      </c>
    </row>
    <row r="64" spans="2:16" x14ac:dyDescent="0.25">
      <c r="B64" s="1" t="s">
        <v>1963</v>
      </c>
      <c r="C64">
        <v>80</v>
      </c>
      <c r="D64">
        <v>1732</v>
      </c>
      <c r="E64">
        <v>2800</v>
      </c>
      <c r="F64">
        <v>101</v>
      </c>
      <c r="G64">
        <v>2052</v>
      </c>
      <c r="H64">
        <v>2800</v>
      </c>
      <c r="J64">
        <v>4.8500647730921971</v>
      </c>
      <c r="M64" t="s">
        <v>2012</v>
      </c>
      <c r="N64" s="1" t="s">
        <v>81</v>
      </c>
      <c r="O64">
        <v>63</v>
      </c>
      <c r="P64" s="1" t="s">
        <v>416</v>
      </c>
    </row>
    <row r="65" spans="2:16" x14ac:dyDescent="0.25">
      <c r="B65" s="1" t="s">
        <v>1964</v>
      </c>
      <c r="C65">
        <v>80</v>
      </c>
      <c r="D65">
        <v>1732</v>
      </c>
      <c r="E65">
        <v>2763</v>
      </c>
      <c r="F65">
        <v>131</v>
      </c>
      <c r="G65">
        <v>2058</v>
      </c>
      <c r="H65">
        <v>2763</v>
      </c>
      <c r="J65">
        <v>4.785598253461993</v>
      </c>
      <c r="M65" t="s">
        <v>2012</v>
      </c>
      <c r="N65" s="1" t="s">
        <v>81</v>
      </c>
      <c r="O65">
        <v>64</v>
      </c>
      <c r="P65" s="1" t="s">
        <v>417</v>
      </c>
    </row>
    <row r="66" spans="2:16" x14ac:dyDescent="0.25">
      <c r="B66" s="1" t="s">
        <v>1965</v>
      </c>
      <c r="C66">
        <v>80</v>
      </c>
      <c r="D66">
        <v>1732</v>
      </c>
      <c r="E66">
        <v>2673</v>
      </c>
      <c r="F66">
        <v>101</v>
      </c>
      <c r="G66">
        <v>2052</v>
      </c>
      <c r="H66">
        <v>2673</v>
      </c>
      <c r="J66">
        <v>4.6294140414778182</v>
      </c>
      <c r="M66" t="s">
        <v>2012</v>
      </c>
      <c r="N66" s="1" t="s">
        <v>81</v>
      </c>
      <c r="O66">
        <v>65</v>
      </c>
      <c r="P66" s="1" t="s">
        <v>417</v>
      </c>
    </row>
    <row r="67" spans="2:16" x14ac:dyDescent="0.25">
      <c r="B67" s="1" t="s">
        <v>1966</v>
      </c>
      <c r="C67">
        <v>80</v>
      </c>
      <c r="D67">
        <v>1732</v>
      </c>
      <c r="E67">
        <v>2832</v>
      </c>
      <c r="F67">
        <v>131</v>
      </c>
      <c r="G67">
        <v>2058</v>
      </c>
      <c r="H67">
        <v>2832</v>
      </c>
      <c r="J67">
        <v>4.905086987265161</v>
      </c>
      <c r="M67" t="s">
        <v>2012</v>
      </c>
      <c r="N67" s="1" t="s">
        <v>81</v>
      </c>
      <c r="O67">
        <v>66</v>
      </c>
      <c r="P67" s="1" t="s">
        <v>2014</v>
      </c>
    </row>
    <row r="68" spans="2:16" x14ac:dyDescent="0.25">
      <c r="B68" s="1" t="s">
        <v>1967</v>
      </c>
      <c r="C68">
        <v>80</v>
      </c>
      <c r="D68">
        <v>1732</v>
      </c>
      <c r="E68">
        <v>2782</v>
      </c>
      <c r="F68">
        <v>101</v>
      </c>
      <c r="G68">
        <v>2052</v>
      </c>
      <c r="H68">
        <v>2782</v>
      </c>
      <c r="J68">
        <v>4.8181195470052494</v>
      </c>
      <c r="M68" t="s">
        <v>2012</v>
      </c>
      <c r="N68" s="1" t="s">
        <v>81</v>
      </c>
      <c r="O68">
        <v>67</v>
      </c>
      <c r="P68" s="1" t="s">
        <v>2014</v>
      </c>
    </row>
    <row r="69" spans="2:16" x14ac:dyDescent="0.25">
      <c r="B69" s="1" t="s">
        <v>1968</v>
      </c>
      <c r="C69">
        <v>80</v>
      </c>
      <c r="D69">
        <v>1732</v>
      </c>
      <c r="E69">
        <v>2940</v>
      </c>
      <c r="F69">
        <v>131</v>
      </c>
      <c r="G69">
        <v>2058</v>
      </c>
      <c r="H69">
        <v>2940</v>
      </c>
      <c r="J69">
        <v>5.0928992072184336</v>
      </c>
      <c r="M69" t="s">
        <v>2012</v>
      </c>
      <c r="N69" s="1" t="s">
        <v>81</v>
      </c>
      <c r="O69">
        <v>68</v>
      </c>
      <c r="P69" s="1" t="s">
        <v>415</v>
      </c>
    </row>
    <row r="70" spans="2:16" x14ac:dyDescent="0.25">
      <c r="B70" s="1" t="s">
        <v>1969</v>
      </c>
      <c r="C70">
        <v>80</v>
      </c>
      <c r="D70">
        <v>1732</v>
      </c>
      <c r="E70">
        <v>2800</v>
      </c>
      <c r="F70">
        <v>101</v>
      </c>
      <c r="G70">
        <v>2052</v>
      </c>
      <c r="H70">
        <v>2800</v>
      </c>
      <c r="J70">
        <v>4.8500828566822038</v>
      </c>
      <c r="M70" t="s">
        <v>2012</v>
      </c>
      <c r="N70" s="1" t="s">
        <v>81</v>
      </c>
      <c r="O70">
        <v>69</v>
      </c>
      <c r="P70" s="1" t="s">
        <v>415</v>
      </c>
    </row>
    <row r="71" spans="2:16" x14ac:dyDescent="0.25">
      <c r="B71" s="1" t="s">
        <v>1970</v>
      </c>
      <c r="C71">
        <v>80</v>
      </c>
      <c r="D71">
        <v>1732</v>
      </c>
      <c r="E71">
        <v>2940</v>
      </c>
      <c r="F71">
        <v>131</v>
      </c>
      <c r="G71">
        <v>2058</v>
      </c>
      <c r="H71">
        <v>2940</v>
      </c>
      <c r="J71">
        <v>5.0928992072877142</v>
      </c>
      <c r="M71" t="s">
        <v>2012</v>
      </c>
      <c r="N71" s="1" t="s">
        <v>81</v>
      </c>
      <c r="O71">
        <v>70</v>
      </c>
      <c r="P71" s="1" t="s">
        <v>416</v>
      </c>
    </row>
    <row r="72" spans="2:16" x14ac:dyDescent="0.25">
      <c r="B72" s="1" t="s">
        <v>1971</v>
      </c>
      <c r="C72">
        <v>80</v>
      </c>
      <c r="D72">
        <v>1732</v>
      </c>
      <c r="E72">
        <v>2800</v>
      </c>
      <c r="F72">
        <v>101</v>
      </c>
      <c r="G72">
        <v>2052</v>
      </c>
      <c r="H72">
        <v>2800</v>
      </c>
      <c r="J72">
        <v>4.8501010454173166</v>
      </c>
      <c r="M72" t="s">
        <v>2012</v>
      </c>
      <c r="N72" s="1" t="s">
        <v>81</v>
      </c>
      <c r="O72">
        <v>71</v>
      </c>
      <c r="P72" s="1" t="s">
        <v>416</v>
      </c>
    </row>
    <row r="73" spans="2:16" x14ac:dyDescent="0.25">
      <c r="B73" s="1" t="s">
        <v>1972</v>
      </c>
      <c r="C73">
        <v>80</v>
      </c>
      <c r="D73">
        <v>1732</v>
      </c>
      <c r="E73">
        <v>2763</v>
      </c>
      <c r="F73">
        <v>131</v>
      </c>
      <c r="G73">
        <v>2058</v>
      </c>
      <c r="H73">
        <v>2763</v>
      </c>
      <c r="J73">
        <v>4.7855982534620543</v>
      </c>
      <c r="M73" t="s">
        <v>2012</v>
      </c>
      <c r="N73" s="1" t="s">
        <v>81</v>
      </c>
      <c r="O73">
        <v>72</v>
      </c>
      <c r="P73" s="1" t="s">
        <v>417</v>
      </c>
    </row>
    <row r="74" spans="2:16" x14ac:dyDescent="0.25">
      <c r="B74" s="1" t="s">
        <v>1973</v>
      </c>
      <c r="C74">
        <v>80</v>
      </c>
      <c r="D74">
        <v>1732</v>
      </c>
      <c r="E74">
        <v>2673</v>
      </c>
      <c r="F74">
        <v>101</v>
      </c>
      <c r="G74">
        <v>2052</v>
      </c>
      <c r="H74">
        <v>2673</v>
      </c>
      <c r="J74">
        <v>4.6294486609653909</v>
      </c>
      <c r="M74" t="s">
        <v>2012</v>
      </c>
      <c r="N74" s="1" t="s">
        <v>81</v>
      </c>
      <c r="O74">
        <v>73</v>
      </c>
      <c r="P74" s="1" t="s">
        <v>417</v>
      </c>
    </row>
    <row r="75" spans="2:16" x14ac:dyDescent="0.25">
      <c r="B75" s="1" t="s">
        <v>1974</v>
      </c>
      <c r="C75">
        <v>150</v>
      </c>
      <c r="D75">
        <v>1088</v>
      </c>
      <c r="E75">
        <v>2782</v>
      </c>
      <c r="F75">
        <v>226</v>
      </c>
      <c r="G75">
        <v>1219</v>
      </c>
      <c r="H75">
        <v>2782</v>
      </c>
      <c r="J75">
        <v>3.0262045653332854</v>
      </c>
      <c r="M75" t="s">
        <v>2012</v>
      </c>
      <c r="N75" s="1" t="s">
        <v>81</v>
      </c>
      <c r="O75">
        <v>74</v>
      </c>
      <c r="P75" s="1" t="s">
        <v>417</v>
      </c>
    </row>
    <row r="76" spans="2:16" x14ac:dyDescent="0.25">
      <c r="B76" s="1" t="s">
        <v>1975</v>
      </c>
      <c r="C76">
        <v>100</v>
      </c>
      <c r="D76">
        <v>1088</v>
      </c>
      <c r="E76">
        <v>2782</v>
      </c>
      <c r="F76">
        <v>151</v>
      </c>
      <c r="G76">
        <v>1529</v>
      </c>
      <c r="H76">
        <v>2782</v>
      </c>
      <c r="J76">
        <v>3.02673295147423</v>
      </c>
      <c r="M76" t="s">
        <v>2012</v>
      </c>
      <c r="N76" s="1" t="s">
        <v>81</v>
      </c>
      <c r="O76">
        <v>75</v>
      </c>
      <c r="P76" s="1" t="s">
        <v>417</v>
      </c>
    </row>
    <row r="77" spans="2:16" x14ac:dyDescent="0.25">
      <c r="B77" s="1" t="s">
        <v>1976</v>
      </c>
      <c r="C77">
        <v>80</v>
      </c>
      <c r="D77">
        <v>1724</v>
      </c>
      <c r="E77">
        <v>2735</v>
      </c>
      <c r="F77">
        <v>122</v>
      </c>
      <c r="G77">
        <v>1740</v>
      </c>
      <c r="H77">
        <v>2735</v>
      </c>
      <c r="J77">
        <v>4.7148044659275339</v>
      </c>
      <c r="M77" t="s">
        <v>2012</v>
      </c>
      <c r="N77" s="1" t="s">
        <v>82</v>
      </c>
      <c r="O77">
        <v>76</v>
      </c>
      <c r="P77" s="1" t="s">
        <v>2015</v>
      </c>
    </row>
    <row r="78" spans="2:16" x14ac:dyDescent="0.25">
      <c r="B78" s="1" t="s">
        <v>1977</v>
      </c>
      <c r="C78">
        <v>80</v>
      </c>
      <c r="D78">
        <v>2073</v>
      </c>
      <c r="E78">
        <v>2965</v>
      </c>
      <c r="F78">
        <v>161</v>
      </c>
      <c r="G78">
        <v>2123</v>
      </c>
      <c r="H78">
        <v>2965</v>
      </c>
      <c r="J78">
        <v>6.1450425015675441</v>
      </c>
      <c r="M78" t="s">
        <v>2012</v>
      </c>
      <c r="N78" s="1" t="s">
        <v>82</v>
      </c>
      <c r="O78">
        <v>77</v>
      </c>
      <c r="P78" s="1" t="s">
        <v>2015</v>
      </c>
    </row>
    <row r="79" spans="2:16" x14ac:dyDescent="0.25">
      <c r="B79" s="1" t="s">
        <v>1978</v>
      </c>
      <c r="C79">
        <v>80</v>
      </c>
      <c r="D79">
        <v>1796</v>
      </c>
      <c r="E79">
        <v>2735</v>
      </c>
      <c r="F79">
        <v>131</v>
      </c>
      <c r="G79">
        <v>2098</v>
      </c>
      <c r="H79">
        <v>2735</v>
      </c>
      <c r="J79">
        <v>4.9113417246234095</v>
      </c>
      <c r="M79" t="s">
        <v>2012</v>
      </c>
      <c r="N79" s="1" t="s">
        <v>82</v>
      </c>
      <c r="O79">
        <v>78</v>
      </c>
      <c r="P79" s="1" t="s">
        <v>2015</v>
      </c>
    </row>
    <row r="80" spans="2:16" x14ac:dyDescent="0.25">
      <c r="B80" s="1" t="s">
        <v>1979</v>
      </c>
      <c r="C80">
        <v>80</v>
      </c>
      <c r="D80">
        <v>867</v>
      </c>
      <c r="E80">
        <v>2677</v>
      </c>
      <c r="F80">
        <v>172</v>
      </c>
      <c r="G80">
        <v>913</v>
      </c>
      <c r="H80">
        <v>2706</v>
      </c>
      <c r="J80">
        <v>2.3201113601365972</v>
      </c>
      <c r="M80" t="s">
        <v>2012</v>
      </c>
      <c r="N80" s="1" t="s">
        <v>82</v>
      </c>
      <c r="O80">
        <v>79</v>
      </c>
      <c r="P80" s="1" t="s">
        <v>2015</v>
      </c>
    </row>
    <row r="81" spans="2:16" x14ac:dyDescent="0.25">
      <c r="B81" s="1" t="s">
        <v>1980</v>
      </c>
      <c r="C81">
        <v>120</v>
      </c>
      <c r="D81">
        <v>1857</v>
      </c>
      <c r="E81">
        <v>2941</v>
      </c>
      <c r="F81">
        <v>243</v>
      </c>
      <c r="G81">
        <v>1941</v>
      </c>
      <c r="H81">
        <v>4024</v>
      </c>
      <c r="J81">
        <v>5.4613786267877202</v>
      </c>
      <c r="M81" t="s">
        <v>2012</v>
      </c>
      <c r="N81" s="1" t="s">
        <v>82</v>
      </c>
      <c r="O81">
        <v>80</v>
      </c>
      <c r="P81" s="1" t="s">
        <v>2015</v>
      </c>
    </row>
    <row r="82" spans="2:16" x14ac:dyDescent="0.25">
      <c r="B82" s="1" t="s">
        <v>1981</v>
      </c>
      <c r="C82">
        <v>80</v>
      </c>
      <c r="D82">
        <v>867</v>
      </c>
      <c r="E82">
        <v>2677</v>
      </c>
      <c r="F82">
        <v>172</v>
      </c>
      <c r="G82">
        <v>913</v>
      </c>
      <c r="H82">
        <v>2706</v>
      </c>
      <c r="J82">
        <v>2.3201113601365972</v>
      </c>
      <c r="M82" t="s">
        <v>2012</v>
      </c>
      <c r="N82" s="1" t="s">
        <v>82</v>
      </c>
      <c r="O82">
        <v>81</v>
      </c>
      <c r="P82" s="1" t="s">
        <v>2015</v>
      </c>
    </row>
    <row r="83" spans="2:16" x14ac:dyDescent="0.25">
      <c r="B83" s="1" t="s">
        <v>1982</v>
      </c>
      <c r="C83">
        <v>80</v>
      </c>
      <c r="D83">
        <v>867</v>
      </c>
      <c r="E83">
        <v>2677</v>
      </c>
      <c r="F83">
        <v>172</v>
      </c>
      <c r="G83">
        <v>913</v>
      </c>
      <c r="H83">
        <v>2706</v>
      </c>
      <c r="J83">
        <v>2.320111360136536</v>
      </c>
      <c r="M83" t="s">
        <v>2012</v>
      </c>
      <c r="N83" s="1" t="s">
        <v>82</v>
      </c>
      <c r="O83">
        <v>82</v>
      </c>
      <c r="P83" s="1" t="s">
        <v>2015</v>
      </c>
    </row>
    <row r="84" spans="2:16" x14ac:dyDescent="0.25">
      <c r="B84" s="1" t="s">
        <v>1983</v>
      </c>
      <c r="C84">
        <v>80</v>
      </c>
      <c r="D84">
        <v>867</v>
      </c>
      <c r="E84">
        <v>2677</v>
      </c>
      <c r="F84">
        <v>172</v>
      </c>
      <c r="G84">
        <v>913</v>
      </c>
      <c r="H84">
        <v>2706</v>
      </c>
      <c r="J84">
        <v>2.320111360136536</v>
      </c>
      <c r="M84" t="s">
        <v>2012</v>
      </c>
      <c r="N84" s="1" t="s">
        <v>82</v>
      </c>
      <c r="O84">
        <v>83</v>
      </c>
      <c r="P84" s="1" t="s">
        <v>2015</v>
      </c>
    </row>
    <row r="85" spans="2:16" x14ac:dyDescent="0.25">
      <c r="B85" s="1" t="s">
        <v>1984</v>
      </c>
      <c r="C85">
        <v>80</v>
      </c>
      <c r="D85">
        <v>867</v>
      </c>
      <c r="E85">
        <v>2677</v>
      </c>
      <c r="F85">
        <v>172</v>
      </c>
      <c r="G85">
        <v>913</v>
      </c>
      <c r="H85">
        <v>2706</v>
      </c>
      <c r="J85">
        <v>2.3201113601369761</v>
      </c>
      <c r="M85" t="s">
        <v>2012</v>
      </c>
      <c r="N85" s="1" t="s">
        <v>82</v>
      </c>
      <c r="O85">
        <v>84</v>
      </c>
      <c r="P85" s="1" t="s">
        <v>2015</v>
      </c>
    </row>
    <row r="86" spans="2:16" x14ac:dyDescent="0.25">
      <c r="B86" s="1" t="s">
        <v>1985</v>
      </c>
      <c r="C86">
        <v>80</v>
      </c>
      <c r="D86">
        <v>867</v>
      </c>
      <c r="E86">
        <v>2693</v>
      </c>
      <c r="F86">
        <v>172</v>
      </c>
      <c r="G86">
        <v>913</v>
      </c>
      <c r="H86">
        <v>2723</v>
      </c>
      <c r="J86">
        <v>2.3347714386911336</v>
      </c>
      <c r="M86" t="s">
        <v>2012</v>
      </c>
      <c r="N86" s="1" t="s">
        <v>82</v>
      </c>
      <c r="O86">
        <v>85</v>
      </c>
      <c r="P86" s="1" t="s">
        <v>1279</v>
      </c>
    </row>
    <row r="87" spans="2:16" x14ac:dyDescent="0.25">
      <c r="B87" s="1" t="s">
        <v>1986</v>
      </c>
      <c r="C87">
        <v>80</v>
      </c>
      <c r="D87">
        <v>867</v>
      </c>
      <c r="E87">
        <v>2693</v>
      </c>
      <c r="F87">
        <v>172</v>
      </c>
      <c r="G87">
        <v>913</v>
      </c>
      <c r="H87">
        <v>2723</v>
      </c>
      <c r="J87">
        <v>2.3347714386564675</v>
      </c>
      <c r="M87" t="s">
        <v>2012</v>
      </c>
      <c r="N87" s="1" t="s">
        <v>82</v>
      </c>
      <c r="O87">
        <v>86</v>
      </c>
      <c r="P87" s="1" t="s">
        <v>1280</v>
      </c>
    </row>
    <row r="88" spans="2:16" x14ac:dyDescent="0.25">
      <c r="B88" s="1" t="s">
        <v>1987</v>
      </c>
      <c r="C88">
        <v>80</v>
      </c>
      <c r="D88">
        <v>867</v>
      </c>
      <c r="E88">
        <v>2693</v>
      </c>
      <c r="F88">
        <v>172</v>
      </c>
      <c r="G88">
        <v>913</v>
      </c>
      <c r="H88">
        <v>2723</v>
      </c>
      <c r="J88">
        <v>2.3347714386915452</v>
      </c>
      <c r="M88" t="s">
        <v>2012</v>
      </c>
      <c r="N88" s="1" t="s">
        <v>82</v>
      </c>
      <c r="O88">
        <v>87</v>
      </c>
      <c r="P88" s="1" t="s">
        <v>1279</v>
      </c>
    </row>
    <row r="89" spans="2:16" x14ac:dyDescent="0.25">
      <c r="B89" s="1" t="s">
        <v>1988</v>
      </c>
      <c r="C89">
        <v>80</v>
      </c>
      <c r="D89">
        <v>867</v>
      </c>
      <c r="E89">
        <v>2693</v>
      </c>
      <c r="F89">
        <v>172</v>
      </c>
      <c r="G89">
        <v>913</v>
      </c>
      <c r="H89">
        <v>2723</v>
      </c>
      <c r="J89">
        <v>2.3347714386564675</v>
      </c>
      <c r="M89" t="s">
        <v>2012</v>
      </c>
      <c r="N89" s="1" t="s">
        <v>82</v>
      </c>
      <c r="O89">
        <v>88</v>
      </c>
      <c r="P89" s="1" t="s">
        <v>1280</v>
      </c>
    </row>
    <row r="90" spans="2:16" x14ac:dyDescent="0.25">
      <c r="B90" s="1" t="s">
        <v>1989</v>
      </c>
      <c r="C90">
        <v>80</v>
      </c>
      <c r="D90">
        <v>867</v>
      </c>
      <c r="E90">
        <v>2693</v>
      </c>
      <c r="F90">
        <v>172</v>
      </c>
      <c r="G90">
        <v>913</v>
      </c>
      <c r="H90">
        <v>2723</v>
      </c>
      <c r="J90">
        <v>2.3347714386915661</v>
      </c>
      <c r="M90" t="s">
        <v>2012</v>
      </c>
      <c r="N90" s="1" t="s">
        <v>82</v>
      </c>
      <c r="O90">
        <v>89</v>
      </c>
      <c r="P90" s="1" t="s">
        <v>1279</v>
      </c>
    </row>
    <row r="91" spans="2:16" x14ac:dyDescent="0.25">
      <c r="B91" s="1" t="s">
        <v>1990</v>
      </c>
      <c r="C91">
        <v>80</v>
      </c>
      <c r="D91">
        <v>867</v>
      </c>
      <c r="E91">
        <v>2693</v>
      </c>
      <c r="F91">
        <v>172</v>
      </c>
      <c r="G91">
        <v>913</v>
      </c>
      <c r="H91">
        <v>2723</v>
      </c>
      <c r="J91">
        <v>2.3347714386569378</v>
      </c>
      <c r="M91" t="s">
        <v>2012</v>
      </c>
      <c r="N91" s="1" t="s">
        <v>82</v>
      </c>
      <c r="O91">
        <v>90</v>
      </c>
      <c r="P91" s="1" t="s">
        <v>1280</v>
      </c>
    </row>
    <row r="92" spans="2:16" x14ac:dyDescent="0.25">
      <c r="B92" s="1" t="s">
        <v>1991</v>
      </c>
      <c r="C92">
        <v>80</v>
      </c>
      <c r="D92">
        <v>867</v>
      </c>
      <c r="E92">
        <v>2693</v>
      </c>
      <c r="F92">
        <v>172</v>
      </c>
      <c r="G92">
        <v>913</v>
      </c>
      <c r="H92">
        <v>2723</v>
      </c>
      <c r="J92">
        <v>2.334771438691583</v>
      </c>
      <c r="M92" t="s">
        <v>2012</v>
      </c>
      <c r="N92" s="1" t="s">
        <v>82</v>
      </c>
      <c r="O92">
        <v>91</v>
      </c>
      <c r="P92" s="1" t="s">
        <v>1279</v>
      </c>
    </row>
    <row r="93" spans="2:16" x14ac:dyDescent="0.25">
      <c r="B93" s="1" t="s">
        <v>1992</v>
      </c>
      <c r="C93">
        <v>80</v>
      </c>
      <c r="D93">
        <v>867</v>
      </c>
      <c r="E93">
        <v>2693</v>
      </c>
      <c r="F93">
        <v>172</v>
      </c>
      <c r="G93">
        <v>913</v>
      </c>
      <c r="H93">
        <v>2723</v>
      </c>
      <c r="J93">
        <v>2.3347714386569378</v>
      </c>
      <c r="M93" t="s">
        <v>2012</v>
      </c>
      <c r="N93" s="1" t="s">
        <v>82</v>
      </c>
      <c r="O93">
        <v>92</v>
      </c>
      <c r="P93" s="1" t="s">
        <v>1280</v>
      </c>
    </row>
    <row r="94" spans="2:16" x14ac:dyDescent="0.25">
      <c r="B94" s="1" t="s">
        <v>1993</v>
      </c>
      <c r="C94">
        <v>80</v>
      </c>
      <c r="D94">
        <v>867</v>
      </c>
      <c r="E94">
        <v>2693</v>
      </c>
      <c r="F94">
        <v>172</v>
      </c>
      <c r="G94">
        <v>913</v>
      </c>
      <c r="H94">
        <v>2723</v>
      </c>
      <c r="J94">
        <v>2.3347714386909866</v>
      </c>
      <c r="M94" t="s">
        <v>2012</v>
      </c>
      <c r="N94" s="1" t="s">
        <v>82</v>
      </c>
      <c r="O94">
        <v>93</v>
      </c>
      <c r="P94" s="1" t="s">
        <v>1279</v>
      </c>
    </row>
    <row r="95" spans="2:16" x14ac:dyDescent="0.25">
      <c r="B95" s="1" t="s">
        <v>1994</v>
      </c>
      <c r="C95">
        <v>80</v>
      </c>
      <c r="D95">
        <v>867</v>
      </c>
      <c r="E95">
        <v>2550</v>
      </c>
      <c r="F95">
        <v>172</v>
      </c>
      <c r="G95">
        <v>913</v>
      </c>
      <c r="H95">
        <v>2580</v>
      </c>
      <c r="J95">
        <v>2.2101307136517527</v>
      </c>
      <c r="M95" t="s">
        <v>2012</v>
      </c>
      <c r="N95" s="1" t="s">
        <v>82</v>
      </c>
      <c r="O95">
        <v>94</v>
      </c>
      <c r="P95" s="1" t="s">
        <v>1278</v>
      </c>
    </row>
    <row r="96" spans="2:16" x14ac:dyDescent="0.25">
      <c r="B96" s="1" t="s">
        <v>1995</v>
      </c>
      <c r="C96">
        <v>80</v>
      </c>
      <c r="D96">
        <v>867</v>
      </c>
      <c r="E96">
        <v>2550</v>
      </c>
      <c r="F96">
        <v>172</v>
      </c>
      <c r="G96">
        <v>913</v>
      </c>
      <c r="H96">
        <v>2580</v>
      </c>
      <c r="J96">
        <v>2.2101307136519011</v>
      </c>
      <c r="M96" t="s">
        <v>2012</v>
      </c>
      <c r="N96" s="1" t="s">
        <v>82</v>
      </c>
      <c r="O96">
        <v>95</v>
      </c>
      <c r="P96" s="1" t="s">
        <v>1278</v>
      </c>
    </row>
    <row r="97" spans="2:16" x14ac:dyDescent="0.25">
      <c r="B97" s="1" t="s">
        <v>1996</v>
      </c>
      <c r="C97">
        <v>80</v>
      </c>
      <c r="D97">
        <v>1724</v>
      </c>
      <c r="E97">
        <v>2805</v>
      </c>
      <c r="F97">
        <v>122</v>
      </c>
      <c r="G97">
        <v>1740</v>
      </c>
      <c r="H97">
        <v>2805</v>
      </c>
      <c r="J97">
        <v>4.8355564482571411</v>
      </c>
      <c r="M97" t="s">
        <v>2012</v>
      </c>
      <c r="N97" s="1" t="s">
        <v>82</v>
      </c>
      <c r="O97">
        <v>96</v>
      </c>
      <c r="P97" s="1" t="s">
        <v>1279</v>
      </c>
    </row>
    <row r="98" spans="2:16" x14ac:dyDescent="0.25">
      <c r="B98" s="1" t="s">
        <v>1997</v>
      </c>
      <c r="C98">
        <v>80</v>
      </c>
      <c r="D98">
        <v>1724</v>
      </c>
      <c r="E98">
        <v>2805</v>
      </c>
      <c r="F98">
        <v>122</v>
      </c>
      <c r="G98">
        <v>1740</v>
      </c>
      <c r="H98">
        <v>2805</v>
      </c>
      <c r="J98">
        <v>4.835556448271392</v>
      </c>
      <c r="M98" t="s">
        <v>2012</v>
      </c>
      <c r="N98" s="1" t="s">
        <v>82</v>
      </c>
      <c r="O98">
        <v>97</v>
      </c>
      <c r="P98" s="1" t="s">
        <v>1280</v>
      </c>
    </row>
    <row r="99" spans="2:16" x14ac:dyDescent="0.25">
      <c r="B99" s="1" t="s">
        <v>1998</v>
      </c>
      <c r="C99">
        <v>80</v>
      </c>
      <c r="D99">
        <v>1724</v>
      </c>
      <c r="E99">
        <v>2805</v>
      </c>
      <c r="F99">
        <v>122</v>
      </c>
      <c r="G99">
        <v>1740</v>
      </c>
      <c r="H99">
        <v>2805</v>
      </c>
      <c r="J99">
        <v>4.8355564482543132</v>
      </c>
      <c r="M99" t="s">
        <v>2012</v>
      </c>
      <c r="N99" s="1" t="s">
        <v>82</v>
      </c>
      <c r="O99">
        <v>98</v>
      </c>
      <c r="P99" s="1" t="s">
        <v>1279</v>
      </c>
    </row>
    <row r="100" spans="2:16" x14ac:dyDescent="0.25">
      <c r="B100" s="1" t="s">
        <v>1999</v>
      </c>
      <c r="C100">
        <v>80</v>
      </c>
      <c r="D100">
        <v>1724</v>
      </c>
      <c r="E100">
        <v>2805</v>
      </c>
      <c r="F100">
        <v>122</v>
      </c>
      <c r="G100">
        <v>1740</v>
      </c>
      <c r="H100">
        <v>2805</v>
      </c>
      <c r="J100">
        <v>4.835556448271392</v>
      </c>
      <c r="M100" t="s">
        <v>2012</v>
      </c>
      <c r="N100" s="1" t="s">
        <v>82</v>
      </c>
      <c r="O100">
        <v>99</v>
      </c>
      <c r="P100" s="1" t="s">
        <v>1280</v>
      </c>
    </row>
    <row r="101" spans="2:16" x14ac:dyDescent="0.25">
      <c r="B101" s="1" t="s">
        <v>2000</v>
      </c>
      <c r="C101">
        <v>80</v>
      </c>
      <c r="D101">
        <v>1724</v>
      </c>
      <c r="E101">
        <v>2717</v>
      </c>
      <c r="F101">
        <v>122</v>
      </c>
      <c r="G101">
        <v>1740</v>
      </c>
      <c r="H101">
        <v>2717</v>
      </c>
      <c r="J101">
        <v>4.6835716081662513</v>
      </c>
      <c r="M101" t="s">
        <v>2012</v>
      </c>
      <c r="N101" s="1" t="s">
        <v>82</v>
      </c>
      <c r="O101">
        <v>100</v>
      </c>
      <c r="P101" s="1" t="s">
        <v>1278</v>
      </c>
    </row>
    <row r="102" spans="2:16" x14ac:dyDescent="0.25">
      <c r="B102" s="1" t="s">
        <v>2001</v>
      </c>
      <c r="C102">
        <v>80</v>
      </c>
      <c r="D102">
        <v>1724</v>
      </c>
      <c r="E102">
        <v>2805</v>
      </c>
      <c r="F102">
        <v>122</v>
      </c>
      <c r="G102">
        <v>1740</v>
      </c>
      <c r="H102">
        <v>2805</v>
      </c>
      <c r="J102">
        <v>4.8355564482538753</v>
      </c>
      <c r="M102" t="s">
        <v>2012</v>
      </c>
      <c r="N102" s="1" t="s">
        <v>82</v>
      </c>
      <c r="O102">
        <v>101</v>
      </c>
      <c r="P102" s="1" t="s">
        <v>1279</v>
      </c>
    </row>
    <row r="103" spans="2:16" x14ac:dyDescent="0.25">
      <c r="B103" s="1" t="s">
        <v>2002</v>
      </c>
      <c r="C103">
        <v>80</v>
      </c>
      <c r="D103">
        <v>1724</v>
      </c>
      <c r="E103">
        <v>2805</v>
      </c>
      <c r="F103">
        <v>122</v>
      </c>
      <c r="G103">
        <v>1740</v>
      </c>
      <c r="H103">
        <v>2805</v>
      </c>
      <c r="J103">
        <v>4.8355564482714435</v>
      </c>
      <c r="M103" t="s">
        <v>2012</v>
      </c>
      <c r="N103" s="1" t="s">
        <v>82</v>
      </c>
      <c r="O103">
        <v>102</v>
      </c>
      <c r="P103" s="1" t="s">
        <v>1280</v>
      </c>
    </row>
    <row r="104" spans="2:16" x14ac:dyDescent="0.25">
      <c r="B104" s="1" t="s">
        <v>2003</v>
      </c>
      <c r="C104">
        <v>80</v>
      </c>
      <c r="D104">
        <v>1724</v>
      </c>
      <c r="E104">
        <v>2805</v>
      </c>
      <c r="F104">
        <v>122</v>
      </c>
      <c r="G104">
        <v>1740</v>
      </c>
      <c r="H104">
        <v>2805</v>
      </c>
      <c r="J104">
        <v>4.8355564482570896</v>
      </c>
      <c r="M104" t="s">
        <v>2012</v>
      </c>
      <c r="N104" s="1" t="s">
        <v>82</v>
      </c>
      <c r="O104">
        <v>103</v>
      </c>
      <c r="P104" s="1" t="s">
        <v>1279</v>
      </c>
    </row>
    <row r="105" spans="2:16" x14ac:dyDescent="0.25">
      <c r="B105" s="1" t="s">
        <v>2004</v>
      </c>
      <c r="C105">
        <v>80</v>
      </c>
      <c r="D105">
        <v>1724</v>
      </c>
      <c r="E105">
        <v>2735</v>
      </c>
      <c r="F105">
        <v>122</v>
      </c>
      <c r="G105">
        <v>1740</v>
      </c>
      <c r="H105">
        <v>2735</v>
      </c>
      <c r="J105">
        <v>4.7148044659246677</v>
      </c>
      <c r="M105" t="s">
        <v>2012</v>
      </c>
      <c r="N105" s="1" t="s">
        <v>82</v>
      </c>
      <c r="O105">
        <v>104</v>
      </c>
      <c r="P105" s="1" t="s">
        <v>2015</v>
      </c>
    </row>
    <row r="106" spans="2:16" x14ac:dyDescent="0.25">
      <c r="B106" s="1" t="s">
        <v>2005</v>
      </c>
      <c r="C106">
        <v>80</v>
      </c>
      <c r="D106">
        <v>1724</v>
      </c>
      <c r="E106">
        <v>2735</v>
      </c>
      <c r="F106">
        <v>122</v>
      </c>
      <c r="G106">
        <v>1740</v>
      </c>
      <c r="H106">
        <v>2735</v>
      </c>
      <c r="J106">
        <v>4.7148044659245087</v>
      </c>
      <c r="M106" t="s">
        <v>2012</v>
      </c>
      <c r="N106" s="1" t="s">
        <v>82</v>
      </c>
      <c r="O106">
        <v>105</v>
      </c>
      <c r="P106" s="1" t="s">
        <v>2015</v>
      </c>
    </row>
    <row r="107" spans="2:16" x14ac:dyDescent="0.25">
      <c r="B107" s="1" t="s">
        <v>2006</v>
      </c>
      <c r="C107">
        <v>80</v>
      </c>
      <c r="D107">
        <v>1724</v>
      </c>
      <c r="E107">
        <v>2735</v>
      </c>
      <c r="F107">
        <v>122</v>
      </c>
      <c r="G107">
        <v>1740</v>
      </c>
      <c r="H107">
        <v>2735</v>
      </c>
      <c r="J107">
        <v>4.7148044659275339</v>
      </c>
      <c r="M107" t="s">
        <v>2012</v>
      </c>
      <c r="N107" s="1" t="s">
        <v>82</v>
      </c>
      <c r="O107">
        <v>106</v>
      </c>
      <c r="P107" s="1" t="s">
        <v>2015</v>
      </c>
    </row>
    <row r="108" spans="2:16" x14ac:dyDescent="0.25">
      <c r="B108" s="1" t="s">
        <v>2007</v>
      </c>
      <c r="C108">
        <v>120</v>
      </c>
      <c r="D108">
        <v>1857</v>
      </c>
      <c r="E108">
        <v>3120</v>
      </c>
      <c r="F108">
        <v>243</v>
      </c>
      <c r="G108">
        <v>1941</v>
      </c>
      <c r="H108">
        <v>4141</v>
      </c>
      <c r="J108">
        <v>5.7939521868137556</v>
      </c>
      <c r="M108" t="s">
        <v>2012</v>
      </c>
      <c r="N108" s="1" t="s">
        <v>82</v>
      </c>
      <c r="O108">
        <v>107</v>
      </c>
      <c r="P108" s="1" t="s">
        <v>1279</v>
      </c>
    </row>
    <row r="109" spans="2:16" x14ac:dyDescent="0.25">
      <c r="B109" s="1" t="s">
        <v>2008</v>
      </c>
      <c r="C109">
        <v>120</v>
      </c>
      <c r="D109">
        <v>1857</v>
      </c>
      <c r="E109">
        <v>3120</v>
      </c>
      <c r="F109">
        <v>243</v>
      </c>
      <c r="G109">
        <v>1941</v>
      </c>
      <c r="H109">
        <v>4079</v>
      </c>
      <c r="J109">
        <v>5.7939521868326187</v>
      </c>
      <c r="M109" t="s">
        <v>2012</v>
      </c>
      <c r="N109" s="1" t="s">
        <v>82</v>
      </c>
      <c r="O109">
        <v>108</v>
      </c>
      <c r="P109" s="1" t="s">
        <v>1280</v>
      </c>
    </row>
    <row r="110" spans="2:16" x14ac:dyDescent="0.25">
      <c r="B110" s="1" t="s">
        <v>2009</v>
      </c>
      <c r="C110">
        <v>120</v>
      </c>
      <c r="D110">
        <v>1857</v>
      </c>
      <c r="E110">
        <v>2722</v>
      </c>
      <c r="F110">
        <v>243</v>
      </c>
      <c r="G110">
        <v>1941</v>
      </c>
      <c r="H110">
        <v>3138</v>
      </c>
      <c r="J110">
        <v>5.0541035667391032</v>
      </c>
      <c r="M110" t="s">
        <v>2012</v>
      </c>
      <c r="N110" s="1" t="s">
        <v>82</v>
      </c>
      <c r="O110">
        <v>109</v>
      </c>
      <c r="P110" s="1" t="s">
        <v>1278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Arkusz4"/>
  <dimension ref="A1:AQ100"/>
  <sheetViews>
    <sheetView topLeftCell="A40" workbookViewId="0"/>
  </sheetViews>
  <sheetFormatPr defaultRowHeight="15" x14ac:dyDescent="0.25"/>
  <cols>
    <col min="2" max="2" width="10.140625" bestFit="1" customWidth="1"/>
    <col min="3" max="3" width="18.7109375" bestFit="1" customWidth="1"/>
    <col min="4" max="4" width="10.5703125" bestFit="1" customWidth="1"/>
    <col min="5" max="5" width="8.7109375" bestFit="1" customWidth="1"/>
    <col min="6" max="6" width="6.85546875" bestFit="1" customWidth="1"/>
    <col min="7" max="7" width="8.7109375" bestFit="1" customWidth="1"/>
    <col min="8" max="8" width="8.85546875" bestFit="1" customWidth="1"/>
    <col min="10" max="10" width="8.7109375" bestFit="1" customWidth="1"/>
    <col min="11" max="11" width="10.42578125" bestFit="1" customWidth="1"/>
    <col min="12" max="12" width="5.85546875" bestFit="1" customWidth="1"/>
    <col min="13" max="13" width="6.85546875" bestFit="1" customWidth="1"/>
    <col min="14" max="17" width="11.85546875" bestFit="1" customWidth="1"/>
    <col min="18" max="18" width="14" bestFit="1" customWidth="1"/>
    <col min="19" max="19" width="18.5703125" bestFit="1" customWidth="1"/>
    <col min="20" max="20" width="7.85546875" bestFit="1" customWidth="1"/>
    <col min="21" max="21" width="11.85546875" bestFit="1" customWidth="1"/>
    <col min="22" max="22" width="8.5703125" bestFit="1" customWidth="1"/>
    <col min="23" max="23" width="10.140625" bestFit="1" customWidth="1"/>
    <col min="24" max="24" width="18.7109375" bestFit="1" customWidth="1"/>
    <col min="25" max="25" width="10.5703125" bestFit="1" customWidth="1"/>
    <col min="26" max="26" width="8.7109375" bestFit="1" customWidth="1"/>
    <col min="27" max="27" width="6.85546875" bestFit="1" customWidth="1"/>
    <col min="28" max="28" width="8.7109375" bestFit="1" customWidth="1"/>
    <col min="29" max="29" width="8.85546875" bestFit="1" customWidth="1"/>
    <col min="31" max="31" width="8.7109375" bestFit="1" customWidth="1"/>
    <col min="32" max="32" width="10.42578125" bestFit="1" customWidth="1"/>
    <col min="33" max="33" width="5.85546875" bestFit="1" customWidth="1"/>
    <col min="34" max="34" width="6.85546875" bestFit="1" customWidth="1"/>
    <col min="35" max="38" width="11.85546875" bestFit="1" customWidth="1"/>
    <col min="39" max="39" width="14" bestFit="1" customWidth="1"/>
    <col min="40" max="40" width="18.5703125" bestFit="1" customWidth="1"/>
    <col min="41" max="41" width="7.85546875" bestFit="1" customWidth="1"/>
    <col min="42" max="42" width="11.85546875" bestFit="1" customWidth="1"/>
    <col min="43" max="43" width="8.5703125" bestFit="1" customWidth="1"/>
  </cols>
  <sheetData>
    <row r="1" spans="1:43" x14ac:dyDescent="0.25">
      <c r="A1" t="s">
        <v>2067</v>
      </c>
      <c r="B1" t="s">
        <v>5</v>
      </c>
      <c r="C1" t="s">
        <v>61</v>
      </c>
      <c r="D1" t="s">
        <v>14</v>
      </c>
      <c r="E1" t="s">
        <v>0</v>
      </c>
      <c r="F1" t="s">
        <v>73</v>
      </c>
      <c r="G1" t="s">
        <v>270</v>
      </c>
      <c r="H1" t="s">
        <v>271</v>
      </c>
      <c r="I1" t="s">
        <v>46</v>
      </c>
      <c r="J1" t="s">
        <v>89</v>
      </c>
      <c r="K1" t="s">
        <v>196</v>
      </c>
      <c r="L1" t="s">
        <v>195</v>
      </c>
      <c r="M1" t="s">
        <v>197</v>
      </c>
      <c r="N1" t="s">
        <v>198</v>
      </c>
      <c r="O1" t="s">
        <v>199</v>
      </c>
      <c r="P1" t="s">
        <v>200</v>
      </c>
      <c r="Q1" t="s">
        <v>201</v>
      </c>
      <c r="R1" t="s">
        <v>203</v>
      </c>
      <c r="S1" t="s">
        <v>204</v>
      </c>
      <c r="T1" t="s">
        <v>1</v>
      </c>
      <c r="U1" t="s">
        <v>202</v>
      </c>
      <c r="V1" t="s">
        <v>19</v>
      </c>
      <c r="W1" t="s">
        <v>5</v>
      </c>
      <c r="X1" t="s">
        <v>61</v>
      </c>
      <c r="Y1" t="s">
        <v>14</v>
      </c>
      <c r="Z1" t="s">
        <v>0</v>
      </c>
      <c r="AA1" t="s">
        <v>73</v>
      </c>
      <c r="AB1" t="s">
        <v>270</v>
      </c>
      <c r="AC1" t="s">
        <v>271</v>
      </c>
      <c r="AD1" t="s">
        <v>46</v>
      </c>
      <c r="AE1" t="s">
        <v>89</v>
      </c>
      <c r="AF1" t="s">
        <v>196</v>
      </c>
      <c r="AG1" t="s">
        <v>195</v>
      </c>
      <c r="AH1" t="s">
        <v>197</v>
      </c>
      <c r="AI1" t="s">
        <v>198</v>
      </c>
      <c r="AJ1" t="s">
        <v>199</v>
      </c>
      <c r="AK1" t="s">
        <v>200</v>
      </c>
      <c r="AL1" t="s">
        <v>201</v>
      </c>
      <c r="AM1" t="s">
        <v>203</v>
      </c>
      <c r="AN1" t="s">
        <v>204</v>
      </c>
      <c r="AO1" t="s">
        <v>1</v>
      </c>
      <c r="AP1" t="s">
        <v>202</v>
      </c>
      <c r="AQ1" t="s">
        <v>19</v>
      </c>
    </row>
    <row r="2" spans="1:43" x14ac:dyDescent="0.25">
      <c r="B2" s="1" t="s">
        <v>274</v>
      </c>
      <c r="C2" t="s">
        <v>116</v>
      </c>
      <c r="D2" s="1" t="s">
        <v>80</v>
      </c>
      <c r="E2" s="1" t="s">
        <v>314</v>
      </c>
      <c r="F2">
        <v>1</v>
      </c>
      <c r="G2">
        <v>522</v>
      </c>
      <c r="H2">
        <v>2183</v>
      </c>
      <c r="K2" s="1"/>
      <c r="R2" s="1"/>
      <c r="T2">
        <v>4277</v>
      </c>
      <c r="U2">
        <v>9.3364861607356069</v>
      </c>
      <c r="V2">
        <v>1</v>
      </c>
      <c r="W2" s="1" t="s">
        <v>274</v>
      </c>
      <c r="X2" t="s">
        <v>116</v>
      </c>
      <c r="Y2" s="1" t="s">
        <v>80</v>
      </c>
      <c r="Z2" s="1" t="s">
        <v>314</v>
      </c>
      <c r="AA2">
        <v>1</v>
      </c>
      <c r="AB2">
        <v>522</v>
      </c>
      <c r="AC2">
        <v>2183</v>
      </c>
      <c r="AF2" s="1"/>
      <c r="AM2" s="1"/>
      <c r="AO2">
        <v>4277</v>
      </c>
      <c r="AP2">
        <v>9.3364861607356069</v>
      </c>
      <c r="AQ2">
        <v>1</v>
      </c>
    </row>
    <row r="3" spans="1:43" x14ac:dyDescent="0.25">
      <c r="B3" s="1" t="s">
        <v>275</v>
      </c>
      <c r="C3" t="s">
        <v>116</v>
      </c>
      <c r="D3" s="1" t="s">
        <v>80</v>
      </c>
      <c r="E3" s="1" t="s">
        <v>318</v>
      </c>
      <c r="F3">
        <v>1</v>
      </c>
      <c r="G3">
        <v>522</v>
      </c>
      <c r="H3">
        <v>2183</v>
      </c>
      <c r="K3" s="1"/>
      <c r="R3" s="1"/>
      <c r="T3">
        <v>4277</v>
      </c>
      <c r="U3">
        <v>9.3364340037333342</v>
      </c>
      <c r="V3">
        <v>2</v>
      </c>
      <c r="W3" s="1" t="s">
        <v>275</v>
      </c>
      <c r="X3" t="s">
        <v>116</v>
      </c>
      <c r="Y3" s="1" t="s">
        <v>80</v>
      </c>
      <c r="Z3" s="1" t="s">
        <v>318</v>
      </c>
      <c r="AA3">
        <v>1</v>
      </c>
      <c r="AB3">
        <v>522</v>
      </c>
      <c r="AC3">
        <v>2183</v>
      </c>
      <c r="AF3" s="1"/>
      <c r="AM3" s="1"/>
      <c r="AO3">
        <v>4277</v>
      </c>
      <c r="AP3">
        <v>9.3364340037333342</v>
      </c>
      <c r="AQ3">
        <v>2</v>
      </c>
    </row>
    <row r="4" spans="1:43" x14ac:dyDescent="0.25">
      <c r="B4" s="1" t="s">
        <v>276</v>
      </c>
      <c r="C4" t="s">
        <v>116</v>
      </c>
      <c r="D4" s="1" t="s">
        <v>80</v>
      </c>
      <c r="E4" s="1" t="s">
        <v>322</v>
      </c>
      <c r="F4">
        <v>1</v>
      </c>
      <c r="G4">
        <v>522</v>
      </c>
      <c r="H4">
        <v>2183</v>
      </c>
      <c r="K4" s="1"/>
      <c r="R4" s="1"/>
      <c r="T4">
        <v>4277</v>
      </c>
      <c r="U4">
        <v>9.3364340037333342</v>
      </c>
      <c r="V4">
        <v>3</v>
      </c>
      <c r="W4" s="1" t="s">
        <v>276</v>
      </c>
      <c r="X4" t="s">
        <v>116</v>
      </c>
      <c r="Y4" s="1" t="s">
        <v>80</v>
      </c>
      <c r="Z4" s="1" t="s">
        <v>322</v>
      </c>
      <c r="AA4">
        <v>1</v>
      </c>
      <c r="AB4">
        <v>522</v>
      </c>
      <c r="AC4">
        <v>2183</v>
      </c>
      <c r="AF4" s="1"/>
      <c r="AM4" s="1"/>
      <c r="AO4">
        <v>4277</v>
      </c>
      <c r="AP4">
        <v>9.3364340037333342</v>
      </c>
      <c r="AQ4">
        <v>3</v>
      </c>
    </row>
    <row r="5" spans="1:43" x14ac:dyDescent="0.25">
      <c r="B5" s="1" t="s">
        <v>1250</v>
      </c>
      <c r="C5" t="s">
        <v>134</v>
      </c>
      <c r="D5" s="1" t="s">
        <v>82</v>
      </c>
      <c r="E5" s="1" t="s">
        <v>1279</v>
      </c>
      <c r="F5">
        <v>1</v>
      </c>
      <c r="G5">
        <v>300</v>
      </c>
      <c r="H5">
        <v>2685</v>
      </c>
      <c r="K5" s="1"/>
      <c r="R5" s="1"/>
      <c r="T5">
        <v>4209</v>
      </c>
      <c r="U5">
        <v>11.303653479583108</v>
      </c>
      <c r="V5">
        <v>4</v>
      </c>
      <c r="W5" s="1" t="s">
        <v>1250</v>
      </c>
      <c r="X5" t="s">
        <v>134</v>
      </c>
      <c r="Y5" s="1" t="s">
        <v>82</v>
      </c>
      <c r="Z5" s="1" t="s">
        <v>1279</v>
      </c>
      <c r="AA5">
        <v>1</v>
      </c>
      <c r="AB5">
        <v>300</v>
      </c>
      <c r="AC5">
        <v>2685</v>
      </c>
      <c r="AF5" s="1"/>
      <c r="AM5" s="1"/>
      <c r="AO5">
        <v>4209</v>
      </c>
      <c r="AP5">
        <v>11.303653479583108</v>
      </c>
      <c r="AQ5">
        <v>4</v>
      </c>
    </row>
    <row r="6" spans="1:43" x14ac:dyDescent="0.25">
      <c r="B6" s="1" t="s">
        <v>1251</v>
      </c>
      <c r="C6" t="s">
        <v>134</v>
      </c>
      <c r="D6" s="1" t="s">
        <v>82</v>
      </c>
      <c r="E6" s="1" t="s">
        <v>1279</v>
      </c>
      <c r="F6">
        <v>1</v>
      </c>
      <c r="G6">
        <v>300</v>
      </c>
      <c r="H6">
        <v>2677</v>
      </c>
      <c r="K6" s="1"/>
      <c r="R6" s="1"/>
      <c r="T6">
        <v>4190</v>
      </c>
      <c r="U6">
        <v>11.21720333456258</v>
      </c>
      <c r="V6">
        <v>5</v>
      </c>
      <c r="W6" s="1" t="s">
        <v>1251</v>
      </c>
      <c r="X6" t="s">
        <v>134</v>
      </c>
      <c r="Y6" s="1" t="s">
        <v>82</v>
      </c>
      <c r="Z6" s="1" t="s">
        <v>1279</v>
      </c>
      <c r="AA6">
        <v>1</v>
      </c>
      <c r="AB6">
        <v>300</v>
      </c>
      <c r="AC6">
        <v>2677</v>
      </c>
      <c r="AF6" s="1"/>
      <c r="AM6" s="1"/>
      <c r="AO6">
        <v>4190</v>
      </c>
      <c r="AP6">
        <v>11.21720333456258</v>
      </c>
      <c r="AQ6">
        <v>5</v>
      </c>
    </row>
    <row r="7" spans="1:43" x14ac:dyDescent="0.25">
      <c r="B7" s="1" t="s">
        <v>1252</v>
      </c>
      <c r="C7" t="s">
        <v>134</v>
      </c>
      <c r="D7" s="1" t="s">
        <v>82</v>
      </c>
      <c r="E7" s="1" t="s">
        <v>1279</v>
      </c>
      <c r="F7">
        <v>1</v>
      </c>
      <c r="G7">
        <v>300</v>
      </c>
      <c r="H7">
        <v>2684</v>
      </c>
      <c r="K7" s="1"/>
      <c r="R7" s="1"/>
      <c r="T7">
        <v>4824</v>
      </c>
      <c r="U7">
        <v>12.948687542782691</v>
      </c>
      <c r="V7">
        <v>6</v>
      </c>
      <c r="W7" s="1" t="s">
        <v>1252</v>
      </c>
      <c r="X7" t="s">
        <v>134</v>
      </c>
      <c r="Y7" s="1" t="s">
        <v>82</v>
      </c>
      <c r="Z7" s="1" t="s">
        <v>1279</v>
      </c>
      <c r="AA7">
        <v>1</v>
      </c>
      <c r="AB7">
        <v>300</v>
      </c>
      <c r="AC7">
        <v>2684</v>
      </c>
      <c r="AF7" s="1"/>
      <c r="AM7" s="1"/>
      <c r="AO7">
        <v>4824</v>
      </c>
      <c r="AP7">
        <v>12.948687542782691</v>
      </c>
      <c r="AQ7">
        <v>6</v>
      </c>
    </row>
    <row r="8" spans="1:43" x14ac:dyDescent="0.25">
      <c r="B8" s="1" t="s">
        <v>1253</v>
      </c>
      <c r="C8" t="s">
        <v>134</v>
      </c>
      <c r="D8" s="1" t="s">
        <v>82</v>
      </c>
      <c r="E8" s="1" t="s">
        <v>1279</v>
      </c>
      <c r="F8">
        <v>1</v>
      </c>
      <c r="G8">
        <v>300</v>
      </c>
      <c r="H8">
        <v>2664</v>
      </c>
      <c r="K8" s="1"/>
      <c r="R8" s="1"/>
      <c r="T8">
        <v>4190</v>
      </c>
      <c r="U8">
        <v>11.16274803648572</v>
      </c>
      <c r="V8">
        <v>7</v>
      </c>
      <c r="W8" s="1" t="s">
        <v>1253</v>
      </c>
      <c r="X8" t="s">
        <v>134</v>
      </c>
      <c r="Y8" s="1" t="s">
        <v>82</v>
      </c>
      <c r="Z8" s="1" t="s">
        <v>1279</v>
      </c>
      <c r="AA8">
        <v>1</v>
      </c>
      <c r="AB8">
        <v>300</v>
      </c>
      <c r="AC8">
        <v>2664</v>
      </c>
      <c r="AF8" s="1"/>
      <c r="AM8" s="1"/>
      <c r="AO8">
        <v>4190</v>
      </c>
      <c r="AP8">
        <v>11.16274803648572</v>
      </c>
      <c r="AQ8">
        <v>7</v>
      </c>
    </row>
    <row r="9" spans="1:43" x14ac:dyDescent="0.25">
      <c r="B9" s="1" t="s">
        <v>1254</v>
      </c>
      <c r="C9" t="s">
        <v>134</v>
      </c>
      <c r="D9" s="1" t="s">
        <v>82</v>
      </c>
      <c r="E9" s="1" t="s">
        <v>1279</v>
      </c>
      <c r="F9">
        <v>1</v>
      </c>
      <c r="G9">
        <v>310</v>
      </c>
      <c r="H9">
        <v>3049</v>
      </c>
      <c r="K9" s="1"/>
      <c r="R9" s="1"/>
      <c r="T9">
        <v>5212</v>
      </c>
      <c r="U9">
        <v>15.889886000191614</v>
      </c>
      <c r="V9">
        <v>8</v>
      </c>
      <c r="W9" s="1" t="s">
        <v>1254</v>
      </c>
      <c r="X9" t="s">
        <v>134</v>
      </c>
      <c r="Y9" s="1" t="s">
        <v>82</v>
      </c>
      <c r="Z9" s="1" t="s">
        <v>1279</v>
      </c>
      <c r="AA9">
        <v>1</v>
      </c>
      <c r="AB9">
        <v>310</v>
      </c>
      <c r="AC9">
        <v>3049</v>
      </c>
      <c r="AF9" s="1"/>
      <c r="AM9" s="1"/>
      <c r="AO9">
        <v>5212</v>
      </c>
      <c r="AP9">
        <v>15.889886000191614</v>
      </c>
      <c r="AQ9">
        <v>8</v>
      </c>
    </row>
    <row r="10" spans="1:43" x14ac:dyDescent="0.25">
      <c r="B10" s="1" t="s">
        <v>1255</v>
      </c>
      <c r="C10" t="s">
        <v>134</v>
      </c>
      <c r="D10" s="1" t="s">
        <v>82</v>
      </c>
      <c r="E10" s="1" t="s">
        <v>1280</v>
      </c>
      <c r="F10">
        <v>1</v>
      </c>
      <c r="G10">
        <v>300</v>
      </c>
      <c r="H10">
        <v>2685</v>
      </c>
      <c r="K10" s="1"/>
      <c r="R10" s="1"/>
      <c r="T10">
        <v>4209</v>
      </c>
      <c r="U10">
        <v>11.303653479583108</v>
      </c>
      <c r="V10">
        <v>9</v>
      </c>
      <c r="W10" s="1" t="s">
        <v>1255</v>
      </c>
      <c r="X10" t="s">
        <v>134</v>
      </c>
      <c r="Y10" s="1" t="s">
        <v>82</v>
      </c>
      <c r="Z10" s="1" t="s">
        <v>1280</v>
      </c>
      <c r="AA10">
        <v>1</v>
      </c>
      <c r="AB10">
        <v>300</v>
      </c>
      <c r="AC10">
        <v>2685</v>
      </c>
      <c r="AF10" s="1"/>
      <c r="AM10" s="1"/>
      <c r="AO10">
        <v>4209</v>
      </c>
      <c r="AP10">
        <v>11.303653479583108</v>
      </c>
      <c r="AQ10">
        <v>9</v>
      </c>
    </row>
    <row r="11" spans="1:43" x14ac:dyDescent="0.25">
      <c r="B11" s="1" t="s">
        <v>1256</v>
      </c>
      <c r="C11" t="s">
        <v>134</v>
      </c>
      <c r="D11" s="1" t="s">
        <v>82</v>
      </c>
      <c r="E11" s="1" t="s">
        <v>1280</v>
      </c>
      <c r="F11">
        <v>1</v>
      </c>
      <c r="G11">
        <v>300</v>
      </c>
      <c r="H11">
        <v>2677</v>
      </c>
      <c r="K11" s="1"/>
      <c r="R11" s="1"/>
      <c r="T11">
        <v>4190</v>
      </c>
      <c r="U11">
        <v>11.21720333456258</v>
      </c>
      <c r="V11">
        <v>10</v>
      </c>
      <c r="W11" s="1" t="s">
        <v>1256</v>
      </c>
      <c r="X11" t="s">
        <v>134</v>
      </c>
      <c r="Y11" s="1" t="s">
        <v>82</v>
      </c>
      <c r="Z11" s="1" t="s">
        <v>1280</v>
      </c>
      <c r="AA11">
        <v>1</v>
      </c>
      <c r="AB11">
        <v>300</v>
      </c>
      <c r="AC11">
        <v>2677</v>
      </c>
      <c r="AF11" s="1"/>
      <c r="AM11" s="1"/>
      <c r="AO11">
        <v>4190</v>
      </c>
      <c r="AP11">
        <v>11.21720333456258</v>
      </c>
      <c r="AQ11">
        <v>10</v>
      </c>
    </row>
    <row r="12" spans="1:43" x14ac:dyDescent="0.25">
      <c r="B12" s="1" t="s">
        <v>1257</v>
      </c>
      <c r="C12" t="s">
        <v>134</v>
      </c>
      <c r="D12" s="1" t="s">
        <v>82</v>
      </c>
      <c r="E12" s="1" t="s">
        <v>1280</v>
      </c>
      <c r="F12">
        <v>1</v>
      </c>
      <c r="G12">
        <v>300</v>
      </c>
      <c r="H12">
        <v>2684</v>
      </c>
      <c r="K12" s="1"/>
      <c r="R12" s="1"/>
      <c r="T12">
        <v>4824</v>
      </c>
      <c r="U12">
        <v>12.948687542782691</v>
      </c>
      <c r="V12">
        <v>11</v>
      </c>
      <c r="W12" s="1" t="s">
        <v>1257</v>
      </c>
      <c r="X12" t="s">
        <v>134</v>
      </c>
      <c r="Y12" s="1" t="s">
        <v>82</v>
      </c>
      <c r="Z12" s="1" t="s">
        <v>1280</v>
      </c>
      <c r="AA12">
        <v>1</v>
      </c>
      <c r="AB12">
        <v>300</v>
      </c>
      <c r="AC12">
        <v>2684</v>
      </c>
      <c r="AF12" s="1"/>
      <c r="AM12" s="1"/>
      <c r="AO12">
        <v>4824</v>
      </c>
      <c r="AP12">
        <v>12.948687542782691</v>
      </c>
      <c r="AQ12">
        <v>11</v>
      </c>
    </row>
    <row r="13" spans="1:43" x14ac:dyDescent="0.25">
      <c r="B13" s="1" t="s">
        <v>1258</v>
      </c>
      <c r="C13" t="s">
        <v>134</v>
      </c>
      <c r="D13" s="1" t="s">
        <v>82</v>
      </c>
      <c r="E13" s="1" t="s">
        <v>1280</v>
      </c>
      <c r="F13">
        <v>1</v>
      </c>
      <c r="G13">
        <v>300</v>
      </c>
      <c r="H13">
        <v>2664</v>
      </c>
      <c r="K13" s="1"/>
      <c r="R13" s="1"/>
      <c r="T13">
        <v>4190</v>
      </c>
      <c r="U13">
        <v>11.16274803648572</v>
      </c>
      <c r="V13">
        <v>12</v>
      </c>
      <c r="W13" s="1" t="s">
        <v>1258</v>
      </c>
      <c r="X13" t="s">
        <v>134</v>
      </c>
      <c r="Y13" s="1" t="s">
        <v>82</v>
      </c>
      <c r="Z13" s="1" t="s">
        <v>1280</v>
      </c>
      <c r="AA13">
        <v>1</v>
      </c>
      <c r="AB13">
        <v>300</v>
      </c>
      <c r="AC13">
        <v>2664</v>
      </c>
      <c r="AF13" s="1"/>
      <c r="AM13" s="1"/>
      <c r="AO13">
        <v>4190</v>
      </c>
      <c r="AP13">
        <v>11.16274803648572</v>
      </c>
      <c r="AQ13">
        <v>12</v>
      </c>
    </row>
    <row r="14" spans="1:43" x14ac:dyDescent="0.25">
      <c r="B14" s="1" t="s">
        <v>1259</v>
      </c>
      <c r="C14" t="s">
        <v>134</v>
      </c>
      <c r="D14" s="1" t="s">
        <v>82</v>
      </c>
      <c r="E14" s="1" t="s">
        <v>1280</v>
      </c>
      <c r="F14">
        <v>1</v>
      </c>
      <c r="G14">
        <v>310</v>
      </c>
      <c r="H14">
        <v>3049</v>
      </c>
      <c r="K14" s="1"/>
      <c r="R14" s="1"/>
      <c r="T14">
        <v>5212</v>
      </c>
      <c r="U14">
        <v>15.889889622667036</v>
      </c>
      <c r="V14">
        <v>13</v>
      </c>
      <c r="W14" s="1" t="s">
        <v>1259</v>
      </c>
      <c r="X14" t="s">
        <v>134</v>
      </c>
      <c r="Y14" s="1" t="s">
        <v>82</v>
      </c>
      <c r="Z14" s="1" t="s">
        <v>1280</v>
      </c>
      <c r="AA14">
        <v>1</v>
      </c>
      <c r="AB14">
        <v>310</v>
      </c>
      <c r="AC14">
        <v>3049</v>
      </c>
      <c r="AF14" s="1"/>
      <c r="AM14" s="1"/>
      <c r="AO14">
        <v>5212</v>
      </c>
      <c r="AP14">
        <v>15.889889622667036</v>
      </c>
      <c r="AQ14">
        <v>13</v>
      </c>
    </row>
    <row r="15" spans="1:43" x14ac:dyDescent="0.25">
      <c r="B15" s="1" t="s">
        <v>1260</v>
      </c>
      <c r="C15" t="s">
        <v>134</v>
      </c>
      <c r="D15" s="1" t="s">
        <v>82</v>
      </c>
      <c r="E15" s="1" t="s">
        <v>1278</v>
      </c>
      <c r="F15">
        <v>1</v>
      </c>
      <c r="G15">
        <v>300</v>
      </c>
      <c r="H15">
        <v>1924</v>
      </c>
      <c r="K15" s="1"/>
      <c r="R15" s="1"/>
      <c r="T15">
        <v>2398</v>
      </c>
      <c r="U15">
        <v>4.6146845171300317</v>
      </c>
      <c r="V15">
        <v>14</v>
      </c>
      <c r="W15" s="1" t="s">
        <v>1260</v>
      </c>
      <c r="X15" t="s">
        <v>134</v>
      </c>
      <c r="Y15" s="1" t="s">
        <v>82</v>
      </c>
      <c r="Z15" s="1" t="s">
        <v>1278</v>
      </c>
      <c r="AA15">
        <v>1</v>
      </c>
      <c r="AB15">
        <v>300</v>
      </c>
      <c r="AC15">
        <v>1924</v>
      </c>
      <c r="AF15" s="1"/>
      <c r="AM15" s="1"/>
      <c r="AO15">
        <v>2398</v>
      </c>
      <c r="AP15">
        <v>4.6146845171300317</v>
      </c>
      <c r="AQ15">
        <v>14</v>
      </c>
    </row>
    <row r="16" spans="1:43" x14ac:dyDescent="0.25">
      <c r="B16" s="1" t="s">
        <v>1261</v>
      </c>
      <c r="C16" t="s">
        <v>134</v>
      </c>
      <c r="D16" s="1" t="s">
        <v>82</v>
      </c>
      <c r="E16" s="1" t="s">
        <v>1278</v>
      </c>
      <c r="F16">
        <v>1</v>
      </c>
      <c r="G16">
        <v>300</v>
      </c>
      <c r="H16">
        <v>2685</v>
      </c>
      <c r="K16" s="1"/>
      <c r="R16" s="1"/>
      <c r="T16">
        <v>4209</v>
      </c>
      <c r="U16">
        <v>11.303653479583108</v>
      </c>
      <c r="V16">
        <v>15</v>
      </c>
      <c r="W16" s="1" t="s">
        <v>1261</v>
      </c>
      <c r="X16" t="s">
        <v>134</v>
      </c>
      <c r="Y16" s="1" t="s">
        <v>82</v>
      </c>
      <c r="Z16" s="1" t="s">
        <v>1278</v>
      </c>
      <c r="AA16">
        <v>1</v>
      </c>
      <c r="AB16">
        <v>300</v>
      </c>
      <c r="AC16">
        <v>2685</v>
      </c>
      <c r="AF16" s="1"/>
      <c r="AM16" s="1"/>
      <c r="AO16">
        <v>4209</v>
      </c>
      <c r="AP16">
        <v>11.303653479583108</v>
      </c>
      <c r="AQ16">
        <v>15</v>
      </c>
    </row>
    <row r="17" spans="2:43" x14ac:dyDescent="0.25">
      <c r="B17" s="1" t="s">
        <v>1262</v>
      </c>
      <c r="C17" t="s">
        <v>134</v>
      </c>
      <c r="D17" s="1" t="s">
        <v>82</v>
      </c>
      <c r="E17" s="1" t="s">
        <v>1278</v>
      </c>
      <c r="F17">
        <v>1</v>
      </c>
      <c r="G17">
        <v>300</v>
      </c>
      <c r="H17">
        <v>2677</v>
      </c>
      <c r="K17" s="1"/>
      <c r="R17" s="1"/>
      <c r="T17">
        <v>4190</v>
      </c>
      <c r="U17">
        <v>11.217203339255695</v>
      </c>
      <c r="V17">
        <v>16</v>
      </c>
      <c r="W17" s="1" t="s">
        <v>1262</v>
      </c>
      <c r="X17" t="s">
        <v>134</v>
      </c>
      <c r="Y17" s="1" t="s">
        <v>82</v>
      </c>
      <c r="Z17" s="1" t="s">
        <v>1278</v>
      </c>
      <c r="AA17">
        <v>1</v>
      </c>
      <c r="AB17">
        <v>300</v>
      </c>
      <c r="AC17">
        <v>2677</v>
      </c>
      <c r="AF17" s="1"/>
      <c r="AM17" s="1"/>
      <c r="AO17">
        <v>4190</v>
      </c>
      <c r="AP17">
        <v>11.217203339255695</v>
      </c>
      <c r="AQ17">
        <v>16</v>
      </c>
    </row>
    <row r="18" spans="2:43" x14ac:dyDescent="0.25">
      <c r="B18" s="1" t="s">
        <v>1263</v>
      </c>
      <c r="C18" t="s">
        <v>134</v>
      </c>
      <c r="D18" s="1" t="s">
        <v>82</v>
      </c>
      <c r="E18" s="1" t="s">
        <v>1278</v>
      </c>
      <c r="F18">
        <v>1</v>
      </c>
      <c r="G18">
        <v>300</v>
      </c>
      <c r="H18">
        <v>2684</v>
      </c>
      <c r="K18" s="1"/>
      <c r="R18" s="1"/>
      <c r="T18">
        <v>4824</v>
      </c>
      <c r="U18">
        <v>12.948687542782691</v>
      </c>
      <c r="V18">
        <v>17</v>
      </c>
      <c r="W18" s="1" t="s">
        <v>1263</v>
      </c>
      <c r="X18" t="s">
        <v>134</v>
      </c>
      <c r="Y18" s="1" t="s">
        <v>82</v>
      </c>
      <c r="Z18" s="1" t="s">
        <v>1278</v>
      </c>
      <c r="AA18">
        <v>1</v>
      </c>
      <c r="AB18">
        <v>300</v>
      </c>
      <c r="AC18">
        <v>2684</v>
      </c>
      <c r="AF18" s="1"/>
      <c r="AM18" s="1"/>
      <c r="AO18">
        <v>4824</v>
      </c>
      <c r="AP18">
        <v>12.948687542782691</v>
      </c>
      <c r="AQ18">
        <v>17</v>
      </c>
    </row>
    <row r="19" spans="2:43" x14ac:dyDescent="0.25">
      <c r="B19" s="1" t="s">
        <v>1264</v>
      </c>
      <c r="C19" t="s">
        <v>134</v>
      </c>
      <c r="D19" s="1" t="s">
        <v>82</v>
      </c>
      <c r="E19" s="1" t="s">
        <v>1278</v>
      </c>
      <c r="F19">
        <v>1</v>
      </c>
      <c r="G19">
        <v>300</v>
      </c>
      <c r="H19">
        <v>2664</v>
      </c>
      <c r="K19" s="1"/>
      <c r="R19" s="1"/>
      <c r="T19">
        <v>4190</v>
      </c>
      <c r="U19">
        <v>11.16274803648572</v>
      </c>
      <c r="V19">
        <v>18</v>
      </c>
      <c r="W19" s="1" t="s">
        <v>1264</v>
      </c>
      <c r="X19" t="s">
        <v>134</v>
      </c>
      <c r="Y19" s="1" t="s">
        <v>82</v>
      </c>
      <c r="Z19" s="1" t="s">
        <v>1278</v>
      </c>
      <c r="AA19">
        <v>1</v>
      </c>
      <c r="AB19">
        <v>300</v>
      </c>
      <c r="AC19">
        <v>2664</v>
      </c>
      <c r="AF19" s="1"/>
      <c r="AM19" s="1"/>
      <c r="AO19">
        <v>4190</v>
      </c>
      <c r="AP19">
        <v>11.16274803648572</v>
      </c>
      <c r="AQ19">
        <v>18</v>
      </c>
    </row>
    <row r="20" spans="2:43" x14ac:dyDescent="0.25">
      <c r="B20" s="1" t="s">
        <v>1265</v>
      </c>
      <c r="C20" t="s">
        <v>134</v>
      </c>
      <c r="D20" s="1" t="s">
        <v>82</v>
      </c>
      <c r="E20" s="1" t="s">
        <v>1278</v>
      </c>
      <c r="F20">
        <v>1</v>
      </c>
      <c r="G20">
        <v>310</v>
      </c>
      <c r="H20">
        <v>3049</v>
      </c>
      <c r="K20" s="1"/>
      <c r="R20" s="1"/>
      <c r="T20">
        <v>5212</v>
      </c>
      <c r="U20">
        <v>15.889886000191614</v>
      </c>
      <c r="V20">
        <v>19</v>
      </c>
      <c r="W20" s="1" t="s">
        <v>1265</v>
      </c>
      <c r="X20" t="s">
        <v>134</v>
      </c>
      <c r="Y20" s="1" t="s">
        <v>82</v>
      </c>
      <c r="Z20" s="1" t="s">
        <v>1278</v>
      </c>
      <c r="AA20">
        <v>1</v>
      </c>
      <c r="AB20">
        <v>310</v>
      </c>
      <c r="AC20">
        <v>3049</v>
      </c>
      <c r="AF20" s="1"/>
      <c r="AM20" s="1"/>
      <c r="AO20">
        <v>5212</v>
      </c>
      <c r="AP20">
        <v>15.889886000191614</v>
      </c>
      <c r="AQ20">
        <v>19</v>
      </c>
    </row>
    <row r="21" spans="2:43" x14ac:dyDescent="0.25">
      <c r="B21" s="1" t="s">
        <v>1308</v>
      </c>
      <c r="C21" t="s">
        <v>134</v>
      </c>
      <c r="D21" s="1" t="s">
        <v>80</v>
      </c>
      <c r="E21" s="1" t="s">
        <v>314</v>
      </c>
      <c r="F21">
        <v>1</v>
      </c>
      <c r="G21">
        <v>310</v>
      </c>
      <c r="H21">
        <v>2329</v>
      </c>
      <c r="K21" s="1"/>
      <c r="R21" s="1"/>
      <c r="T21">
        <v>2279</v>
      </c>
      <c r="U21">
        <v>5.3063787396865649</v>
      </c>
      <c r="V21">
        <v>20</v>
      </c>
      <c r="W21" s="1" t="s">
        <v>1308</v>
      </c>
      <c r="X21" t="s">
        <v>134</v>
      </c>
      <c r="Y21" s="1" t="s">
        <v>80</v>
      </c>
      <c r="Z21" s="1" t="s">
        <v>314</v>
      </c>
      <c r="AA21">
        <v>1</v>
      </c>
      <c r="AB21">
        <v>310</v>
      </c>
      <c r="AC21">
        <v>2329</v>
      </c>
      <c r="AF21" s="1"/>
      <c r="AM21" s="1"/>
      <c r="AO21">
        <v>2279</v>
      </c>
      <c r="AP21">
        <v>5.3063787396865649</v>
      </c>
      <c r="AQ21">
        <v>20</v>
      </c>
    </row>
    <row r="22" spans="2:43" x14ac:dyDescent="0.25">
      <c r="B22" s="1" t="s">
        <v>1309</v>
      </c>
      <c r="C22" t="s">
        <v>134</v>
      </c>
      <c r="D22" s="1" t="s">
        <v>80</v>
      </c>
      <c r="E22" s="1" t="s">
        <v>314</v>
      </c>
      <c r="F22">
        <v>1</v>
      </c>
      <c r="G22">
        <v>306</v>
      </c>
      <c r="H22">
        <v>2329</v>
      </c>
      <c r="K22" s="1"/>
      <c r="R22" s="1"/>
      <c r="T22">
        <v>4243</v>
      </c>
      <c r="U22">
        <v>9.8803010642086679</v>
      </c>
      <c r="V22">
        <v>21</v>
      </c>
      <c r="W22" s="1" t="s">
        <v>1309</v>
      </c>
      <c r="X22" t="s">
        <v>134</v>
      </c>
      <c r="Y22" s="1" t="s">
        <v>80</v>
      </c>
      <c r="Z22" s="1" t="s">
        <v>314</v>
      </c>
      <c r="AA22">
        <v>1</v>
      </c>
      <c r="AB22">
        <v>306</v>
      </c>
      <c r="AC22">
        <v>2329</v>
      </c>
      <c r="AF22" s="1"/>
      <c r="AM22" s="1"/>
      <c r="AO22">
        <v>4243</v>
      </c>
      <c r="AP22">
        <v>9.8803010642086679</v>
      </c>
      <c r="AQ22">
        <v>21</v>
      </c>
    </row>
    <row r="23" spans="2:43" x14ac:dyDescent="0.25">
      <c r="B23" s="1" t="s">
        <v>1310</v>
      </c>
      <c r="C23" t="s">
        <v>134</v>
      </c>
      <c r="D23" s="1" t="s">
        <v>80</v>
      </c>
      <c r="E23" s="1" t="s">
        <v>314</v>
      </c>
      <c r="F23">
        <v>1</v>
      </c>
      <c r="G23">
        <v>306</v>
      </c>
      <c r="H23">
        <v>2934</v>
      </c>
      <c r="K23" s="1"/>
      <c r="R23" s="1"/>
      <c r="T23">
        <v>4824</v>
      </c>
      <c r="U23">
        <v>14.15266772234544</v>
      </c>
      <c r="V23">
        <v>22</v>
      </c>
      <c r="W23" s="1" t="s">
        <v>1310</v>
      </c>
      <c r="X23" t="s">
        <v>134</v>
      </c>
      <c r="Y23" s="1" t="s">
        <v>80</v>
      </c>
      <c r="Z23" s="1" t="s">
        <v>314</v>
      </c>
      <c r="AA23">
        <v>1</v>
      </c>
      <c r="AB23">
        <v>306</v>
      </c>
      <c r="AC23">
        <v>2934</v>
      </c>
      <c r="AF23" s="1"/>
      <c r="AM23" s="1"/>
      <c r="AO23">
        <v>4824</v>
      </c>
      <c r="AP23">
        <v>14.15266772234544</v>
      </c>
      <c r="AQ23">
        <v>22</v>
      </c>
    </row>
    <row r="24" spans="2:43" x14ac:dyDescent="0.25">
      <c r="B24" s="1" t="s">
        <v>1311</v>
      </c>
      <c r="C24" t="s">
        <v>134</v>
      </c>
      <c r="D24" s="1" t="s">
        <v>80</v>
      </c>
      <c r="E24" s="1" t="s">
        <v>314</v>
      </c>
      <c r="F24">
        <v>1</v>
      </c>
      <c r="G24">
        <v>306</v>
      </c>
      <c r="H24">
        <v>2934</v>
      </c>
      <c r="K24" s="1"/>
      <c r="R24" s="1"/>
      <c r="T24">
        <v>3801</v>
      </c>
      <c r="U24">
        <v>11.151411112013292</v>
      </c>
      <c r="V24">
        <v>23</v>
      </c>
      <c r="W24" s="1" t="s">
        <v>1311</v>
      </c>
      <c r="X24" t="s">
        <v>134</v>
      </c>
      <c r="Y24" s="1" t="s">
        <v>80</v>
      </c>
      <c r="Z24" s="1" t="s">
        <v>314</v>
      </c>
      <c r="AA24">
        <v>1</v>
      </c>
      <c r="AB24">
        <v>306</v>
      </c>
      <c r="AC24">
        <v>2934</v>
      </c>
      <c r="AF24" s="1"/>
      <c r="AM24" s="1"/>
      <c r="AO24">
        <v>3801</v>
      </c>
      <c r="AP24">
        <v>11.151411112013292</v>
      </c>
      <c r="AQ24">
        <v>23</v>
      </c>
    </row>
    <row r="25" spans="2:43" x14ac:dyDescent="0.25">
      <c r="B25" s="1" t="s">
        <v>1312</v>
      </c>
      <c r="C25" t="s">
        <v>134</v>
      </c>
      <c r="D25" s="1" t="s">
        <v>80</v>
      </c>
      <c r="E25" s="1" t="s">
        <v>314</v>
      </c>
      <c r="F25">
        <v>1</v>
      </c>
      <c r="G25">
        <v>306</v>
      </c>
      <c r="H25">
        <v>2934</v>
      </c>
      <c r="K25" s="1"/>
      <c r="R25" s="1"/>
      <c r="T25">
        <v>4950</v>
      </c>
      <c r="U25">
        <v>14.522402888092294</v>
      </c>
      <c r="V25">
        <v>24</v>
      </c>
      <c r="W25" s="1" t="s">
        <v>1312</v>
      </c>
      <c r="X25" t="s">
        <v>134</v>
      </c>
      <c r="Y25" s="1" t="s">
        <v>80</v>
      </c>
      <c r="Z25" s="1" t="s">
        <v>314</v>
      </c>
      <c r="AA25">
        <v>1</v>
      </c>
      <c r="AB25">
        <v>306</v>
      </c>
      <c r="AC25">
        <v>2934</v>
      </c>
      <c r="AF25" s="1"/>
      <c r="AM25" s="1"/>
      <c r="AO25">
        <v>4950</v>
      </c>
      <c r="AP25">
        <v>14.522402888092294</v>
      </c>
      <c r="AQ25">
        <v>24</v>
      </c>
    </row>
    <row r="26" spans="2:43" x14ac:dyDescent="0.25">
      <c r="B26" s="1" t="s">
        <v>1313</v>
      </c>
      <c r="C26" t="s">
        <v>134</v>
      </c>
      <c r="D26" s="1" t="s">
        <v>80</v>
      </c>
      <c r="E26" s="1" t="s">
        <v>314</v>
      </c>
      <c r="F26">
        <v>1</v>
      </c>
      <c r="G26">
        <v>301</v>
      </c>
      <c r="H26">
        <v>1484</v>
      </c>
      <c r="K26" s="1"/>
      <c r="R26" s="1"/>
      <c r="T26">
        <v>3801</v>
      </c>
      <c r="U26">
        <v>5.6399586695630974</v>
      </c>
      <c r="V26">
        <v>25</v>
      </c>
      <c r="W26" s="1" t="s">
        <v>1313</v>
      </c>
      <c r="X26" t="s">
        <v>134</v>
      </c>
      <c r="Y26" s="1" t="s">
        <v>80</v>
      </c>
      <c r="Z26" s="1" t="s">
        <v>314</v>
      </c>
      <c r="AA26">
        <v>1</v>
      </c>
      <c r="AB26">
        <v>301</v>
      </c>
      <c r="AC26">
        <v>1484</v>
      </c>
      <c r="AF26" s="1"/>
      <c r="AM26" s="1"/>
      <c r="AO26">
        <v>3801</v>
      </c>
      <c r="AP26">
        <v>5.6399586695630974</v>
      </c>
      <c r="AQ26">
        <v>25</v>
      </c>
    </row>
    <row r="27" spans="2:43" x14ac:dyDescent="0.25">
      <c r="B27" s="1" t="s">
        <v>1314</v>
      </c>
      <c r="C27" t="s">
        <v>134</v>
      </c>
      <c r="D27" s="1" t="s">
        <v>80</v>
      </c>
      <c r="E27" s="1" t="s">
        <v>314</v>
      </c>
      <c r="F27">
        <v>1</v>
      </c>
      <c r="G27">
        <v>301</v>
      </c>
      <c r="H27">
        <v>2684</v>
      </c>
      <c r="K27" s="1"/>
      <c r="R27" s="1"/>
      <c r="T27">
        <v>4847</v>
      </c>
      <c r="U27">
        <v>13.008435679599842</v>
      </c>
      <c r="V27">
        <v>26</v>
      </c>
      <c r="W27" s="1" t="s">
        <v>1314</v>
      </c>
      <c r="X27" t="s">
        <v>134</v>
      </c>
      <c r="Y27" s="1" t="s">
        <v>80</v>
      </c>
      <c r="Z27" s="1" t="s">
        <v>314</v>
      </c>
      <c r="AA27">
        <v>1</v>
      </c>
      <c r="AB27">
        <v>301</v>
      </c>
      <c r="AC27">
        <v>2684</v>
      </c>
      <c r="AF27" s="1"/>
      <c r="AM27" s="1"/>
      <c r="AO27">
        <v>4847</v>
      </c>
      <c r="AP27">
        <v>13.008435679599842</v>
      </c>
      <c r="AQ27">
        <v>26</v>
      </c>
    </row>
    <row r="28" spans="2:43" x14ac:dyDescent="0.25">
      <c r="B28" s="1" t="s">
        <v>1325</v>
      </c>
      <c r="C28" t="s">
        <v>134</v>
      </c>
      <c r="D28" s="1" t="s">
        <v>80</v>
      </c>
      <c r="E28" s="1" t="s">
        <v>318</v>
      </c>
      <c r="F28">
        <v>1</v>
      </c>
      <c r="G28">
        <v>310</v>
      </c>
      <c r="H28">
        <v>2329</v>
      </c>
      <c r="K28" s="1"/>
      <c r="R28" s="1"/>
      <c r="T28">
        <v>2279</v>
      </c>
      <c r="U28">
        <v>5.3063809385571492</v>
      </c>
      <c r="V28">
        <v>27</v>
      </c>
      <c r="W28" s="1" t="s">
        <v>1325</v>
      </c>
      <c r="X28" t="s">
        <v>134</v>
      </c>
      <c r="Y28" s="1" t="s">
        <v>80</v>
      </c>
      <c r="Z28" s="1" t="s">
        <v>318</v>
      </c>
      <c r="AA28">
        <v>1</v>
      </c>
      <c r="AB28">
        <v>310</v>
      </c>
      <c r="AC28">
        <v>2329</v>
      </c>
      <c r="AF28" s="1"/>
      <c r="AM28" s="1"/>
      <c r="AO28">
        <v>2279</v>
      </c>
      <c r="AP28">
        <v>5.3063809385571492</v>
      </c>
      <c r="AQ28">
        <v>27</v>
      </c>
    </row>
    <row r="29" spans="2:43" x14ac:dyDescent="0.25">
      <c r="B29" s="1" t="s">
        <v>1326</v>
      </c>
      <c r="C29" t="s">
        <v>134</v>
      </c>
      <c r="D29" s="1" t="s">
        <v>80</v>
      </c>
      <c r="E29" s="1" t="s">
        <v>318</v>
      </c>
      <c r="F29">
        <v>1</v>
      </c>
      <c r="G29">
        <v>306</v>
      </c>
      <c r="H29">
        <v>2329</v>
      </c>
      <c r="K29" s="1"/>
      <c r="R29" s="1"/>
      <c r="T29">
        <v>4243</v>
      </c>
      <c r="U29">
        <v>9.8803010642086679</v>
      </c>
      <c r="V29">
        <v>28</v>
      </c>
      <c r="W29" s="1" t="s">
        <v>1326</v>
      </c>
      <c r="X29" t="s">
        <v>134</v>
      </c>
      <c r="Y29" s="1" t="s">
        <v>80</v>
      </c>
      <c r="Z29" s="1" t="s">
        <v>318</v>
      </c>
      <c r="AA29">
        <v>1</v>
      </c>
      <c r="AB29">
        <v>306</v>
      </c>
      <c r="AC29">
        <v>2329</v>
      </c>
      <c r="AF29" s="1"/>
      <c r="AM29" s="1"/>
      <c r="AO29">
        <v>4243</v>
      </c>
      <c r="AP29">
        <v>9.8803010642086679</v>
      </c>
      <c r="AQ29">
        <v>28</v>
      </c>
    </row>
    <row r="30" spans="2:43" x14ac:dyDescent="0.25">
      <c r="B30" s="1" t="s">
        <v>1327</v>
      </c>
      <c r="C30" t="s">
        <v>134</v>
      </c>
      <c r="D30" s="1" t="s">
        <v>80</v>
      </c>
      <c r="E30" s="1" t="s">
        <v>318</v>
      </c>
      <c r="F30">
        <v>1</v>
      </c>
      <c r="G30">
        <v>306</v>
      </c>
      <c r="H30">
        <v>2934</v>
      </c>
      <c r="K30" s="1"/>
      <c r="R30" s="1"/>
      <c r="T30">
        <v>4824</v>
      </c>
      <c r="U30">
        <v>14.15266772234544</v>
      </c>
      <c r="V30">
        <v>29</v>
      </c>
      <c r="W30" s="1" t="s">
        <v>1327</v>
      </c>
      <c r="X30" t="s">
        <v>134</v>
      </c>
      <c r="Y30" s="1" t="s">
        <v>80</v>
      </c>
      <c r="Z30" s="1" t="s">
        <v>318</v>
      </c>
      <c r="AA30">
        <v>1</v>
      </c>
      <c r="AB30">
        <v>306</v>
      </c>
      <c r="AC30">
        <v>2934</v>
      </c>
      <c r="AF30" s="1"/>
      <c r="AM30" s="1"/>
      <c r="AO30">
        <v>4824</v>
      </c>
      <c r="AP30">
        <v>14.15266772234544</v>
      </c>
      <c r="AQ30">
        <v>29</v>
      </c>
    </row>
    <row r="31" spans="2:43" x14ac:dyDescent="0.25">
      <c r="B31" s="1" t="s">
        <v>1328</v>
      </c>
      <c r="C31" t="s">
        <v>134</v>
      </c>
      <c r="D31" s="1" t="s">
        <v>80</v>
      </c>
      <c r="E31" s="1" t="s">
        <v>318</v>
      </c>
      <c r="F31">
        <v>1</v>
      </c>
      <c r="G31">
        <v>306</v>
      </c>
      <c r="H31">
        <v>2934</v>
      </c>
      <c r="K31" s="1"/>
      <c r="R31" s="1"/>
      <c r="T31">
        <v>3801</v>
      </c>
      <c r="U31">
        <v>11.151411112054276</v>
      </c>
      <c r="V31">
        <v>30</v>
      </c>
      <c r="W31" s="1" t="s">
        <v>1328</v>
      </c>
      <c r="X31" t="s">
        <v>134</v>
      </c>
      <c r="Y31" s="1" t="s">
        <v>80</v>
      </c>
      <c r="Z31" s="1" t="s">
        <v>318</v>
      </c>
      <c r="AA31">
        <v>1</v>
      </c>
      <c r="AB31">
        <v>306</v>
      </c>
      <c r="AC31">
        <v>2934</v>
      </c>
      <c r="AF31" s="1"/>
      <c r="AM31" s="1"/>
      <c r="AO31">
        <v>3801</v>
      </c>
      <c r="AP31">
        <v>11.151411112054276</v>
      </c>
      <c r="AQ31">
        <v>30</v>
      </c>
    </row>
    <row r="32" spans="2:43" x14ac:dyDescent="0.25">
      <c r="B32" s="1" t="s">
        <v>1329</v>
      </c>
      <c r="C32" t="s">
        <v>134</v>
      </c>
      <c r="D32" s="1" t="s">
        <v>80</v>
      </c>
      <c r="E32" s="1" t="s">
        <v>318</v>
      </c>
      <c r="F32">
        <v>1</v>
      </c>
      <c r="G32">
        <v>306</v>
      </c>
      <c r="H32">
        <v>2934</v>
      </c>
      <c r="K32" s="1"/>
      <c r="R32" s="1"/>
      <c r="T32">
        <v>4950</v>
      </c>
      <c r="U32">
        <v>14.522402888092294</v>
      </c>
      <c r="V32">
        <v>31</v>
      </c>
      <c r="W32" s="1" t="s">
        <v>1329</v>
      </c>
      <c r="X32" t="s">
        <v>134</v>
      </c>
      <c r="Y32" s="1" t="s">
        <v>80</v>
      </c>
      <c r="Z32" s="1" t="s">
        <v>318</v>
      </c>
      <c r="AA32">
        <v>1</v>
      </c>
      <c r="AB32">
        <v>306</v>
      </c>
      <c r="AC32">
        <v>2934</v>
      </c>
      <c r="AF32" s="1"/>
      <c r="AM32" s="1"/>
      <c r="AO32">
        <v>4950</v>
      </c>
      <c r="AP32">
        <v>14.522402888092294</v>
      </c>
      <c r="AQ32">
        <v>31</v>
      </c>
    </row>
    <row r="33" spans="2:43" x14ac:dyDescent="0.25">
      <c r="B33" s="1" t="s">
        <v>1330</v>
      </c>
      <c r="C33" t="s">
        <v>134</v>
      </c>
      <c r="D33" s="1" t="s">
        <v>80</v>
      </c>
      <c r="E33" s="1" t="s">
        <v>318</v>
      </c>
      <c r="F33">
        <v>1</v>
      </c>
      <c r="G33">
        <v>301</v>
      </c>
      <c r="H33">
        <v>1484</v>
      </c>
      <c r="K33" s="1"/>
      <c r="R33" s="1"/>
      <c r="T33">
        <v>3801</v>
      </c>
      <c r="U33">
        <v>5.6399586695782986</v>
      </c>
      <c r="V33">
        <v>32</v>
      </c>
      <c r="W33" s="1" t="s">
        <v>1330</v>
      </c>
      <c r="X33" t="s">
        <v>134</v>
      </c>
      <c r="Y33" s="1" t="s">
        <v>80</v>
      </c>
      <c r="Z33" s="1" t="s">
        <v>318</v>
      </c>
      <c r="AA33">
        <v>1</v>
      </c>
      <c r="AB33">
        <v>301</v>
      </c>
      <c r="AC33">
        <v>1484</v>
      </c>
      <c r="AF33" s="1"/>
      <c r="AM33" s="1"/>
      <c r="AO33">
        <v>3801</v>
      </c>
      <c r="AP33">
        <v>5.6399586695782986</v>
      </c>
      <c r="AQ33">
        <v>32</v>
      </c>
    </row>
    <row r="34" spans="2:43" x14ac:dyDescent="0.25">
      <c r="B34" s="1" t="s">
        <v>1331</v>
      </c>
      <c r="C34" t="s">
        <v>134</v>
      </c>
      <c r="D34" s="1" t="s">
        <v>80</v>
      </c>
      <c r="E34" s="1" t="s">
        <v>318</v>
      </c>
      <c r="F34">
        <v>1</v>
      </c>
      <c r="G34">
        <v>301</v>
      </c>
      <c r="H34">
        <v>2684</v>
      </c>
      <c r="K34" s="1"/>
      <c r="R34" s="1"/>
      <c r="T34">
        <v>4847</v>
      </c>
      <c r="U34">
        <v>13.008435679599842</v>
      </c>
      <c r="V34">
        <v>33</v>
      </c>
      <c r="W34" s="1" t="s">
        <v>1331</v>
      </c>
      <c r="X34" t="s">
        <v>134</v>
      </c>
      <c r="Y34" s="1" t="s">
        <v>80</v>
      </c>
      <c r="Z34" s="1" t="s">
        <v>318</v>
      </c>
      <c r="AA34">
        <v>1</v>
      </c>
      <c r="AB34">
        <v>301</v>
      </c>
      <c r="AC34">
        <v>2684</v>
      </c>
      <c r="AF34" s="1"/>
      <c r="AM34" s="1"/>
      <c r="AO34">
        <v>4847</v>
      </c>
      <c r="AP34">
        <v>13.008435679599842</v>
      </c>
      <c r="AQ34">
        <v>33</v>
      </c>
    </row>
    <row r="35" spans="2:43" x14ac:dyDescent="0.25">
      <c r="B35" s="1" t="s">
        <v>1342</v>
      </c>
      <c r="C35" t="s">
        <v>134</v>
      </c>
      <c r="D35" s="1" t="s">
        <v>80</v>
      </c>
      <c r="E35" s="1" t="s">
        <v>322</v>
      </c>
      <c r="F35">
        <v>1</v>
      </c>
      <c r="G35">
        <v>310</v>
      </c>
      <c r="H35">
        <v>2329</v>
      </c>
      <c r="K35" s="1"/>
      <c r="R35" s="1"/>
      <c r="T35">
        <v>2279</v>
      </c>
      <c r="U35">
        <v>5.3065687332573273</v>
      </c>
      <c r="V35">
        <v>34</v>
      </c>
      <c r="W35" s="1" t="s">
        <v>1342</v>
      </c>
      <c r="X35" t="s">
        <v>134</v>
      </c>
      <c r="Y35" s="1" t="s">
        <v>80</v>
      </c>
      <c r="Z35" s="1" t="s">
        <v>322</v>
      </c>
      <c r="AA35">
        <v>1</v>
      </c>
      <c r="AB35">
        <v>310</v>
      </c>
      <c r="AC35">
        <v>2329</v>
      </c>
      <c r="AF35" s="1"/>
      <c r="AM35" s="1"/>
      <c r="AO35">
        <v>2279</v>
      </c>
      <c r="AP35">
        <v>5.3065687332573273</v>
      </c>
      <c r="AQ35">
        <v>34</v>
      </c>
    </row>
    <row r="36" spans="2:43" x14ac:dyDescent="0.25">
      <c r="B36" s="1" t="s">
        <v>1343</v>
      </c>
      <c r="C36" t="s">
        <v>134</v>
      </c>
      <c r="D36" s="1" t="s">
        <v>80</v>
      </c>
      <c r="E36" s="1" t="s">
        <v>322</v>
      </c>
      <c r="F36">
        <v>1</v>
      </c>
      <c r="G36">
        <v>306</v>
      </c>
      <c r="H36">
        <v>2329</v>
      </c>
      <c r="K36" s="1"/>
      <c r="R36" s="1"/>
      <c r="T36">
        <v>4243</v>
      </c>
      <c r="U36">
        <v>9.8803010642086679</v>
      </c>
      <c r="V36">
        <v>35</v>
      </c>
      <c r="W36" s="1" t="s">
        <v>1343</v>
      </c>
      <c r="X36" t="s">
        <v>134</v>
      </c>
      <c r="Y36" s="1" t="s">
        <v>80</v>
      </c>
      <c r="Z36" s="1" t="s">
        <v>322</v>
      </c>
      <c r="AA36">
        <v>1</v>
      </c>
      <c r="AB36">
        <v>306</v>
      </c>
      <c r="AC36">
        <v>2329</v>
      </c>
      <c r="AF36" s="1"/>
      <c r="AM36" s="1"/>
      <c r="AO36">
        <v>4243</v>
      </c>
      <c r="AP36">
        <v>9.8803010642086679</v>
      </c>
      <c r="AQ36">
        <v>35</v>
      </c>
    </row>
    <row r="37" spans="2:43" x14ac:dyDescent="0.25">
      <c r="B37" s="1" t="s">
        <v>1344</v>
      </c>
      <c r="C37" t="s">
        <v>134</v>
      </c>
      <c r="D37" s="1" t="s">
        <v>80</v>
      </c>
      <c r="E37" s="1" t="s">
        <v>322</v>
      </c>
      <c r="F37">
        <v>1</v>
      </c>
      <c r="G37">
        <v>306</v>
      </c>
      <c r="H37">
        <v>2934</v>
      </c>
      <c r="K37" s="1"/>
      <c r="R37" s="1"/>
      <c r="T37">
        <v>4824</v>
      </c>
      <c r="U37">
        <v>14.15266772234544</v>
      </c>
      <c r="V37">
        <v>36</v>
      </c>
      <c r="W37" s="1" t="s">
        <v>1344</v>
      </c>
      <c r="X37" t="s">
        <v>134</v>
      </c>
      <c r="Y37" s="1" t="s">
        <v>80</v>
      </c>
      <c r="Z37" s="1" t="s">
        <v>322</v>
      </c>
      <c r="AA37">
        <v>1</v>
      </c>
      <c r="AB37">
        <v>306</v>
      </c>
      <c r="AC37">
        <v>2934</v>
      </c>
      <c r="AF37" s="1"/>
      <c r="AM37" s="1"/>
      <c r="AO37">
        <v>4824</v>
      </c>
      <c r="AP37">
        <v>14.15266772234544</v>
      </c>
      <c r="AQ37">
        <v>36</v>
      </c>
    </row>
    <row r="38" spans="2:43" x14ac:dyDescent="0.25">
      <c r="B38" s="1" t="s">
        <v>1345</v>
      </c>
      <c r="C38" t="s">
        <v>134</v>
      </c>
      <c r="D38" s="1" t="s">
        <v>80</v>
      </c>
      <c r="E38" s="1" t="s">
        <v>322</v>
      </c>
      <c r="F38">
        <v>1</v>
      </c>
      <c r="G38">
        <v>306</v>
      </c>
      <c r="H38">
        <v>2934</v>
      </c>
      <c r="K38" s="1"/>
      <c r="R38" s="1"/>
      <c r="T38">
        <v>3801</v>
      </c>
      <c r="U38">
        <v>11.151411112083649</v>
      </c>
      <c r="V38">
        <v>37</v>
      </c>
      <c r="W38" s="1" t="s">
        <v>1345</v>
      </c>
      <c r="X38" t="s">
        <v>134</v>
      </c>
      <c r="Y38" s="1" t="s">
        <v>80</v>
      </c>
      <c r="Z38" s="1" t="s">
        <v>322</v>
      </c>
      <c r="AA38">
        <v>1</v>
      </c>
      <c r="AB38">
        <v>306</v>
      </c>
      <c r="AC38">
        <v>2934</v>
      </c>
      <c r="AF38" s="1"/>
      <c r="AM38" s="1"/>
      <c r="AO38">
        <v>3801</v>
      </c>
      <c r="AP38">
        <v>11.151411112083649</v>
      </c>
      <c r="AQ38">
        <v>37</v>
      </c>
    </row>
    <row r="39" spans="2:43" x14ac:dyDescent="0.25">
      <c r="B39" s="1" t="s">
        <v>1346</v>
      </c>
      <c r="C39" t="s">
        <v>134</v>
      </c>
      <c r="D39" s="1" t="s">
        <v>80</v>
      </c>
      <c r="E39" s="1" t="s">
        <v>322</v>
      </c>
      <c r="F39">
        <v>1</v>
      </c>
      <c r="G39">
        <v>306</v>
      </c>
      <c r="H39">
        <v>2934</v>
      </c>
      <c r="K39" s="1"/>
      <c r="R39" s="1"/>
      <c r="T39">
        <v>4950</v>
      </c>
      <c r="U39">
        <v>14.522402888092294</v>
      </c>
      <c r="V39">
        <v>38</v>
      </c>
      <c r="W39" s="1" t="s">
        <v>1346</v>
      </c>
      <c r="X39" t="s">
        <v>134</v>
      </c>
      <c r="Y39" s="1" t="s">
        <v>80</v>
      </c>
      <c r="Z39" s="1" t="s">
        <v>322</v>
      </c>
      <c r="AA39">
        <v>1</v>
      </c>
      <c r="AB39">
        <v>306</v>
      </c>
      <c r="AC39">
        <v>2934</v>
      </c>
      <c r="AF39" s="1"/>
      <c r="AM39" s="1"/>
      <c r="AO39">
        <v>4950</v>
      </c>
      <c r="AP39">
        <v>14.522402888092294</v>
      </c>
      <c r="AQ39">
        <v>38</v>
      </c>
    </row>
    <row r="40" spans="2:43" x14ac:dyDescent="0.25">
      <c r="B40" s="1" t="s">
        <v>1347</v>
      </c>
      <c r="C40" t="s">
        <v>134</v>
      </c>
      <c r="D40" s="1" t="s">
        <v>80</v>
      </c>
      <c r="E40" s="1" t="s">
        <v>322</v>
      </c>
      <c r="F40">
        <v>1</v>
      </c>
      <c r="G40">
        <v>301</v>
      </c>
      <c r="H40">
        <v>1484</v>
      </c>
      <c r="K40" s="1"/>
      <c r="R40" s="1"/>
      <c r="T40">
        <v>3801</v>
      </c>
      <c r="U40">
        <v>5.63995866960801</v>
      </c>
      <c r="V40">
        <v>39</v>
      </c>
      <c r="W40" s="1" t="s">
        <v>1347</v>
      </c>
      <c r="X40" t="s">
        <v>134</v>
      </c>
      <c r="Y40" s="1" t="s">
        <v>80</v>
      </c>
      <c r="Z40" s="1" t="s">
        <v>322</v>
      </c>
      <c r="AA40">
        <v>1</v>
      </c>
      <c r="AB40">
        <v>301</v>
      </c>
      <c r="AC40">
        <v>1484</v>
      </c>
      <c r="AF40" s="1"/>
      <c r="AM40" s="1"/>
      <c r="AO40">
        <v>3801</v>
      </c>
      <c r="AP40">
        <v>5.63995866960801</v>
      </c>
      <c r="AQ40">
        <v>39</v>
      </c>
    </row>
    <row r="41" spans="2:43" x14ac:dyDescent="0.25">
      <c r="B41" s="1" t="s">
        <v>1348</v>
      </c>
      <c r="C41" t="s">
        <v>134</v>
      </c>
      <c r="D41" s="1" t="s">
        <v>80</v>
      </c>
      <c r="E41" s="1" t="s">
        <v>322</v>
      </c>
      <c r="F41">
        <v>1</v>
      </c>
      <c r="G41">
        <v>301</v>
      </c>
      <c r="H41">
        <v>2684</v>
      </c>
      <c r="K41" s="1"/>
      <c r="R41" s="1"/>
      <c r="T41">
        <v>4847</v>
      </c>
      <c r="U41">
        <v>13.008435679599842</v>
      </c>
      <c r="V41">
        <v>40</v>
      </c>
      <c r="W41" s="1" t="s">
        <v>1348</v>
      </c>
      <c r="X41" t="s">
        <v>134</v>
      </c>
      <c r="Y41" s="1" t="s">
        <v>80</v>
      </c>
      <c r="Z41" s="1" t="s">
        <v>322</v>
      </c>
      <c r="AA41">
        <v>1</v>
      </c>
      <c r="AB41">
        <v>301</v>
      </c>
      <c r="AC41">
        <v>2684</v>
      </c>
      <c r="AF41" s="1"/>
      <c r="AM41" s="1"/>
      <c r="AO41">
        <v>4847</v>
      </c>
      <c r="AP41">
        <v>13.008435679599842</v>
      </c>
      <c r="AQ41">
        <v>40</v>
      </c>
    </row>
    <row r="42" spans="2:43" x14ac:dyDescent="0.25">
      <c r="B42" s="1" t="s">
        <v>1273</v>
      </c>
      <c r="C42" t="s">
        <v>128</v>
      </c>
      <c r="D42" s="1" t="s">
        <v>82</v>
      </c>
      <c r="E42" s="1" t="s">
        <v>1307</v>
      </c>
      <c r="F42">
        <v>1</v>
      </c>
      <c r="G42">
        <v>720</v>
      </c>
      <c r="H42">
        <v>2143</v>
      </c>
      <c r="K42" s="1"/>
      <c r="R42" s="1"/>
      <c r="T42">
        <v>4212</v>
      </c>
      <c r="U42">
        <v>9.0261440489029496</v>
      </c>
      <c r="V42">
        <v>41</v>
      </c>
      <c r="W42" s="1" t="s">
        <v>1273</v>
      </c>
      <c r="X42" t="s">
        <v>128</v>
      </c>
      <c r="Y42" s="1" t="s">
        <v>82</v>
      </c>
      <c r="Z42" s="1" t="s">
        <v>1307</v>
      </c>
      <c r="AA42">
        <v>1</v>
      </c>
      <c r="AB42">
        <v>720</v>
      </c>
      <c r="AC42">
        <v>2143</v>
      </c>
      <c r="AF42" s="1"/>
      <c r="AM42" s="1"/>
      <c r="AO42">
        <v>4212</v>
      </c>
      <c r="AP42">
        <v>9.0261440489029496</v>
      </c>
      <c r="AQ42">
        <v>41</v>
      </c>
    </row>
    <row r="43" spans="2:43" x14ac:dyDescent="0.25">
      <c r="B43" s="1" t="s">
        <v>1274</v>
      </c>
      <c r="C43" t="s">
        <v>128</v>
      </c>
      <c r="D43" s="1" t="s">
        <v>82</v>
      </c>
      <c r="E43" s="1" t="s">
        <v>1307</v>
      </c>
      <c r="F43">
        <v>1</v>
      </c>
      <c r="G43">
        <v>720</v>
      </c>
      <c r="H43">
        <v>2143</v>
      </c>
      <c r="K43" s="1"/>
      <c r="R43" s="1"/>
      <c r="T43">
        <v>4685</v>
      </c>
      <c r="U43">
        <v>10.039755996381118</v>
      </c>
      <c r="V43">
        <v>42</v>
      </c>
      <c r="W43" s="1" t="s">
        <v>1274</v>
      </c>
      <c r="X43" t="s">
        <v>128</v>
      </c>
      <c r="Y43" s="1" t="s">
        <v>82</v>
      </c>
      <c r="Z43" s="1" t="s">
        <v>1307</v>
      </c>
      <c r="AA43">
        <v>1</v>
      </c>
      <c r="AB43">
        <v>720</v>
      </c>
      <c r="AC43">
        <v>2143</v>
      </c>
      <c r="AF43" s="1"/>
      <c r="AM43" s="1"/>
      <c r="AO43">
        <v>4685</v>
      </c>
      <c r="AP43">
        <v>10.039755996381118</v>
      </c>
      <c r="AQ43">
        <v>42</v>
      </c>
    </row>
    <row r="44" spans="2:43" x14ac:dyDescent="0.25">
      <c r="B44" s="1" t="s">
        <v>1275</v>
      </c>
      <c r="C44" t="s">
        <v>128</v>
      </c>
      <c r="D44" s="1" t="s">
        <v>82</v>
      </c>
      <c r="E44" s="1" t="s">
        <v>1307</v>
      </c>
      <c r="F44">
        <v>1</v>
      </c>
      <c r="G44">
        <v>720</v>
      </c>
      <c r="H44">
        <v>2143</v>
      </c>
      <c r="K44" s="1"/>
      <c r="R44" s="1"/>
      <c r="T44">
        <v>4655</v>
      </c>
      <c r="U44">
        <v>9.9756136402576416</v>
      </c>
      <c r="V44">
        <v>43</v>
      </c>
      <c r="W44" s="1" t="s">
        <v>1275</v>
      </c>
      <c r="X44" t="s">
        <v>128</v>
      </c>
      <c r="Y44" s="1" t="s">
        <v>82</v>
      </c>
      <c r="Z44" s="1" t="s">
        <v>1307</v>
      </c>
      <c r="AA44">
        <v>1</v>
      </c>
      <c r="AB44">
        <v>720</v>
      </c>
      <c r="AC44">
        <v>2143</v>
      </c>
      <c r="AF44" s="1"/>
      <c r="AM44" s="1"/>
      <c r="AO44">
        <v>4655</v>
      </c>
      <c r="AP44">
        <v>9.9756136402576416</v>
      </c>
      <c r="AQ44">
        <v>43</v>
      </c>
    </row>
    <row r="45" spans="2:43" x14ac:dyDescent="0.25">
      <c r="B45" s="1" t="s">
        <v>1276</v>
      </c>
      <c r="C45" t="s">
        <v>128</v>
      </c>
      <c r="D45" s="1" t="s">
        <v>82</v>
      </c>
      <c r="E45" s="1" t="s">
        <v>1307</v>
      </c>
      <c r="F45">
        <v>1</v>
      </c>
      <c r="G45">
        <v>720</v>
      </c>
      <c r="H45">
        <v>2143</v>
      </c>
      <c r="K45" s="1"/>
      <c r="R45" s="1"/>
      <c r="T45">
        <v>4655</v>
      </c>
      <c r="U45">
        <v>9.9757090124289949</v>
      </c>
      <c r="V45">
        <v>44</v>
      </c>
      <c r="W45" s="1" t="s">
        <v>1276</v>
      </c>
      <c r="X45" t="s">
        <v>128</v>
      </c>
      <c r="Y45" s="1" t="s">
        <v>82</v>
      </c>
      <c r="Z45" s="1" t="s">
        <v>1307</v>
      </c>
      <c r="AA45">
        <v>1</v>
      </c>
      <c r="AB45">
        <v>720</v>
      </c>
      <c r="AC45">
        <v>2143</v>
      </c>
      <c r="AF45" s="1"/>
      <c r="AM45" s="1"/>
      <c r="AO45">
        <v>4655</v>
      </c>
      <c r="AP45">
        <v>9.9757090124289949</v>
      </c>
      <c r="AQ45">
        <v>44</v>
      </c>
    </row>
    <row r="46" spans="2:43" x14ac:dyDescent="0.25">
      <c r="B46" s="1" t="s">
        <v>1277</v>
      </c>
      <c r="C46" t="s">
        <v>128</v>
      </c>
      <c r="D46" s="1" t="s">
        <v>82</v>
      </c>
      <c r="E46" s="1" t="s">
        <v>1307</v>
      </c>
      <c r="F46">
        <v>1</v>
      </c>
      <c r="G46">
        <v>720</v>
      </c>
      <c r="H46">
        <v>2143</v>
      </c>
      <c r="K46" s="1"/>
      <c r="R46" s="1"/>
      <c r="T46">
        <v>4635</v>
      </c>
      <c r="U46">
        <v>9.9328417488146599</v>
      </c>
      <c r="V46">
        <v>45</v>
      </c>
      <c r="W46" s="1" t="s">
        <v>1277</v>
      </c>
      <c r="X46" t="s">
        <v>128</v>
      </c>
      <c r="Y46" s="1" t="s">
        <v>82</v>
      </c>
      <c r="Z46" s="1" t="s">
        <v>1307</v>
      </c>
      <c r="AA46">
        <v>1</v>
      </c>
      <c r="AB46">
        <v>720</v>
      </c>
      <c r="AC46">
        <v>2143</v>
      </c>
      <c r="AF46" s="1"/>
      <c r="AM46" s="1"/>
      <c r="AO46">
        <v>4635</v>
      </c>
      <c r="AP46">
        <v>9.9328417488146599</v>
      </c>
      <c r="AQ46">
        <v>45</v>
      </c>
    </row>
    <row r="47" spans="2:43" x14ac:dyDescent="0.25">
      <c r="B47" s="1" t="s">
        <v>1269</v>
      </c>
      <c r="C47" t="s">
        <v>128</v>
      </c>
      <c r="D47" s="1" t="s">
        <v>81</v>
      </c>
      <c r="E47" s="1" t="s">
        <v>1306</v>
      </c>
      <c r="F47">
        <v>1</v>
      </c>
      <c r="G47">
        <v>720</v>
      </c>
      <c r="H47">
        <v>2094</v>
      </c>
      <c r="K47" s="1"/>
      <c r="R47" s="1"/>
      <c r="T47">
        <v>3452</v>
      </c>
      <c r="U47">
        <v>7.2283843296638626</v>
      </c>
      <c r="V47">
        <v>46</v>
      </c>
      <c r="W47" s="1" t="s">
        <v>1269</v>
      </c>
      <c r="X47" t="s">
        <v>128</v>
      </c>
      <c r="Y47" s="1" t="s">
        <v>81</v>
      </c>
      <c r="Z47" s="1" t="s">
        <v>1306</v>
      </c>
      <c r="AA47">
        <v>1</v>
      </c>
      <c r="AB47">
        <v>720</v>
      </c>
      <c r="AC47">
        <v>2094</v>
      </c>
      <c r="AF47" s="1"/>
      <c r="AM47" s="1"/>
      <c r="AO47">
        <v>3452</v>
      </c>
      <c r="AP47">
        <v>7.2283843296638626</v>
      </c>
      <c r="AQ47">
        <v>46</v>
      </c>
    </row>
    <row r="48" spans="2:43" x14ac:dyDescent="0.25">
      <c r="B48" s="1" t="s">
        <v>1270</v>
      </c>
      <c r="C48" t="s">
        <v>128</v>
      </c>
      <c r="D48" s="1" t="s">
        <v>81</v>
      </c>
      <c r="E48" s="1" t="s">
        <v>1306</v>
      </c>
      <c r="F48">
        <v>1</v>
      </c>
      <c r="G48">
        <v>720</v>
      </c>
      <c r="H48">
        <v>2094</v>
      </c>
      <c r="K48" s="1"/>
      <c r="R48" s="1"/>
      <c r="T48">
        <v>3452</v>
      </c>
      <c r="U48">
        <v>7.2283977267563824</v>
      </c>
      <c r="V48">
        <v>47</v>
      </c>
      <c r="W48" s="1" t="s">
        <v>1270</v>
      </c>
      <c r="X48" t="s">
        <v>128</v>
      </c>
      <c r="Y48" s="1" t="s">
        <v>81</v>
      </c>
      <c r="Z48" s="1" t="s">
        <v>1306</v>
      </c>
      <c r="AA48">
        <v>1</v>
      </c>
      <c r="AB48">
        <v>720</v>
      </c>
      <c r="AC48">
        <v>2094</v>
      </c>
      <c r="AF48" s="1"/>
      <c r="AM48" s="1"/>
      <c r="AO48">
        <v>3452</v>
      </c>
      <c r="AP48">
        <v>7.2283977267563824</v>
      </c>
      <c r="AQ48">
        <v>47</v>
      </c>
    </row>
    <row r="49" spans="2:43" x14ac:dyDescent="0.25">
      <c r="B49" s="1" t="s">
        <v>1271</v>
      </c>
      <c r="C49" t="s">
        <v>128</v>
      </c>
      <c r="D49" s="1" t="s">
        <v>81</v>
      </c>
      <c r="E49" s="1" t="s">
        <v>1306</v>
      </c>
      <c r="F49">
        <v>1</v>
      </c>
      <c r="G49">
        <v>704</v>
      </c>
      <c r="H49">
        <v>1612</v>
      </c>
      <c r="K49" s="1"/>
      <c r="R49" s="1"/>
      <c r="T49">
        <v>3331</v>
      </c>
      <c r="U49">
        <v>5.369903240613537</v>
      </c>
      <c r="V49">
        <v>48</v>
      </c>
      <c r="W49" s="1" t="s">
        <v>1271</v>
      </c>
      <c r="X49" t="s">
        <v>128</v>
      </c>
      <c r="Y49" s="1" t="s">
        <v>81</v>
      </c>
      <c r="Z49" s="1" t="s">
        <v>1306</v>
      </c>
      <c r="AA49">
        <v>1</v>
      </c>
      <c r="AB49">
        <v>704</v>
      </c>
      <c r="AC49">
        <v>1612</v>
      </c>
      <c r="AF49" s="1"/>
      <c r="AM49" s="1"/>
      <c r="AO49">
        <v>3331</v>
      </c>
      <c r="AP49">
        <v>5.369903240613537</v>
      </c>
      <c r="AQ49">
        <v>48</v>
      </c>
    </row>
    <row r="50" spans="2:43" x14ac:dyDescent="0.25">
      <c r="B50" s="1" t="s">
        <v>1272</v>
      </c>
      <c r="C50" t="s">
        <v>128</v>
      </c>
      <c r="D50" s="1" t="s">
        <v>81</v>
      </c>
      <c r="E50" s="1" t="s">
        <v>1306</v>
      </c>
      <c r="F50">
        <v>1</v>
      </c>
      <c r="G50">
        <v>704</v>
      </c>
      <c r="H50">
        <v>1612</v>
      </c>
      <c r="K50" s="1"/>
      <c r="R50" s="1"/>
      <c r="T50">
        <v>3260</v>
      </c>
      <c r="U50">
        <v>5.2550342468644633</v>
      </c>
      <c r="V50">
        <v>49</v>
      </c>
      <c r="W50" s="1" t="s">
        <v>1272</v>
      </c>
      <c r="X50" t="s">
        <v>128</v>
      </c>
      <c r="Y50" s="1" t="s">
        <v>81</v>
      </c>
      <c r="Z50" s="1" t="s">
        <v>1306</v>
      </c>
      <c r="AA50">
        <v>1</v>
      </c>
      <c r="AB50">
        <v>704</v>
      </c>
      <c r="AC50">
        <v>1612</v>
      </c>
      <c r="AF50" s="1"/>
      <c r="AM50" s="1"/>
      <c r="AO50">
        <v>3260</v>
      </c>
      <c r="AP50">
        <v>5.2550342468644633</v>
      </c>
      <c r="AQ50">
        <v>49</v>
      </c>
    </row>
    <row r="51" spans="2:43" x14ac:dyDescent="0.25">
      <c r="B51" s="1" t="s">
        <v>1266</v>
      </c>
      <c r="C51" t="s">
        <v>128</v>
      </c>
      <c r="D51" s="1" t="s">
        <v>80</v>
      </c>
      <c r="E51" s="1" t="s">
        <v>1305</v>
      </c>
      <c r="F51">
        <v>1</v>
      </c>
      <c r="G51">
        <v>702</v>
      </c>
      <c r="H51">
        <v>1531</v>
      </c>
      <c r="K51" s="1"/>
      <c r="R51" s="1"/>
      <c r="T51">
        <v>4185</v>
      </c>
      <c r="U51">
        <v>6.4072847893589486</v>
      </c>
      <c r="V51">
        <v>50</v>
      </c>
      <c r="W51" s="1" t="s">
        <v>1266</v>
      </c>
      <c r="X51" t="s">
        <v>128</v>
      </c>
      <c r="Y51" s="1" t="s">
        <v>80</v>
      </c>
      <c r="Z51" s="1" t="s">
        <v>1305</v>
      </c>
      <c r="AA51">
        <v>1</v>
      </c>
      <c r="AB51">
        <v>702</v>
      </c>
      <c r="AC51">
        <v>1531</v>
      </c>
      <c r="AF51" s="1"/>
      <c r="AM51" s="1"/>
      <c r="AO51">
        <v>4185</v>
      </c>
      <c r="AP51">
        <v>6.4072847893589486</v>
      </c>
      <c r="AQ51">
        <v>50</v>
      </c>
    </row>
    <row r="52" spans="2:43" x14ac:dyDescent="0.25">
      <c r="B52" s="1" t="s">
        <v>1267</v>
      </c>
      <c r="C52" t="s">
        <v>128</v>
      </c>
      <c r="D52" s="1" t="s">
        <v>80</v>
      </c>
      <c r="E52" s="1" t="s">
        <v>1305</v>
      </c>
      <c r="F52">
        <v>1</v>
      </c>
      <c r="G52">
        <v>702</v>
      </c>
      <c r="H52">
        <v>1531</v>
      </c>
      <c r="K52" s="1"/>
      <c r="R52" s="1"/>
      <c r="T52">
        <v>3706</v>
      </c>
      <c r="U52">
        <v>5.6738158875450182</v>
      </c>
      <c r="V52">
        <v>51</v>
      </c>
      <c r="W52" s="1" t="s">
        <v>1267</v>
      </c>
      <c r="X52" t="s">
        <v>128</v>
      </c>
      <c r="Y52" s="1" t="s">
        <v>80</v>
      </c>
      <c r="Z52" s="1" t="s">
        <v>1305</v>
      </c>
      <c r="AA52">
        <v>1</v>
      </c>
      <c r="AB52">
        <v>702</v>
      </c>
      <c r="AC52">
        <v>1531</v>
      </c>
      <c r="AF52" s="1"/>
      <c r="AM52" s="1"/>
      <c r="AO52">
        <v>3706</v>
      </c>
      <c r="AP52">
        <v>5.6738158875450182</v>
      </c>
      <c r="AQ52">
        <v>51</v>
      </c>
    </row>
    <row r="53" spans="2:43" x14ac:dyDescent="0.25">
      <c r="B53" s="1" t="s">
        <v>1268</v>
      </c>
      <c r="C53" t="s">
        <v>128</v>
      </c>
      <c r="D53" s="1" t="s">
        <v>80</v>
      </c>
      <c r="E53" s="1" t="s">
        <v>1305</v>
      </c>
      <c r="F53">
        <v>1</v>
      </c>
      <c r="G53">
        <v>702</v>
      </c>
      <c r="H53">
        <v>1531</v>
      </c>
      <c r="K53" s="1"/>
      <c r="R53" s="1"/>
      <c r="T53">
        <v>4251</v>
      </c>
      <c r="U53">
        <v>6.5084897132667034</v>
      </c>
      <c r="V53">
        <v>52</v>
      </c>
      <c r="W53" s="1" t="s">
        <v>1268</v>
      </c>
      <c r="X53" t="s">
        <v>128</v>
      </c>
      <c r="Y53" s="1" t="s">
        <v>80</v>
      </c>
      <c r="Z53" s="1" t="s">
        <v>1305</v>
      </c>
      <c r="AA53">
        <v>1</v>
      </c>
      <c r="AB53">
        <v>702</v>
      </c>
      <c r="AC53">
        <v>1531</v>
      </c>
      <c r="AF53" s="1"/>
      <c r="AM53" s="1"/>
      <c r="AO53">
        <v>4251</v>
      </c>
      <c r="AP53">
        <v>6.5084897132667034</v>
      </c>
      <c r="AQ53">
        <v>52</v>
      </c>
    </row>
    <row r="54" spans="2:43" x14ac:dyDescent="0.25">
      <c r="B54" s="1" t="s">
        <v>1272</v>
      </c>
      <c r="C54" t="s">
        <v>128</v>
      </c>
      <c r="D54" s="1" t="s">
        <v>81</v>
      </c>
      <c r="E54" s="1" t="s">
        <v>1306</v>
      </c>
      <c r="F54">
        <v>1</v>
      </c>
      <c r="I54">
        <v>84</v>
      </c>
      <c r="J54" t="s">
        <v>108</v>
      </c>
      <c r="K54" s="1" t="s">
        <v>244</v>
      </c>
      <c r="L54">
        <v>7</v>
      </c>
      <c r="M54">
        <v>50</v>
      </c>
      <c r="N54">
        <v>152.15496582700001</v>
      </c>
      <c r="O54">
        <v>107.99999994481715</v>
      </c>
      <c r="P54">
        <v>1405.0337945399999</v>
      </c>
      <c r="Q54">
        <v>9138162.9681700002</v>
      </c>
      <c r="R54" s="1" t="s">
        <v>245</v>
      </c>
      <c r="S54" t="s">
        <v>246</v>
      </c>
      <c r="V54">
        <v>53</v>
      </c>
      <c r="W54" s="1" t="s">
        <v>1272</v>
      </c>
      <c r="X54" t="s">
        <v>128</v>
      </c>
      <c r="Y54" s="1" t="s">
        <v>81</v>
      </c>
      <c r="Z54" s="1" t="s">
        <v>1306</v>
      </c>
      <c r="AA54">
        <v>1</v>
      </c>
      <c r="AD54">
        <v>84</v>
      </c>
      <c r="AE54" t="s">
        <v>108</v>
      </c>
      <c r="AF54" s="1" t="s">
        <v>244</v>
      </c>
      <c r="AG54">
        <v>7</v>
      </c>
      <c r="AH54">
        <v>50</v>
      </c>
      <c r="AI54">
        <v>152.15496582700001</v>
      </c>
      <c r="AJ54">
        <v>107.99999994481715</v>
      </c>
      <c r="AK54">
        <v>1405.0337945399999</v>
      </c>
      <c r="AL54">
        <v>9138162.9681700002</v>
      </c>
      <c r="AM54" s="1" t="s">
        <v>245</v>
      </c>
      <c r="AN54" t="s">
        <v>246</v>
      </c>
      <c r="AQ54">
        <v>53</v>
      </c>
    </row>
    <row r="55" spans="2:43" x14ac:dyDescent="0.25">
      <c r="B55" s="1" t="s">
        <v>1271</v>
      </c>
      <c r="C55" t="s">
        <v>128</v>
      </c>
      <c r="D55" s="1" t="s">
        <v>81</v>
      </c>
      <c r="E55" s="1" t="s">
        <v>1306</v>
      </c>
      <c r="F55">
        <v>1</v>
      </c>
      <c r="I55">
        <v>80</v>
      </c>
      <c r="J55" t="s">
        <v>108</v>
      </c>
      <c r="K55" s="1" t="s">
        <v>244</v>
      </c>
      <c r="L55">
        <v>7</v>
      </c>
      <c r="M55">
        <v>50</v>
      </c>
      <c r="N55">
        <v>152.15812613899999</v>
      </c>
      <c r="O55">
        <v>108.00000000058196</v>
      </c>
      <c r="P55">
        <v>1405.1343591100001</v>
      </c>
      <c r="Q55">
        <v>9138928.0460100006</v>
      </c>
      <c r="R55" s="1" t="s">
        <v>245</v>
      </c>
      <c r="S55" t="s">
        <v>246</v>
      </c>
      <c r="V55">
        <v>54</v>
      </c>
      <c r="W55" s="1" t="s">
        <v>1271</v>
      </c>
      <c r="X55" t="s">
        <v>128</v>
      </c>
      <c r="Y55" s="1" t="s">
        <v>81</v>
      </c>
      <c r="Z55" s="1" t="s">
        <v>1306</v>
      </c>
      <c r="AA55">
        <v>1</v>
      </c>
      <c r="AD55">
        <v>80</v>
      </c>
      <c r="AE55" t="s">
        <v>108</v>
      </c>
      <c r="AF55" s="1" t="s">
        <v>244</v>
      </c>
      <c r="AG55">
        <v>7</v>
      </c>
      <c r="AH55">
        <v>50</v>
      </c>
      <c r="AI55">
        <v>152.15812613899999</v>
      </c>
      <c r="AJ55">
        <v>108.00000000058196</v>
      </c>
      <c r="AK55">
        <v>1405.1343591100001</v>
      </c>
      <c r="AL55">
        <v>9138928.0460100006</v>
      </c>
      <c r="AM55" s="1" t="s">
        <v>245</v>
      </c>
      <c r="AN55" t="s">
        <v>246</v>
      </c>
      <c r="AQ55">
        <v>54</v>
      </c>
    </row>
    <row r="56" spans="2:43" x14ac:dyDescent="0.25">
      <c r="B56" s="1" t="s">
        <v>1270</v>
      </c>
      <c r="C56" t="s">
        <v>128</v>
      </c>
      <c r="D56" s="1" t="s">
        <v>81</v>
      </c>
      <c r="E56" s="1" t="s">
        <v>1306</v>
      </c>
      <c r="F56">
        <v>1</v>
      </c>
      <c r="I56">
        <v>99</v>
      </c>
      <c r="J56" t="s">
        <v>108</v>
      </c>
      <c r="K56" s="1" t="s">
        <v>244</v>
      </c>
      <c r="L56">
        <v>5</v>
      </c>
      <c r="M56">
        <v>50</v>
      </c>
      <c r="N56">
        <v>167.302094708</v>
      </c>
      <c r="O56">
        <v>108.00000000294986</v>
      </c>
      <c r="P56">
        <v>1887.0232507799999</v>
      </c>
      <c r="Q56">
        <v>12987536.342700001</v>
      </c>
      <c r="R56" s="1" t="s">
        <v>245</v>
      </c>
      <c r="S56" t="s">
        <v>246</v>
      </c>
      <c r="V56">
        <v>55</v>
      </c>
      <c r="W56" s="1" t="s">
        <v>1270</v>
      </c>
      <c r="X56" t="s">
        <v>128</v>
      </c>
      <c r="Y56" s="1" t="s">
        <v>81</v>
      </c>
      <c r="Z56" s="1" t="s">
        <v>1306</v>
      </c>
      <c r="AA56">
        <v>1</v>
      </c>
      <c r="AD56">
        <v>99</v>
      </c>
      <c r="AE56" t="s">
        <v>108</v>
      </c>
      <c r="AF56" s="1" t="s">
        <v>244</v>
      </c>
      <c r="AG56">
        <v>5</v>
      </c>
      <c r="AH56">
        <v>50</v>
      </c>
      <c r="AI56">
        <v>167.302094708</v>
      </c>
      <c r="AJ56">
        <v>108.00000000294986</v>
      </c>
      <c r="AK56">
        <v>1887.0232507799999</v>
      </c>
      <c r="AL56">
        <v>12987536.342700001</v>
      </c>
      <c r="AM56" s="1" t="s">
        <v>245</v>
      </c>
      <c r="AN56" t="s">
        <v>246</v>
      </c>
      <c r="AQ56">
        <v>55</v>
      </c>
    </row>
    <row r="57" spans="2:43" x14ac:dyDescent="0.25">
      <c r="B57" s="1" t="s">
        <v>1269</v>
      </c>
      <c r="C57" t="s">
        <v>128</v>
      </c>
      <c r="D57" s="1" t="s">
        <v>81</v>
      </c>
      <c r="E57" s="1" t="s">
        <v>1306</v>
      </c>
      <c r="F57">
        <v>1</v>
      </c>
      <c r="I57">
        <v>99</v>
      </c>
      <c r="J57" t="s">
        <v>108</v>
      </c>
      <c r="K57" s="1" t="s">
        <v>244</v>
      </c>
      <c r="L57">
        <v>5</v>
      </c>
      <c r="M57">
        <v>50</v>
      </c>
      <c r="N57">
        <v>167.30209470899999</v>
      </c>
      <c r="O57">
        <v>108.00000000406962</v>
      </c>
      <c r="P57">
        <v>1887.0232507799999</v>
      </c>
      <c r="Q57">
        <v>12987536.342800001</v>
      </c>
      <c r="R57" s="1" t="s">
        <v>245</v>
      </c>
      <c r="S57" t="s">
        <v>246</v>
      </c>
      <c r="V57">
        <v>56</v>
      </c>
      <c r="W57" s="1" t="s">
        <v>1269</v>
      </c>
      <c r="X57" t="s">
        <v>128</v>
      </c>
      <c r="Y57" s="1" t="s">
        <v>81</v>
      </c>
      <c r="Z57" s="1" t="s">
        <v>1306</v>
      </c>
      <c r="AA57">
        <v>1</v>
      </c>
      <c r="AD57">
        <v>99</v>
      </c>
      <c r="AE57" t="s">
        <v>108</v>
      </c>
      <c r="AF57" s="1" t="s">
        <v>244</v>
      </c>
      <c r="AG57">
        <v>5</v>
      </c>
      <c r="AH57">
        <v>50</v>
      </c>
      <c r="AI57">
        <v>167.30209470899999</v>
      </c>
      <c r="AJ57">
        <v>108.00000000406962</v>
      </c>
      <c r="AK57">
        <v>1887.0232507799999</v>
      </c>
      <c r="AL57">
        <v>12987536.342800001</v>
      </c>
      <c r="AM57" s="1" t="s">
        <v>245</v>
      </c>
      <c r="AN57" t="s">
        <v>246</v>
      </c>
      <c r="AQ57">
        <v>56</v>
      </c>
    </row>
    <row r="58" spans="2:43" x14ac:dyDescent="0.25">
      <c r="B58" s="1" t="s">
        <v>1270</v>
      </c>
      <c r="C58" t="s">
        <v>128</v>
      </c>
      <c r="D58" s="1" t="s">
        <v>81</v>
      </c>
      <c r="E58" s="1" t="s">
        <v>1306</v>
      </c>
      <c r="F58">
        <v>1</v>
      </c>
      <c r="I58">
        <v>105</v>
      </c>
      <c r="J58" t="s">
        <v>108</v>
      </c>
      <c r="K58" s="1" t="s">
        <v>244</v>
      </c>
      <c r="L58">
        <v>2</v>
      </c>
      <c r="M58">
        <v>50</v>
      </c>
      <c r="N58">
        <v>167.30213091600001</v>
      </c>
      <c r="O58">
        <v>108.00000000232347</v>
      </c>
      <c r="P58">
        <v>1887.0244029099999</v>
      </c>
      <c r="Q58">
        <v>12987545.9804</v>
      </c>
      <c r="R58" s="1" t="s">
        <v>245</v>
      </c>
      <c r="S58" t="s">
        <v>246</v>
      </c>
      <c r="V58">
        <v>57</v>
      </c>
      <c r="W58" s="1" t="s">
        <v>1270</v>
      </c>
      <c r="X58" t="s">
        <v>128</v>
      </c>
      <c r="Y58" s="1" t="s">
        <v>81</v>
      </c>
      <c r="Z58" s="1" t="s">
        <v>1306</v>
      </c>
      <c r="AA58">
        <v>1</v>
      </c>
      <c r="AD58">
        <v>105</v>
      </c>
      <c r="AE58" t="s">
        <v>108</v>
      </c>
      <c r="AF58" s="1" t="s">
        <v>244</v>
      </c>
      <c r="AG58">
        <v>2</v>
      </c>
      <c r="AH58">
        <v>50</v>
      </c>
      <c r="AI58">
        <v>167.30213091600001</v>
      </c>
      <c r="AJ58">
        <v>108.00000000232347</v>
      </c>
      <c r="AK58">
        <v>1887.0244029099999</v>
      </c>
      <c r="AL58">
        <v>12987545.9804</v>
      </c>
      <c r="AM58" s="1" t="s">
        <v>245</v>
      </c>
      <c r="AN58" t="s">
        <v>246</v>
      </c>
      <c r="AQ58">
        <v>57</v>
      </c>
    </row>
    <row r="59" spans="2:43" x14ac:dyDescent="0.25">
      <c r="B59" s="1" t="s">
        <v>1269</v>
      </c>
      <c r="C59" t="s">
        <v>128</v>
      </c>
      <c r="D59" s="1" t="s">
        <v>81</v>
      </c>
      <c r="E59" s="1" t="s">
        <v>1306</v>
      </c>
      <c r="F59">
        <v>1</v>
      </c>
      <c r="I59">
        <v>105</v>
      </c>
      <c r="J59" t="s">
        <v>108</v>
      </c>
      <c r="K59" s="1" t="s">
        <v>244</v>
      </c>
      <c r="L59">
        <v>2</v>
      </c>
      <c r="M59">
        <v>50</v>
      </c>
      <c r="N59">
        <v>167.30213091600001</v>
      </c>
      <c r="O59">
        <v>108.00000000444317</v>
      </c>
      <c r="P59">
        <v>1887.0244029099999</v>
      </c>
      <c r="Q59">
        <v>12987545.9805</v>
      </c>
      <c r="R59" s="1" t="s">
        <v>245</v>
      </c>
      <c r="S59" t="s">
        <v>246</v>
      </c>
      <c r="V59">
        <v>58</v>
      </c>
      <c r="W59" s="1" t="s">
        <v>1269</v>
      </c>
      <c r="X59" t="s">
        <v>128</v>
      </c>
      <c r="Y59" s="1" t="s">
        <v>81</v>
      </c>
      <c r="Z59" s="1" t="s">
        <v>1306</v>
      </c>
      <c r="AA59">
        <v>1</v>
      </c>
      <c r="AD59">
        <v>105</v>
      </c>
      <c r="AE59" t="s">
        <v>108</v>
      </c>
      <c r="AF59" s="1" t="s">
        <v>244</v>
      </c>
      <c r="AG59">
        <v>2</v>
      </c>
      <c r="AH59">
        <v>50</v>
      </c>
      <c r="AI59">
        <v>167.30213091600001</v>
      </c>
      <c r="AJ59">
        <v>108.00000000444317</v>
      </c>
      <c r="AK59">
        <v>1887.0244029099999</v>
      </c>
      <c r="AL59">
        <v>12987545.9805</v>
      </c>
      <c r="AM59" s="1" t="s">
        <v>245</v>
      </c>
      <c r="AN59" t="s">
        <v>246</v>
      </c>
      <c r="AQ59">
        <v>58</v>
      </c>
    </row>
    <row r="60" spans="2:43" x14ac:dyDescent="0.25">
      <c r="B60" s="1" t="s">
        <v>1268</v>
      </c>
      <c r="C60" t="s">
        <v>128</v>
      </c>
      <c r="D60" s="1" t="s">
        <v>80</v>
      </c>
      <c r="E60" s="1" t="s">
        <v>1305</v>
      </c>
      <c r="F60">
        <v>1</v>
      </c>
      <c r="I60">
        <v>52</v>
      </c>
      <c r="J60" t="s">
        <v>108</v>
      </c>
      <c r="K60" s="1" t="s">
        <v>244</v>
      </c>
      <c r="L60">
        <v>8</v>
      </c>
      <c r="M60">
        <v>50</v>
      </c>
      <c r="N60">
        <v>149.608725738</v>
      </c>
      <c r="O60">
        <v>108.00000000140804</v>
      </c>
      <c r="P60">
        <v>1324.01112109</v>
      </c>
      <c r="Q60">
        <v>8526920.4442200009</v>
      </c>
      <c r="R60" s="1" t="s">
        <v>245</v>
      </c>
      <c r="S60" t="s">
        <v>246</v>
      </c>
      <c r="V60">
        <v>59</v>
      </c>
      <c r="W60" s="1" t="s">
        <v>1268</v>
      </c>
      <c r="X60" t="s">
        <v>128</v>
      </c>
      <c r="Y60" s="1" t="s">
        <v>80</v>
      </c>
      <c r="Z60" s="1" t="s">
        <v>1305</v>
      </c>
      <c r="AA60">
        <v>1</v>
      </c>
      <c r="AD60">
        <v>52</v>
      </c>
      <c r="AE60" t="s">
        <v>108</v>
      </c>
      <c r="AF60" s="1" t="s">
        <v>244</v>
      </c>
      <c r="AG60">
        <v>8</v>
      </c>
      <c r="AH60">
        <v>50</v>
      </c>
      <c r="AI60">
        <v>149.608725738</v>
      </c>
      <c r="AJ60">
        <v>108.00000000140804</v>
      </c>
      <c r="AK60">
        <v>1324.01112109</v>
      </c>
      <c r="AL60">
        <v>8526920.4442200009</v>
      </c>
      <c r="AM60" s="1" t="s">
        <v>245</v>
      </c>
      <c r="AN60" t="s">
        <v>246</v>
      </c>
      <c r="AQ60">
        <v>59</v>
      </c>
    </row>
    <row r="61" spans="2:43" x14ac:dyDescent="0.25">
      <c r="B61" s="1" t="s">
        <v>1267</v>
      </c>
      <c r="C61" t="s">
        <v>128</v>
      </c>
      <c r="D61" s="1" t="s">
        <v>80</v>
      </c>
      <c r="E61" s="1" t="s">
        <v>1305</v>
      </c>
      <c r="F61">
        <v>1</v>
      </c>
      <c r="I61">
        <v>52</v>
      </c>
      <c r="J61" t="s">
        <v>108</v>
      </c>
      <c r="K61" s="1" t="s">
        <v>244</v>
      </c>
      <c r="L61">
        <v>8</v>
      </c>
      <c r="M61">
        <v>50</v>
      </c>
      <c r="N61">
        <v>149.608725738</v>
      </c>
      <c r="O61">
        <v>108.00000000110592</v>
      </c>
      <c r="P61">
        <v>1324.01112109</v>
      </c>
      <c r="Q61">
        <v>8526920.4442100003</v>
      </c>
      <c r="R61" s="1" t="s">
        <v>245</v>
      </c>
      <c r="S61" t="s">
        <v>246</v>
      </c>
      <c r="V61">
        <v>60</v>
      </c>
      <c r="W61" s="1" t="s">
        <v>1267</v>
      </c>
      <c r="X61" t="s">
        <v>128</v>
      </c>
      <c r="Y61" s="1" t="s">
        <v>80</v>
      </c>
      <c r="Z61" s="1" t="s">
        <v>1305</v>
      </c>
      <c r="AA61">
        <v>1</v>
      </c>
      <c r="AD61">
        <v>52</v>
      </c>
      <c r="AE61" t="s">
        <v>108</v>
      </c>
      <c r="AF61" s="1" t="s">
        <v>244</v>
      </c>
      <c r="AG61">
        <v>8</v>
      </c>
      <c r="AH61">
        <v>50</v>
      </c>
      <c r="AI61">
        <v>149.608725738</v>
      </c>
      <c r="AJ61">
        <v>108.00000000110592</v>
      </c>
      <c r="AK61">
        <v>1324.01112109</v>
      </c>
      <c r="AL61">
        <v>8526920.4442100003</v>
      </c>
      <c r="AM61" s="1" t="s">
        <v>245</v>
      </c>
      <c r="AN61" t="s">
        <v>246</v>
      </c>
      <c r="AQ61">
        <v>60</v>
      </c>
    </row>
    <row r="62" spans="2:43" x14ac:dyDescent="0.25">
      <c r="B62" s="1" t="s">
        <v>1266</v>
      </c>
      <c r="C62" t="s">
        <v>128</v>
      </c>
      <c r="D62" s="1" t="s">
        <v>80</v>
      </c>
      <c r="E62" s="1" t="s">
        <v>1305</v>
      </c>
      <c r="F62">
        <v>1</v>
      </c>
      <c r="I62">
        <v>52</v>
      </c>
      <c r="J62" t="s">
        <v>108</v>
      </c>
      <c r="K62" s="1" t="s">
        <v>244</v>
      </c>
      <c r="L62">
        <v>8</v>
      </c>
      <c r="M62">
        <v>50</v>
      </c>
      <c r="N62">
        <v>149.608725738</v>
      </c>
      <c r="O62">
        <v>108.00000000110592</v>
      </c>
      <c r="P62">
        <v>1324.01112109</v>
      </c>
      <c r="Q62">
        <v>8526920.4442100003</v>
      </c>
      <c r="R62" s="1" t="s">
        <v>245</v>
      </c>
      <c r="S62" t="s">
        <v>246</v>
      </c>
      <c r="V62">
        <v>61</v>
      </c>
      <c r="W62" s="1" t="s">
        <v>1266</v>
      </c>
      <c r="X62" t="s">
        <v>128</v>
      </c>
      <c r="Y62" s="1" t="s">
        <v>80</v>
      </c>
      <c r="Z62" s="1" t="s">
        <v>1305</v>
      </c>
      <c r="AA62">
        <v>1</v>
      </c>
      <c r="AD62">
        <v>52</v>
      </c>
      <c r="AE62" t="s">
        <v>108</v>
      </c>
      <c r="AF62" s="1" t="s">
        <v>244</v>
      </c>
      <c r="AG62">
        <v>8</v>
      </c>
      <c r="AH62">
        <v>50</v>
      </c>
      <c r="AI62">
        <v>149.608725738</v>
      </c>
      <c r="AJ62">
        <v>108.00000000110592</v>
      </c>
      <c r="AK62">
        <v>1324.01112109</v>
      </c>
      <c r="AL62">
        <v>8526920.4442100003</v>
      </c>
      <c r="AM62" s="1" t="s">
        <v>245</v>
      </c>
      <c r="AN62" t="s">
        <v>246</v>
      </c>
      <c r="AQ62">
        <v>61</v>
      </c>
    </row>
    <row r="63" spans="2:43" x14ac:dyDescent="0.25">
      <c r="B63" s="1" t="s">
        <v>1273</v>
      </c>
      <c r="C63" t="s">
        <v>128</v>
      </c>
      <c r="D63" s="1" t="s">
        <v>82</v>
      </c>
      <c r="E63" s="1" t="s">
        <v>1307</v>
      </c>
      <c r="F63">
        <v>1</v>
      </c>
      <c r="I63">
        <v>29</v>
      </c>
      <c r="J63" t="s">
        <v>108</v>
      </c>
      <c r="K63" s="1" t="s">
        <v>244</v>
      </c>
      <c r="L63">
        <v>8</v>
      </c>
      <c r="M63">
        <v>50</v>
      </c>
      <c r="N63">
        <v>168</v>
      </c>
      <c r="O63">
        <v>108.00000000345022</v>
      </c>
      <c r="P63">
        <v>1936.12036657</v>
      </c>
      <c r="Q63">
        <v>13359230.5295</v>
      </c>
      <c r="R63" s="1" t="s">
        <v>245</v>
      </c>
      <c r="S63" t="s">
        <v>246</v>
      </c>
      <c r="V63">
        <v>62</v>
      </c>
      <c r="W63" s="1" t="s">
        <v>1273</v>
      </c>
      <c r="X63" t="s">
        <v>128</v>
      </c>
      <c r="Y63" s="1" t="s">
        <v>82</v>
      </c>
      <c r="Z63" s="1" t="s">
        <v>1307</v>
      </c>
      <c r="AA63">
        <v>1</v>
      </c>
      <c r="AD63">
        <v>29</v>
      </c>
      <c r="AE63" t="s">
        <v>108</v>
      </c>
      <c r="AF63" s="1" t="s">
        <v>244</v>
      </c>
      <c r="AG63">
        <v>8</v>
      </c>
      <c r="AH63">
        <v>50</v>
      </c>
      <c r="AI63">
        <v>168</v>
      </c>
      <c r="AJ63">
        <v>108.00000000345022</v>
      </c>
      <c r="AK63">
        <v>1936.12036657</v>
      </c>
      <c r="AL63">
        <v>13359230.5295</v>
      </c>
      <c r="AM63" s="1" t="s">
        <v>245</v>
      </c>
      <c r="AN63" t="s">
        <v>246</v>
      </c>
      <c r="AQ63">
        <v>62</v>
      </c>
    </row>
    <row r="64" spans="2:43" x14ac:dyDescent="0.25">
      <c r="B64" s="1" t="s">
        <v>1274</v>
      </c>
      <c r="C64" t="s">
        <v>128</v>
      </c>
      <c r="D64" s="1" t="s">
        <v>82</v>
      </c>
      <c r="E64" s="1" t="s">
        <v>1307</v>
      </c>
      <c r="F64">
        <v>1</v>
      </c>
      <c r="I64">
        <v>29</v>
      </c>
      <c r="J64" t="s">
        <v>108</v>
      </c>
      <c r="K64" s="1" t="s">
        <v>244</v>
      </c>
      <c r="L64">
        <v>8</v>
      </c>
      <c r="M64">
        <v>50</v>
      </c>
      <c r="N64">
        <v>168</v>
      </c>
      <c r="O64">
        <v>108.00000000138425</v>
      </c>
      <c r="P64">
        <v>1936.12036657</v>
      </c>
      <c r="Q64">
        <v>13359230.5294</v>
      </c>
      <c r="R64" s="1" t="s">
        <v>245</v>
      </c>
      <c r="S64" t="s">
        <v>246</v>
      </c>
      <c r="V64">
        <v>63</v>
      </c>
      <c r="W64" s="1" t="s">
        <v>1274</v>
      </c>
      <c r="X64" t="s">
        <v>128</v>
      </c>
      <c r="Y64" s="1" t="s">
        <v>82</v>
      </c>
      <c r="Z64" s="1" t="s">
        <v>1307</v>
      </c>
      <c r="AA64">
        <v>1</v>
      </c>
      <c r="AD64">
        <v>29</v>
      </c>
      <c r="AE64" t="s">
        <v>108</v>
      </c>
      <c r="AF64" s="1" t="s">
        <v>244</v>
      </c>
      <c r="AG64">
        <v>8</v>
      </c>
      <c r="AH64">
        <v>50</v>
      </c>
      <c r="AI64">
        <v>168</v>
      </c>
      <c r="AJ64">
        <v>108.00000000138425</v>
      </c>
      <c r="AK64">
        <v>1936.12036657</v>
      </c>
      <c r="AL64">
        <v>13359230.5294</v>
      </c>
      <c r="AM64" s="1" t="s">
        <v>245</v>
      </c>
      <c r="AN64" t="s">
        <v>246</v>
      </c>
      <c r="AQ64">
        <v>63</v>
      </c>
    </row>
    <row r="65" spans="2:43" x14ac:dyDescent="0.25">
      <c r="B65" s="1" t="s">
        <v>1275</v>
      </c>
      <c r="C65" t="s">
        <v>128</v>
      </c>
      <c r="D65" s="1" t="s">
        <v>82</v>
      </c>
      <c r="E65" s="1" t="s">
        <v>1307</v>
      </c>
      <c r="F65">
        <v>1</v>
      </c>
      <c r="I65">
        <v>29</v>
      </c>
      <c r="J65" t="s">
        <v>108</v>
      </c>
      <c r="K65" s="1" t="s">
        <v>244</v>
      </c>
      <c r="L65">
        <v>8</v>
      </c>
      <c r="M65">
        <v>50</v>
      </c>
      <c r="N65">
        <v>168</v>
      </c>
      <c r="O65">
        <v>108.00000000138425</v>
      </c>
      <c r="P65">
        <v>1936.12036657</v>
      </c>
      <c r="Q65">
        <v>13359230.5294</v>
      </c>
      <c r="R65" s="1" t="s">
        <v>245</v>
      </c>
      <c r="S65" t="s">
        <v>246</v>
      </c>
      <c r="V65">
        <v>64</v>
      </c>
      <c r="W65" s="1" t="s">
        <v>1275</v>
      </c>
      <c r="X65" t="s">
        <v>128</v>
      </c>
      <c r="Y65" s="1" t="s">
        <v>82</v>
      </c>
      <c r="Z65" s="1" t="s">
        <v>1307</v>
      </c>
      <c r="AA65">
        <v>1</v>
      </c>
      <c r="AD65">
        <v>29</v>
      </c>
      <c r="AE65" t="s">
        <v>108</v>
      </c>
      <c r="AF65" s="1" t="s">
        <v>244</v>
      </c>
      <c r="AG65">
        <v>8</v>
      </c>
      <c r="AH65">
        <v>50</v>
      </c>
      <c r="AI65">
        <v>168</v>
      </c>
      <c r="AJ65">
        <v>108.00000000138425</v>
      </c>
      <c r="AK65">
        <v>1936.12036657</v>
      </c>
      <c r="AL65">
        <v>13359230.5294</v>
      </c>
      <c r="AM65" s="1" t="s">
        <v>245</v>
      </c>
      <c r="AN65" t="s">
        <v>246</v>
      </c>
      <c r="AQ65">
        <v>64</v>
      </c>
    </row>
    <row r="66" spans="2:43" x14ac:dyDescent="0.25">
      <c r="B66" s="1" t="s">
        <v>1276</v>
      </c>
      <c r="C66" t="s">
        <v>128</v>
      </c>
      <c r="D66" s="1" t="s">
        <v>82</v>
      </c>
      <c r="E66" s="1" t="s">
        <v>1307</v>
      </c>
      <c r="F66">
        <v>1</v>
      </c>
      <c r="I66">
        <v>29</v>
      </c>
      <c r="J66" t="s">
        <v>108</v>
      </c>
      <c r="K66" s="1" t="s">
        <v>244</v>
      </c>
      <c r="L66">
        <v>8</v>
      </c>
      <c r="M66">
        <v>50</v>
      </c>
      <c r="N66">
        <v>168</v>
      </c>
      <c r="O66">
        <v>108.00000000138425</v>
      </c>
      <c r="P66">
        <v>1936.12036657</v>
      </c>
      <c r="Q66">
        <v>13359230.5294</v>
      </c>
      <c r="R66" s="1" t="s">
        <v>245</v>
      </c>
      <c r="S66" t="s">
        <v>246</v>
      </c>
      <c r="V66">
        <v>65</v>
      </c>
      <c r="W66" s="1" t="s">
        <v>1276</v>
      </c>
      <c r="X66" t="s">
        <v>128</v>
      </c>
      <c r="Y66" s="1" t="s">
        <v>82</v>
      </c>
      <c r="Z66" s="1" t="s">
        <v>1307</v>
      </c>
      <c r="AA66">
        <v>1</v>
      </c>
      <c r="AD66">
        <v>29</v>
      </c>
      <c r="AE66" t="s">
        <v>108</v>
      </c>
      <c r="AF66" s="1" t="s">
        <v>244</v>
      </c>
      <c r="AG66">
        <v>8</v>
      </c>
      <c r="AH66">
        <v>50</v>
      </c>
      <c r="AI66">
        <v>168</v>
      </c>
      <c r="AJ66">
        <v>108.00000000138425</v>
      </c>
      <c r="AK66">
        <v>1936.12036657</v>
      </c>
      <c r="AL66">
        <v>13359230.5294</v>
      </c>
      <c r="AM66" s="1" t="s">
        <v>245</v>
      </c>
      <c r="AN66" t="s">
        <v>246</v>
      </c>
      <c r="AQ66">
        <v>65</v>
      </c>
    </row>
    <row r="67" spans="2:43" x14ac:dyDescent="0.25">
      <c r="B67" s="1" t="s">
        <v>1277</v>
      </c>
      <c r="C67" t="s">
        <v>128</v>
      </c>
      <c r="D67" s="1" t="s">
        <v>82</v>
      </c>
      <c r="E67" s="1" t="s">
        <v>1307</v>
      </c>
      <c r="F67">
        <v>1</v>
      </c>
      <c r="I67">
        <v>29</v>
      </c>
      <c r="J67" t="s">
        <v>108</v>
      </c>
      <c r="K67" s="1" t="s">
        <v>244</v>
      </c>
      <c r="L67">
        <v>8</v>
      </c>
      <c r="M67">
        <v>50</v>
      </c>
      <c r="N67">
        <v>168</v>
      </c>
      <c r="O67">
        <v>108.00000000138425</v>
      </c>
      <c r="P67">
        <v>1936.12036657</v>
      </c>
      <c r="Q67">
        <v>13359230.5294</v>
      </c>
      <c r="R67" s="1" t="s">
        <v>245</v>
      </c>
      <c r="S67" t="s">
        <v>246</v>
      </c>
      <c r="V67">
        <v>66</v>
      </c>
      <c r="W67" s="1" t="s">
        <v>1277</v>
      </c>
      <c r="X67" t="s">
        <v>128</v>
      </c>
      <c r="Y67" s="1" t="s">
        <v>82</v>
      </c>
      <c r="Z67" s="1" t="s">
        <v>1307</v>
      </c>
      <c r="AA67">
        <v>1</v>
      </c>
      <c r="AD67">
        <v>29</v>
      </c>
      <c r="AE67" t="s">
        <v>108</v>
      </c>
      <c r="AF67" s="1" t="s">
        <v>244</v>
      </c>
      <c r="AG67">
        <v>8</v>
      </c>
      <c r="AH67">
        <v>50</v>
      </c>
      <c r="AI67">
        <v>168</v>
      </c>
      <c r="AJ67">
        <v>108.00000000138425</v>
      </c>
      <c r="AK67">
        <v>1936.12036657</v>
      </c>
      <c r="AL67">
        <v>13359230.5294</v>
      </c>
      <c r="AM67" s="1" t="s">
        <v>245</v>
      </c>
      <c r="AN67" t="s">
        <v>246</v>
      </c>
      <c r="AQ67">
        <v>66</v>
      </c>
    </row>
    <row r="68" spans="2:43" x14ac:dyDescent="0.25">
      <c r="B68" s="1" t="s">
        <v>278</v>
      </c>
      <c r="C68" t="s">
        <v>116</v>
      </c>
      <c r="D68" s="1" t="s">
        <v>81</v>
      </c>
      <c r="E68" s="1" t="s">
        <v>415</v>
      </c>
      <c r="F68">
        <v>1</v>
      </c>
      <c r="G68">
        <v>497</v>
      </c>
      <c r="H68">
        <v>2746</v>
      </c>
      <c r="K68" s="1"/>
      <c r="R68" s="1"/>
      <c r="T68">
        <v>3290</v>
      </c>
      <c r="U68">
        <v>9.0337663579421967</v>
      </c>
      <c r="V68">
        <v>67</v>
      </c>
      <c r="W68" s="1" t="s">
        <v>278</v>
      </c>
      <c r="X68" t="s">
        <v>116</v>
      </c>
      <c r="Y68" s="1" t="s">
        <v>81</v>
      </c>
      <c r="Z68" s="1" t="s">
        <v>415</v>
      </c>
      <c r="AA68">
        <v>1</v>
      </c>
      <c r="AB68">
        <v>497</v>
      </c>
      <c r="AC68">
        <v>2746</v>
      </c>
      <c r="AF68" s="1"/>
      <c r="AM68" s="1"/>
      <c r="AO68">
        <v>3290</v>
      </c>
      <c r="AP68">
        <v>9.0337663579421967</v>
      </c>
      <c r="AQ68">
        <v>67</v>
      </c>
    </row>
    <row r="69" spans="2:43" x14ac:dyDescent="0.25">
      <c r="B69" s="1" t="s">
        <v>279</v>
      </c>
      <c r="C69" t="s">
        <v>116</v>
      </c>
      <c r="D69" s="1" t="s">
        <v>81</v>
      </c>
      <c r="E69" s="1" t="s">
        <v>415</v>
      </c>
      <c r="F69">
        <v>1</v>
      </c>
      <c r="G69">
        <v>497</v>
      </c>
      <c r="H69">
        <v>2746</v>
      </c>
      <c r="K69" s="1"/>
      <c r="R69" s="1"/>
      <c r="T69">
        <v>3290</v>
      </c>
      <c r="U69">
        <v>9.0336339929461804</v>
      </c>
      <c r="V69">
        <v>68</v>
      </c>
      <c r="W69" s="1" t="s">
        <v>279</v>
      </c>
      <c r="X69" t="s">
        <v>116</v>
      </c>
      <c r="Y69" s="1" t="s">
        <v>81</v>
      </c>
      <c r="Z69" s="1" t="s">
        <v>415</v>
      </c>
      <c r="AA69">
        <v>1</v>
      </c>
      <c r="AB69">
        <v>497</v>
      </c>
      <c r="AC69">
        <v>2746</v>
      </c>
      <c r="AF69" s="1"/>
      <c r="AM69" s="1"/>
      <c r="AO69">
        <v>3290</v>
      </c>
      <c r="AP69">
        <v>9.0336339929461804</v>
      </c>
      <c r="AQ69">
        <v>68</v>
      </c>
    </row>
    <row r="70" spans="2:43" x14ac:dyDescent="0.25">
      <c r="B70" s="1" t="s">
        <v>280</v>
      </c>
      <c r="C70" t="s">
        <v>116</v>
      </c>
      <c r="D70" s="1" t="s">
        <v>81</v>
      </c>
      <c r="E70" s="1" t="s">
        <v>415</v>
      </c>
      <c r="F70">
        <v>1</v>
      </c>
      <c r="G70">
        <v>497</v>
      </c>
      <c r="H70">
        <v>2246</v>
      </c>
      <c r="K70" s="1"/>
      <c r="R70" s="1"/>
      <c r="T70">
        <v>3167</v>
      </c>
      <c r="U70">
        <v>7.1129197639535002</v>
      </c>
      <c r="V70">
        <v>69</v>
      </c>
      <c r="W70" s="1" t="s">
        <v>280</v>
      </c>
      <c r="X70" t="s">
        <v>116</v>
      </c>
      <c r="Y70" s="1" t="s">
        <v>81</v>
      </c>
      <c r="Z70" s="1" t="s">
        <v>415</v>
      </c>
      <c r="AA70">
        <v>1</v>
      </c>
      <c r="AB70">
        <v>497</v>
      </c>
      <c r="AC70">
        <v>2246</v>
      </c>
      <c r="AF70" s="1"/>
      <c r="AM70" s="1"/>
      <c r="AO70">
        <v>3167</v>
      </c>
      <c r="AP70">
        <v>7.1129197639535002</v>
      </c>
      <c r="AQ70">
        <v>69</v>
      </c>
    </row>
    <row r="71" spans="2:43" x14ac:dyDescent="0.25">
      <c r="B71" s="1" t="s">
        <v>281</v>
      </c>
      <c r="C71" t="s">
        <v>116</v>
      </c>
      <c r="D71" s="1" t="s">
        <v>81</v>
      </c>
      <c r="E71" s="1" t="s">
        <v>415</v>
      </c>
      <c r="F71">
        <v>1</v>
      </c>
      <c r="G71">
        <v>497</v>
      </c>
      <c r="H71">
        <v>2246</v>
      </c>
      <c r="K71" s="1"/>
      <c r="R71" s="1"/>
      <c r="T71">
        <v>3098</v>
      </c>
      <c r="U71">
        <v>6.9578557096565543</v>
      </c>
      <c r="V71">
        <v>70</v>
      </c>
      <c r="W71" s="1" t="s">
        <v>281</v>
      </c>
      <c r="X71" t="s">
        <v>116</v>
      </c>
      <c r="Y71" s="1" t="s">
        <v>81</v>
      </c>
      <c r="Z71" s="1" t="s">
        <v>415</v>
      </c>
      <c r="AA71">
        <v>1</v>
      </c>
      <c r="AB71">
        <v>497</v>
      </c>
      <c r="AC71">
        <v>2246</v>
      </c>
      <c r="AF71" s="1"/>
      <c r="AM71" s="1"/>
      <c r="AO71">
        <v>3098</v>
      </c>
      <c r="AP71">
        <v>6.9578557096565543</v>
      </c>
      <c r="AQ71">
        <v>70</v>
      </c>
    </row>
    <row r="72" spans="2:43" x14ac:dyDescent="0.25">
      <c r="B72" s="1" t="s">
        <v>282</v>
      </c>
      <c r="C72" t="s">
        <v>116</v>
      </c>
      <c r="D72" s="1" t="s">
        <v>81</v>
      </c>
      <c r="E72" s="1" t="s">
        <v>416</v>
      </c>
      <c r="F72">
        <v>1</v>
      </c>
      <c r="G72">
        <v>497</v>
      </c>
      <c r="H72">
        <v>2746</v>
      </c>
      <c r="K72" s="1"/>
      <c r="R72" s="1"/>
      <c r="T72">
        <v>3290</v>
      </c>
      <c r="U72">
        <v>9.0337663579421967</v>
      </c>
      <c r="V72">
        <v>71</v>
      </c>
      <c r="W72" s="1" t="s">
        <v>282</v>
      </c>
      <c r="X72" t="s">
        <v>116</v>
      </c>
      <c r="Y72" s="1" t="s">
        <v>81</v>
      </c>
      <c r="Z72" s="1" t="s">
        <v>416</v>
      </c>
      <c r="AA72">
        <v>1</v>
      </c>
      <c r="AB72">
        <v>497</v>
      </c>
      <c r="AC72">
        <v>2746</v>
      </c>
      <c r="AF72" s="1"/>
      <c r="AM72" s="1"/>
      <c r="AO72">
        <v>3290</v>
      </c>
      <c r="AP72">
        <v>9.0337663579421967</v>
      </c>
      <c r="AQ72">
        <v>71</v>
      </c>
    </row>
    <row r="73" spans="2:43" x14ac:dyDescent="0.25">
      <c r="B73" s="1" t="s">
        <v>283</v>
      </c>
      <c r="C73" t="s">
        <v>116</v>
      </c>
      <c r="D73" s="1" t="s">
        <v>81</v>
      </c>
      <c r="E73" s="1" t="s">
        <v>416</v>
      </c>
      <c r="F73">
        <v>1</v>
      </c>
      <c r="G73">
        <v>497</v>
      </c>
      <c r="H73">
        <v>2746</v>
      </c>
      <c r="K73" s="1"/>
      <c r="R73" s="1"/>
      <c r="T73">
        <v>3290</v>
      </c>
      <c r="U73">
        <v>9.0335803224311899</v>
      </c>
      <c r="V73">
        <v>72</v>
      </c>
      <c r="W73" s="1" t="s">
        <v>283</v>
      </c>
      <c r="X73" t="s">
        <v>116</v>
      </c>
      <c r="Y73" s="1" t="s">
        <v>81</v>
      </c>
      <c r="Z73" s="1" t="s">
        <v>416</v>
      </c>
      <c r="AA73">
        <v>1</v>
      </c>
      <c r="AB73">
        <v>497</v>
      </c>
      <c r="AC73">
        <v>2746</v>
      </c>
      <c r="AF73" s="1"/>
      <c r="AM73" s="1"/>
      <c r="AO73">
        <v>3290</v>
      </c>
      <c r="AP73">
        <v>9.0335803224311899</v>
      </c>
      <c r="AQ73">
        <v>72</v>
      </c>
    </row>
    <row r="74" spans="2:43" x14ac:dyDescent="0.25">
      <c r="B74" s="1" t="s">
        <v>284</v>
      </c>
      <c r="C74" t="s">
        <v>116</v>
      </c>
      <c r="D74" s="1" t="s">
        <v>81</v>
      </c>
      <c r="E74" s="1" t="s">
        <v>416</v>
      </c>
      <c r="F74">
        <v>1</v>
      </c>
      <c r="G74">
        <v>497</v>
      </c>
      <c r="H74">
        <v>2246</v>
      </c>
      <c r="K74" s="1"/>
      <c r="R74" s="1"/>
      <c r="T74">
        <v>3167</v>
      </c>
      <c r="U74">
        <v>7.1129417293771624</v>
      </c>
      <c r="V74">
        <v>73</v>
      </c>
      <c r="W74" s="1" t="s">
        <v>284</v>
      </c>
      <c r="X74" t="s">
        <v>116</v>
      </c>
      <c r="Y74" s="1" t="s">
        <v>81</v>
      </c>
      <c r="Z74" s="1" t="s">
        <v>416</v>
      </c>
      <c r="AA74">
        <v>1</v>
      </c>
      <c r="AB74">
        <v>497</v>
      </c>
      <c r="AC74">
        <v>2246</v>
      </c>
      <c r="AF74" s="1"/>
      <c r="AM74" s="1"/>
      <c r="AO74">
        <v>3167</v>
      </c>
      <c r="AP74">
        <v>7.1129417293771624</v>
      </c>
      <c r="AQ74">
        <v>73</v>
      </c>
    </row>
    <row r="75" spans="2:43" x14ac:dyDescent="0.25">
      <c r="B75" s="1" t="s">
        <v>285</v>
      </c>
      <c r="C75" t="s">
        <v>116</v>
      </c>
      <c r="D75" s="1" t="s">
        <v>81</v>
      </c>
      <c r="E75" s="1" t="s">
        <v>416</v>
      </c>
      <c r="F75">
        <v>1</v>
      </c>
      <c r="G75">
        <v>497</v>
      </c>
      <c r="H75">
        <v>2246</v>
      </c>
      <c r="K75" s="1"/>
      <c r="R75" s="1"/>
      <c r="T75">
        <v>3098</v>
      </c>
      <c r="U75">
        <v>6.957855878603354</v>
      </c>
      <c r="V75">
        <v>74</v>
      </c>
      <c r="W75" s="1" t="s">
        <v>285</v>
      </c>
      <c r="X75" t="s">
        <v>116</v>
      </c>
      <c r="Y75" s="1" t="s">
        <v>81</v>
      </c>
      <c r="Z75" s="1" t="s">
        <v>416</v>
      </c>
      <c r="AA75">
        <v>1</v>
      </c>
      <c r="AB75">
        <v>497</v>
      </c>
      <c r="AC75">
        <v>2246</v>
      </c>
      <c r="AF75" s="1"/>
      <c r="AM75" s="1"/>
      <c r="AO75">
        <v>3098</v>
      </c>
      <c r="AP75">
        <v>6.957855878603354</v>
      </c>
      <c r="AQ75">
        <v>74</v>
      </c>
    </row>
    <row r="76" spans="2:43" x14ac:dyDescent="0.25">
      <c r="B76" s="1" t="s">
        <v>286</v>
      </c>
      <c r="C76" t="s">
        <v>116</v>
      </c>
      <c r="D76" s="1" t="s">
        <v>81</v>
      </c>
      <c r="E76" s="1" t="s">
        <v>417</v>
      </c>
      <c r="F76">
        <v>1</v>
      </c>
      <c r="G76">
        <v>497</v>
      </c>
      <c r="H76">
        <v>2746</v>
      </c>
      <c r="K76" s="1"/>
      <c r="R76" s="1"/>
      <c r="T76">
        <v>3290</v>
      </c>
      <c r="U76">
        <v>9.0337663579421967</v>
      </c>
      <c r="V76">
        <v>75</v>
      </c>
      <c r="W76" s="1" t="s">
        <v>286</v>
      </c>
      <c r="X76" t="s">
        <v>116</v>
      </c>
      <c r="Y76" s="1" t="s">
        <v>81</v>
      </c>
      <c r="Z76" s="1" t="s">
        <v>417</v>
      </c>
      <c r="AA76">
        <v>1</v>
      </c>
      <c r="AB76">
        <v>497</v>
      </c>
      <c r="AC76">
        <v>2746</v>
      </c>
      <c r="AF76" s="1"/>
      <c r="AM76" s="1"/>
      <c r="AO76">
        <v>3290</v>
      </c>
      <c r="AP76">
        <v>9.0337663579421967</v>
      </c>
      <c r="AQ76">
        <v>75</v>
      </c>
    </row>
    <row r="77" spans="2:43" x14ac:dyDescent="0.25">
      <c r="B77" s="1" t="s">
        <v>287</v>
      </c>
      <c r="C77" t="s">
        <v>116</v>
      </c>
      <c r="D77" s="1" t="s">
        <v>81</v>
      </c>
      <c r="E77" s="1" t="s">
        <v>417</v>
      </c>
      <c r="F77">
        <v>1</v>
      </c>
      <c r="G77">
        <v>497</v>
      </c>
      <c r="H77">
        <v>2746</v>
      </c>
      <c r="K77" s="1"/>
      <c r="R77" s="1"/>
      <c r="T77">
        <v>3290</v>
      </c>
      <c r="U77">
        <v>9.0336071477751556</v>
      </c>
      <c r="V77">
        <v>76</v>
      </c>
      <c r="W77" s="1" t="s">
        <v>287</v>
      </c>
      <c r="X77" t="s">
        <v>116</v>
      </c>
      <c r="Y77" s="1" t="s">
        <v>81</v>
      </c>
      <c r="Z77" s="1" t="s">
        <v>417</v>
      </c>
      <c r="AA77">
        <v>1</v>
      </c>
      <c r="AB77">
        <v>497</v>
      </c>
      <c r="AC77">
        <v>2746</v>
      </c>
      <c r="AF77" s="1"/>
      <c r="AM77" s="1"/>
      <c r="AO77">
        <v>3290</v>
      </c>
      <c r="AP77">
        <v>9.0336071477751556</v>
      </c>
      <c r="AQ77">
        <v>76</v>
      </c>
    </row>
    <row r="78" spans="2:43" x14ac:dyDescent="0.25">
      <c r="B78" s="1" t="s">
        <v>288</v>
      </c>
      <c r="C78" t="s">
        <v>116</v>
      </c>
      <c r="D78" s="1" t="s">
        <v>81</v>
      </c>
      <c r="E78" s="1" t="s">
        <v>417</v>
      </c>
      <c r="F78">
        <v>1</v>
      </c>
      <c r="G78">
        <v>497</v>
      </c>
      <c r="H78">
        <v>2246</v>
      </c>
      <c r="K78" s="1"/>
      <c r="R78" s="1"/>
      <c r="T78">
        <v>3167</v>
      </c>
      <c r="U78">
        <v>7.1129417293771624</v>
      </c>
      <c r="V78">
        <v>77</v>
      </c>
      <c r="W78" s="1" t="s">
        <v>288</v>
      </c>
      <c r="X78" t="s">
        <v>116</v>
      </c>
      <c r="Y78" s="1" t="s">
        <v>81</v>
      </c>
      <c r="Z78" s="1" t="s">
        <v>417</v>
      </c>
      <c r="AA78">
        <v>1</v>
      </c>
      <c r="AB78">
        <v>497</v>
      </c>
      <c r="AC78">
        <v>2246</v>
      </c>
      <c r="AF78" s="1"/>
      <c r="AM78" s="1"/>
      <c r="AO78">
        <v>3167</v>
      </c>
      <c r="AP78">
        <v>7.1129417293771624</v>
      </c>
      <c r="AQ78">
        <v>77</v>
      </c>
    </row>
    <row r="79" spans="2:43" x14ac:dyDescent="0.25">
      <c r="B79" s="1" t="s">
        <v>289</v>
      </c>
      <c r="C79" t="s">
        <v>116</v>
      </c>
      <c r="D79" s="1" t="s">
        <v>81</v>
      </c>
      <c r="E79" s="1" t="s">
        <v>417</v>
      </c>
      <c r="F79">
        <v>1</v>
      </c>
      <c r="G79">
        <v>497</v>
      </c>
      <c r="H79">
        <v>2271</v>
      </c>
      <c r="K79" s="1"/>
      <c r="R79" s="1"/>
      <c r="T79">
        <v>3098</v>
      </c>
      <c r="U79">
        <v>7.0353845299901421</v>
      </c>
      <c r="V79">
        <v>78</v>
      </c>
      <c r="W79" s="1" t="s">
        <v>289</v>
      </c>
      <c r="X79" t="s">
        <v>116</v>
      </c>
      <c r="Y79" s="1" t="s">
        <v>81</v>
      </c>
      <c r="Z79" s="1" t="s">
        <v>417</v>
      </c>
      <c r="AA79">
        <v>1</v>
      </c>
      <c r="AB79">
        <v>497</v>
      </c>
      <c r="AC79">
        <v>2271</v>
      </c>
      <c r="AF79" s="1"/>
      <c r="AM79" s="1"/>
      <c r="AO79">
        <v>3098</v>
      </c>
      <c r="AP79">
        <v>7.0353845299901421</v>
      </c>
      <c r="AQ79">
        <v>78</v>
      </c>
    </row>
    <row r="80" spans="2:43" x14ac:dyDescent="0.25">
      <c r="B80" s="1" t="s">
        <v>1917</v>
      </c>
      <c r="C80" t="s">
        <v>132</v>
      </c>
      <c r="D80" s="1" t="s">
        <v>80</v>
      </c>
      <c r="E80" s="1" t="s">
        <v>2011</v>
      </c>
      <c r="F80">
        <v>1</v>
      </c>
      <c r="G80">
        <v>326</v>
      </c>
      <c r="H80">
        <v>2504</v>
      </c>
      <c r="K80" s="1"/>
      <c r="R80" s="1"/>
      <c r="T80">
        <v>3052</v>
      </c>
      <c r="U80">
        <v>7.6422583444515411</v>
      </c>
      <c r="V80">
        <v>79</v>
      </c>
    </row>
    <row r="81" spans="2:22" x14ac:dyDescent="0.25">
      <c r="B81" s="1" t="s">
        <v>1918</v>
      </c>
      <c r="C81" t="s">
        <v>132</v>
      </c>
      <c r="D81" s="1" t="s">
        <v>80</v>
      </c>
      <c r="E81" s="1" t="s">
        <v>2011</v>
      </c>
      <c r="F81">
        <v>1</v>
      </c>
      <c r="G81">
        <v>326</v>
      </c>
      <c r="H81">
        <v>1332</v>
      </c>
      <c r="K81" s="1"/>
      <c r="R81" s="1"/>
      <c r="T81">
        <v>2833</v>
      </c>
      <c r="U81">
        <v>3.7742537063555415</v>
      </c>
      <c r="V81">
        <v>80</v>
      </c>
    </row>
    <row r="82" spans="2:22" x14ac:dyDescent="0.25">
      <c r="B82" s="1" t="s">
        <v>1919</v>
      </c>
      <c r="C82" t="s">
        <v>132</v>
      </c>
      <c r="D82" s="1" t="s">
        <v>80</v>
      </c>
      <c r="E82" s="1" t="s">
        <v>2011</v>
      </c>
      <c r="F82">
        <v>1</v>
      </c>
      <c r="G82">
        <v>326</v>
      </c>
      <c r="H82">
        <v>1287</v>
      </c>
      <c r="K82" s="1"/>
      <c r="R82" s="1"/>
      <c r="T82">
        <v>4008</v>
      </c>
      <c r="U82">
        <v>5.1584785179964499</v>
      </c>
      <c r="V82">
        <v>81</v>
      </c>
    </row>
    <row r="83" spans="2:22" x14ac:dyDescent="0.25">
      <c r="B83" s="1" t="s">
        <v>1920</v>
      </c>
      <c r="C83" t="s">
        <v>132</v>
      </c>
      <c r="D83" s="1" t="s">
        <v>80</v>
      </c>
      <c r="E83" s="1" t="s">
        <v>2011</v>
      </c>
      <c r="F83">
        <v>1</v>
      </c>
      <c r="G83">
        <v>326</v>
      </c>
      <c r="H83">
        <v>1287</v>
      </c>
      <c r="K83" s="1"/>
      <c r="R83" s="1"/>
      <c r="T83">
        <v>3088</v>
      </c>
      <c r="U83">
        <v>3.9746774948871546</v>
      </c>
      <c r="V83">
        <v>82</v>
      </c>
    </row>
    <row r="84" spans="2:22" x14ac:dyDescent="0.25">
      <c r="B84" s="1" t="s">
        <v>1921</v>
      </c>
      <c r="C84" t="s">
        <v>132</v>
      </c>
      <c r="D84" s="1" t="s">
        <v>80</v>
      </c>
      <c r="E84" s="1" t="s">
        <v>2011</v>
      </c>
      <c r="F84">
        <v>1</v>
      </c>
      <c r="G84">
        <v>316</v>
      </c>
      <c r="H84">
        <v>1450</v>
      </c>
      <c r="K84" s="1"/>
      <c r="R84" s="1"/>
      <c r="T84">
        <v>1268</v>
      </c>
      <c r="U84">
        <v>1.8385611123705721</v>
      </c>
      <c r="V84">
        <v>83</v>
      </c>
    </row>
    <row r="85" spans="2:22" x14ac:dyDescent="0.25">
      <c r="B85" s="1" t="s">
        <v>1922</v>
      </c>
      <c r="C85" t="s">
        <v>132</v>
      </c>
      <c r="D85" s="1" t="s">
        <v>80</v>
      </c>
      <c r="E85" s="1" t="s">
        <v>2011</v>
      </c>
      <c r="F85">
        <v>1</v>
      </c>
      <c r="G85">
        <v>326</v>
      </c>
      <c r="H85">
        <v>1442</v>
      </c>
      <c r="K85" s="1"/>
      <c r="R85" s="1"/>
      <c r="T85">
        <v>5149</v>
      </c>
      <c r="U85">
        <v>7.4256864813816188</v>
      </c>
      <c r="V85">
        <v>84</v>
      </c>
    </row>
    <row r="86" spans="2:22" x14ac:dyDescent="0.25">
      <c r="B86" s="1" t="s">
        <v>1923</v>
      </c>
      <c r="C86" t="s">
        <v>132</v>
      </c>
      <c r="D86" s="1" t="s">
        <v>80</v>
      </c>
      <c r="E86" s="1" t="s">
        <v>2011</v>
      </c>
      <c r="F86">
        <v>1</v>
      </c>
      <c r="G86">
        <v>326</v>
      </c>
      <c r="H86">
        <v>1287</v>
      </c>
      <c r="K86" s="1"/>
      <c r="R86" s="1"/>
      <c r="T86">
        <v>3088</v>
      </c>
      <c r="U86">
        <v>3.9743848856214847</v>
      </c>
      <c r="V86">
        <v>85</v>
      </c>
    </row>
    <row r="87" spans="2:22" x14ac:dyDescent="0.25">
      <c r="B87" s="1" t="s">
        <v>1924</v>
      </c>
      <c r="C87" t="s">
        <v>132</v>
      </c>
      <c r="D87" s="1" t="s">
        <v>80</v>
      </c>
      <c r="E87" s="1" t="s">
        <v>2011</v>
      </c>
      <c r="F87">
        <v>1</v>
      </c>
      <c r="G87">
        <v>316</v>
      </c>
      <c r="H87">
        <v>1450</v>
      </c>
      <c r="K87" s="1"/>
      <c r="R87" s="1"/>
      <c r="T87">
        <v>1268</v>
      </c>
      <c r="U87">
        <v>1.8385611123705721</v>
      </c>
      <c r="V87">
        <v>86</v>
      </c>
    </row>
    <row r="88" spans="2:22" x14ac:dyDescent="0.25">
      <c r="B88" s="1" t="s">
        <v>1925</v>
      </c>
      <c r="C88" t="s">
        <v>132</v>
      </c>
      <c r="D88" s="1" t="s">
        <v>80</v>
      </c>
      <c r="E88" s="1" t="s">
        <v>2011</v>
      </c>
      <c r="F88">
        <v>1</v>
      </c>
      <c r="G88">
        <v>326</v>
      </c>
      <c r="H88">
        <v>1442</v>
      </c>
      <c r="K88" s="1"/>
      <c r="R88" s="1"/>
      <c r="T88">
        <v>6199</v>
      </c>
      <c r="U88">
        <v>8.9400093141642678</v>
      </c>
      <c r="V88">
        <v>87</v>
      </c>
    </row>
    <row r="89" spans="2:22" x14ac:dyDescent="0.25">
      <c r="B89" s="1" t="s">
        <v>1926</v>
      </c>
      <c r="C89" t="s">
        <v>132</v>
      </c>
      <c r="D89" s="1" t="s">
        <v>80</v>
      </c>
      <c r="E89" s="1" t="s">
        <v>2011</v>
      </c>
      <c r="F89">
        <v>1</v>
      </c>
      <c r="G89">
        <v>326</v>
      </c>
      <c r="H89">
        <v>1287</v>
      </c>
      <c r="K89" s="1"/>
      <c r="R89" s="1"/>
      <c r="T89">
        <v>5024</v>
      </c>
      <c r="U89">
        <v>6.4660848031424001</v>
      </c>
      <c r="V89">
        <v>88</v>
      </c>
    </row>
    <row r="90" spans="2:22" x14ac:dyDescent="0.25">
      <c r="B90" s="1" t="s">
        <v>1927</v>
      </c>
      <c r="C90" t="s">
        <v>132</v>
      </c>
      <c r="D90" s="1" t="s">
        <v>80</v>
      </c>
      <c r="E90" s="1" t="s">
        <v>2011</v>
      </c>
      <c r="F90">
        <v>1</v>
      </c>
      <c r="G90">
        <v>326</v>
      </c>
      <c r="H90">
        <v>1203</v>
      </c>
      <c r="K90" s="1"/>
      <c r="R90" s="1"/>
      <c r="T90">
        <v>1497</v>
      </c>
      <c r="U90">
        <v>1.8006189358841107</v>
      </c>
      <c r="V90">
        <v>89</v>
      </c>
    </row>
    <row r="91" spans="2:22" x14ac:dyDescent="0.25">
      <c r="B91" s="1" t="s">
        <v>1928</v>
      </c>
      <c r="C91" t="s">
        <v>132</v>
      </c>
      <c r="D91" s="1" t="s">
        <v>80</v>
      </c>
      <c r="E91" s="1" t="s">
        <v>2011</v>
      </c>
      <c r="F91">
        <v>1</v>
      </c>
      <c r="G91">
        <v>326</v>
      </c>
      <c r="H91">
        <v>1201</v>
      </c>
      <c r="K91" s="1"/>
      <c r="R91" s="1"/>
      <c r="T91">
        <v>3659</v>
      </c>
      <c r="U91">
        <v>4.3942197142351143</v>
      </c>
      <c r="V91">
        <v>90</v>
      </c>
    </row>
    <row r="92" spans="2:22" x14ac:dyDescent="0.25">
      <c r="B92" s="1" t="s">
        <v>1909</v>
      </c>
      <c r="C92" t="s">
        <v>132</v>
      </c>
      <c r="D92" s="1" t="s">
        <v>82</v>
      </c>
      <c r="E92" s="1" t="s">
        <v>2010</v>
      </c>
      <c r="F92">
        <v>1</v>
      </c>
      <c r="G92">
        <v>326</v>
      </c>
      <c r="H92">
        <v>1336</v>
      </c>
      <c r="K92" s="1"/>
      <c r="R92" s="1"/>
      <c r="T92">
        <v>4393</v>
      </c>
      <c r="U92">
        <v>5.8693702681863131</v>
      </c>
      <c r="V92">
        <v>91</v>
      </c>
    </row>
    <row r="93" spans="2:22" x14ac:dyDescent="0.25">
      <c r="B93" s="1" t="s">
        <v>1910</v>
      </c>
      <c r="C93" t="s">
        <v>132</v>
      </c>
      <c r="D93" s="1" t="s">
        <v>82</v>
      </c>
      <c r="E93" s="1" t="s">
        <v>2010</v>
      </c>
      <c r="F93">
        <v>1</v>
      </c>
      <c r="G93">
        <v>326</v>
      </c>
      <c r="H93">
        <v>1287</v>
      </c>
      <c r="K93" s="1"/>
      <c r="R93" s="1"/>
      <c r="T93">
        <v>4272</v>
      </c>
      <c r="U93">
        <v>5.4981843230363987</v>
      </c>
      <c r="V93">
        <v>92</v>
      </c>
    </row>
    <row r="94" spans="2:22" x14ac:dyDescent="0.25">
      <c r="B94" s="1" t="s">
        <v>1911</v>
      </c>
      <c r="C94" t="s">
        <v>132</v>
      </c>
      <c r="D94" s="1" t="s">
        <v>82</v>
      </c>
      <c r="E94" s="1" t="s">
        <v>2010</v>
      </c>
      <c r="F94">
        <v>1</v>
      </c>
      <c r="G94">
        <v>326</v>
      </c>
      <c r="H94">
        <v>1287</v>
      </c>
      <c r="K94" s="1"/>
      <c r="R94" s="1"/>
      <c r="T94">
        <v>6108</v>
      </c>
      <c r="U94">
        <v>7.8612352666668093</v>
      </c>
      <c r="V94">
        <v>93</v>
      </c>
    </row>
    <row r="95" spans="2:22" x14ac:dyDescent="0.25">
      <c r="B95" s="1" t="s">
        <v>1912</v>
      </c>
      <c r="C95" t="s">
        <v>132</v>
      </c>
      <c r="D95" s="1" t="s">
        <v>82</v>
      </c>
      <c r="E95" s="1" t="s">
        <v>2010</v>
      </c>
      <c r="F95">
        <v>1</v>
      </c>
      <c r="G95">
        <v>326</v>
      </c>
      <c r="H95">
        <v>1287</v>
      </c>
      <c r="K95" s="1"/>
      <c r="R95" s="1"/>
      <c r="T95">
        <v>4317</v>
      </c>
      <c r="U95">
        <v>5.5561855961289037</v>
      </c>
      <c r="V95">
        <v>94</v>
      </c>
    </row>
    <row r="96" spans="2:22" x14ac:dyDescent="0.25">
      <c r="B96" s="1" t="s">
        <v>1913</v>
      </c>
      <c r="C96" t="s">
        <v>132</v>
      </c>
      <c r="D96" s="1" t="s">
        <v>82</v>
      </c>
      <c r="E96" s="1" t="s">
        <v>2010</v>
      </c>
      <c r="F96">
        <v>1</v>
      </c>
      <c r="G96">
        <v>326</v>
      </c>
      <c r="H96">
        <v>1287</v>
      </c>
      <c r="K96" s="1"/>
      <c r="R96" s="1"/>
      <c r="T96">
        <v>5885</v>
      </c>
      <c r="U96">
        <v>7.574296730079789</v>
      </c>
      <c r="V96">
        <v>95</v>
      </c>
    </row>
    <row r="97" spans="2:22" x14ac:dyDescent="0.25">
      <c r="B97" s="1" t="s">
        <v>1914</v>
      </c>
      <c r="C97" t="s">
        <v>132</v>
      </c>
      <c r="D97" s="1" t="s">
        <v>82</v>
      </c>
      <c r="E97" s="1" t="s">
        <v>2010</v>
      </c>
      <c r="F97">
        <v>1</v>
      </c>
      <c r="G97">
        <v>326</v>
      </c>
      <c r="H97">
        <v>1287</v>
      </c>
      <c r="K97" s="1"/>
      <c r="R97" s="1"/>
      <c r="T97">
        <v>4191</v>
      </c>
      <c r="U97">
        <v>5.3939729061644579</v>
      </c>
      <c r="V97">
        <v>96</v>
      </c>
    </row>
    <row r="98" spans="2:22" x14ac:dyDescent="0.25">
      <c r="B98" s="1" t="s">
        <v>1915</v>
      </c>
      <c r="C98" t="s">
        <v>132</v>
      </c>
      <c r="D98" s="1" t="s">
        <v>82</v>
      </c>
      <c r="E98" s="1" t="s">
        <v>2010</v>
      </c>
      <c r="F98">
        <v>1</v>
      </c>
      <c r="G98">
        <v>326</v>
      </c>
      <c r="H98">
        <v>1287</v>
      </c>
      <c r="K98" s="1"/>
      <c r="R98" s="1"/>
      <c r="T98">
        <v>2736</v>
      </c>
      <c r="U98">
        <v>3.5213391769592</v>
      </c>
      <c r="V98">
        <v>97</v>
      </c>
    </row>
    <row r="99" spans="2:22" x14ac:dyDescent="0.25">
      <c r="B99" s="1" t="s">
        <v>1916</v>
      </c>
      <c r="C99" t="s">
        <v>132</v>
      </c>
      <c r="D99" s="1" t="s">
        <v>82</v>
      </c>
      <c r="E99" s="1" t="s">
        <v>2010</v>
      </c>
      <c r="F99">
        <v>1</v>
      </c>
      <c r="G99">
        <v>893</v>
      </c>
      <c r="H99">
        <v>2465</v>
      </c>
      <c r="K99" s="1"/>
      <c r="R99" s="1"/>
      <c r="T99">
        <v>2582</v>
      </c>
      <c r="U99">
        <v>6.3651364713658207</v>
      </c>
      <c r="V99">
        <v>98</v>
      </c>
    </row>
    <row r="100" spans="2:22" x14ac:dyDescent="0.25">
      <c r="B100" s="1" t="s">
        <v>1916</v>
      </c>
      <c r="C100" t="s">
        <v>132</v>
      </c>
      <c r="D100" s="1" t="s">
        <v>82</v>
      </c>
      <c r="E100" s="1" t="s">
        <v>2010</v>
      </c>
      <c r="F100">
        <v>1</v>
      </c>
      <c r="I100">
        <v>434</v>
      </c>
      <c r="J100" t="s">
        <v>108</v>
      </c>
      <c r="K100" s="1" t="s">
        <v>244</v>
      </c>
      <c r="L100">
        <v>5</v>
      </c>
      <c r="M100">
        <v>50</v>
      </c>
      <c r="N100">
        <v>167.470109845</v>
      </c>
      <c r="O100">
        <v>99.999999994987576</v>
      </c>
      <c r="P100">
        <v>2273.3047488399998</v>
      </c>
      <c r="Q100">
        <v>15201026.7718</v>
      </c>
      <c r="R100" s="1" t="s">
        <v>245</v>
      </c>
      <c r="S100" t="s">
        <v>246</v>
      </c>
      <c r="V100">
        <v>99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Arkusz67"/>
  <dimension ref="A1:AC181"/>
  <sheetViews>
    <sheetView zoomScale="70" zoomScaleNormal="70" workbookViewId="0">
      <pane ySplit="1" topLeftCell="A2" activePane="bottomLeft" state="frozen"/>
      <selection activeCell="K2157" sqref="K2157"/>
      <selection pane="bottomLeft" activeCell="S52" sqref="S52"/>
    </sheetView>
  </sheetViews>
  <sheetFormatPr defaultColWidth="9" defaultRowHeight="15" x14ac:dyDescent="0.25"/>
  <cols>
    <col min="1" max="1" width="10" style="35" bestFit="1" customWidth="1"/>
    <col min="2" max="2" width="23.85546875" style="34" customWidth="1"/>
    <col min="3" max="3" width="18.5703125" style="74" bestFit="1" customWidth="1"/>
    <col min="4" max="4" width="11.140625" style="34" bestFit="1" customWidth="1"/>
    <col min="5" max="5" width="9.85546875" style="35" bestFit="1" customWidth="1"/>
    <col min="6" max="6" width="6.42578125" style="35" bestFit="1" customWidth="1"/>
    <col min="7" max="7" width="11" style="36" bestFit="1" customWidth="1"/>
    <col min="8" max="8" width="7.5703125" style="35" bestFit="1" customWidth="1"/>
    <col min="9" max="10" width="6" style="35" bestFit="1" customWidth="1"/>
    <col min="11" max="12" width="13.28515625" style="35" bestFit="1" customWidth="1"/>
    <col min="13" max="13" width="7.85546875" style="35" bestFit="1" customWidth="1"/>
    <col min="14" max="14" width="14.5703125" style="35" bestFit="1" customWidth="1"/>
    <col min="15" max="15" width="20.140625" style="194" bestFit="1" customWidth="1"/>
    <col min="16" max="16" width="14.42578125" style="35" bestFit="1" customWidth="1"/>
    <col min="17" max="17" width="17.85546875" style="35" bestFit="1" customWidth="1"/>
    <col min="18" max="18" width="15.28515625" style="35" bestFit="1" customWidth="1"/>
    <col min="19" max="19" width="18.140625" style="37" bestFit="1" customWidth="1"/>
    <col min="20" max="20" width="15.42578125" style="35" bestFit="1" customWidth="1"/>
    <col min="21" max="21" width="15.85546875" style="35" bestFit="1" customWidth="1"/>
    <col min="22" max="22" width="14.7109375" style="35" bestFit="1" customWidth="1"/>
    <col min="23" max="23" width="11.42578125" style="74" bestFit="1" customWidth="1"/>
    <col min="24" max="24" width="21" style="35" customWidth="1"/>
    <col min="25" max="25" width="14" style="35" customWidth="1"/>
    <col min="26" max="16384" width="9" style="34"/>
  </cols>
  <sheetData>
    <row r="1" spans="1:29" ht="82.9" customHeight="1" x14ac:dyDescent="0.25">
      <c r="A1" s="158" t="s">
        <v>19</v>
      </c>
      <c r="B1" s="158" t="s">
        <v>32</v>
      </c>
      <c r="C1" s="74" t="s">
        <v>61</v>
      </c>
      <c r="D1" s="74" t="s">
        <v>14</v>
      </c>
      <c r="E1" s="74" t="s">
        <v>46</v>
      </c>
      <c r="F1" s="74" t="s">
        <v>195</v>
      </c>
      <c r="G1" s="74" t="s">
        <v>196</v>
      </c>
      <c r="H1" s="74" t="s">
        <v>197</v>
      </c>
      <c r="I1" s="74" t="s">
        <v>198</v>
      </c>
      <c r="J1" s="74" t="s">
        <v>199</v>
      </c>
      <c r="K1" s="74" t="s">
        <v>200</v>
      </c>
      <c r="L1" s="74" t="s">
        <v>201</v>
      </c>
      <c r="M1" s="74" t="s">
        <v>202</v>
      </c>
      <c r="N1" s="74" t="s">
        <v>203</v>
      </c>
      <c r="O1" s="192" t="s">
        <v>204</v>
      </c>
      <c r="P1" s="32" t="s">
        <v>31</v>
      </c>
      <c r="Q1" s="30" t="s">
        <v>25</v>
      </c>
      <c r="R1" s="33" t="s">
        <v>26</v>
      </c>
      <c r="S1" s="30" t="s">
        <v>22</v>
      </c>
      <c r="T1" s="30" t="s">
        <v>24</v>
      </c>
      <c r="U1" s="30" t="s">
        <v>40</v>
      </c>
      <c r="V1" s="30" t="s">
        <v>23</v>
      </c>
      <c r="W1" s="30" t="s">
        <v>8</v>
      </c>
      <c r="X1" s="34"/>
      <c r="Y1" s="34"/>
    </row>
    <row r="2" spans="1:29" x14ac:dyDescent="0.25">
      <c r="A2" s="8">
        <v>1</v>
      </c>
      <c r="B2" s="174" t="s">
        <v>2318</v>
      </c>
      <c r="C2" s="173" t="s">
        <v>618</v>
      </c>
      <c r="D2" s="147">
        <v>1</v>
      </c>
      <c r="E2" s="148" t="s">
        <v>362</v>
      </c>
      <c r="F2" s="148">
        <v>4</v>
      </c>
      <c r="G2" s="147" t="s">
        <v>244</v>
      </c>
      <c r="H2" s="8">
        <v>50</v>
      </c>
      <c r="I2" s="148">
        <v>38</v>
      </c>
      <c r="J2" s="8">
        <v>5</v>
      </c>
      <c r="K2" s="190">
        <v>828.98470463000001</v>
      </c>
      <c r="L2" s="188">
        <v>883651.690022</v>
      </c>
      <c r="M2" s="147"/>
      <c r="N2" s="147" t="s">
        <v>277</v>
      </c>
      <c r="O2" s="171" t="s">
        <v>246</v>
      </c>
      <c r="P2" s="195">
        <v>44589</v>
      </c>
      <c r="Q2" s="195">
        <v>44589</v>
      </c>
      <c r="R2" s="195">
        <v>44589</v>
      </c>
      <c r="S2" s="36"/>
      <c r="T2" s="83"/>
      <c r="U2" s="84" t="str">
        <f>IF(Harm_prod_stolarnia_kliny[[#This Row],[Data wykonania]]&lt;&gt;0,"WYKONANE","NIEWYKONANE")</f>
        <v>NIEWYKONANE</v>
      </c>
      <c r="V2" s="36"/>
      <c r="W2" s="84"/>
      <c r="X2" s="74"/>
      <c r="Y2" s="74"/>
      <c r="Z2" s="74"/>
      <c r="AA2" s="74"/>
      <c r="AB2" s="74"/>
      <c r="AC2" s="74"/>
    </row>
    <row r="3" spans="1:29" x14ac:dyDescent="0.25">
      <c r="A3" s="8">
        <v>2</v>
      </c>
      <c r="B3" s="174" t="s">
        <v>2318</v>
      </c>
      <c r="C3" s="173" t="s">
        <v>618</v>
      </c>
      <c r="D3" s="147">
        <v>1</v>
      </c>
      <c r="E3" s="148" t="s">
        <v>356</v>
      </c>
      <c r="F3" s="148">
        <v>1</v>
      </c>
      <c r="G3" s="147" t="s">
        <v>244</v>
      </c>
      <c r="H3" s="8">
        <v>50</v>
      </c>
      <c r="I3" s="148">
        <v>38</v>
      </c>
      <c r="J3" s="8">
        <v>5</v>
      </c>
      <c r="K3" s="190">
        <v>828.98338078300003</v>
      </c>
      <c r="L3" s="188">
        <v>883651.35905700002</v>
      </c>
      <c r="M3" s="147"/>
      <c r="N3" s="147" t="s">
        <v>277</v>
      </c>
      <c r="O3" s="171" t="s">
        <v>246</v>
      </c>
      <c r="P3" s="195">
        <v>44589</v>
      </c>
      <c r="Q3" s="195">
        <v>44589</v>
      </c>
      <c r="R3" s="195">
        <v>44589</v>
      </c>
      <c r="S3" s="36"/>
      <c r="T3" s="83"/>
      <c r="U3" s="84" t="str">
        <f>IF(Harm_prod_stolarnia_kliny[[#This Row],[Data wykonania]]&lt;&gt;0,"WYKONANE","NIEWYKONANE")</f>
        <v>NIEWYKONANE</v>
      </c>
      <c r="V3" s="36"/>
      <c r="W3" s="84"/>
      <c r="X3" s="74"/>
      <c r="Y3" s="74"/>
      <c r="Z3" s="74"/>
      <c r="AA3" s="74"/>
      <c r="AB3" s="74"/>
      <c r="AC3" s="74"/>
    </row>
    <row r="4" spans="1:29" x14ac:dyDescent="0.25">
      <c r="A4" s="8">
        <v>3</v>
      </c>
      <c r="B4" s="174" t="s">
        <v>2317</v>
      </c>
      <c r="C4" s="173" t="s">
        <v>618</v>
      </c>
      <c r="D4" s="147">
        <v>1</v>
      </c>
      <c r="E4" s="148" t="s">
        <v>362</v>
      </c>
      <c r="F4" s="148">
        <v>4</v>
      </c>
      <c r="G4" s="147" t="s">
        <v>244</v>
      </c>
      <c r="H4" s="8">
        <v>50</v>
      </c>
      <c r="I4" s="148">
        <v>38</v>
      </c>
      <c r="J4" s="8">
        <v>5</v>
      </c>
      <c r="K4" s="190">
        <v>828.98470463000001</v>
      </c>
      <c r="L4" s="188">
        <v>883651.690023</v>
      </c>
      <c r="M4" s="147"/>
      <c r="N4" s="147" t="s">
        <v>277</v>
      </c>
      <c r="O4" s="171" t="s">
        <v>246</v>
      </c>
      <c r="P4" s="195">
        <v>44589</v>
      </c>
      <c r="Q4" s="195">
        <v>44589</v>
      </c>
      <c r="R4" s="195">
        <v>44589</v>
      </c>
      <c r="S4" s="36"/>
      <c r="T4" s="83"/>
      <c r="U4" s="84" t="str">
        <f>IF(Harm_prod_stolarnia_kliny[[#This Row],[Data wykonania]]&lt;&gt;0,"WYKONANE","NIEWYKONANE")</f>
        <v>NIEWYKONANE</v>
      </c>
      <c r="V4" s="36"/>
      <c r="W4" s="84"/>
      <c r="X4" s="74"/>
      <c r="Y4" s="74"/>
      <c r="Z4" s="74"/>
      <c r="AA4" s="74"/>
      <c r="AB4" s="74"/>
      <c r="AC4" s="74"/>
    </row>
    <row r="5" spans="1:29" x14ac:dyDescent="0.25">
      <c r="A5" s="36">
        <v>4</v>
      </c>
      <c r="B5" s="187" t="s">
        <v>2317</v>
      </c>
      <c r="C5" s="186" t="s">
        <v>618</v>
      </c>
      <c r="D5" s="183">
        <v>1</v>
      </c>
      <c r="E5" s="148" t="s">
        <v>356</v>
      </c>
      <c r="F5" s="148">
        <v>1</v>
      </c>
      <c r="G5" s="183" t="s">
        <v>244</v>
      </c>
      <c r="H5" s="36">
        <v>50</v>
      </c>
      <c r="I5" s="148">
        <v>38</v>
      </c>
      <c r="J5" s="36">
        <v>5</v>
      </c>
      <c r="K5" s="191">
        <v>828.98338078300003</v>
      </c>
      <c r="L5" s="189">
        <v>883651.35905700002</v>
      </c>
      <c r="M5" s="183"/>
      <c r="N5" s="183" t="s">
        <v>277</v>
      </c>
      <c r="O5" s="193" t="s">
        <v>246</v>
      </c>
      <c r="P5" s="196">
        <v>44589</v>
      </c>
      <c r="Q5" s="195">
        <v>44589</v>
      </c>
      <c r="R5" s="196">
        <v>44589</v>
      </c>
      <c r="S5" s="82"/>
      <c r="T5" s="83"/>
      <c r="U5" s="184" t="str">
        <f>IF(Harm_prod_stolarnia_kliny[[#This Row],[Data wykonania]]&lt;&gt;0,"WYKONANE","NIEWYKONANE")</f>
        <v>NIEWYKONANE</v>
      </c>
      <c r="V5" s="36"/>
      <c r="W5" s="185"/>
    </row>
    <row r="6" spans="1:29" x14ac:dyDescent="0.25">
      <c r="A6" s="36">
        <v>5</v>
      </c>
      <c r="B6" s="187" t="s">
        <v>2298</v>
      </c>
      <c r="C6" s="186" t="s">
        <v>618</v>
      </c>
      <c r="D6" s="183">
        <v>1</v>
      </c>
      <c r="E6" s="148" t="s">
        <v>362</v>
      </c>
      <c r="F6" s="148">
        <v>4</v>
      </c>
      <c r="G6" s="183" t="s">
        <v>244</v>
      </c>
      <c r="H6" s="36">
        <v>50</v>
      </c>
      <c r="I6" s="148">
        <v>38</v>
      </c>
      <c r="J6" s="36">
        <v>5</v>
      </c>
      <c r="K6" s="191">
        <v>828.984705437</v>
      </c>
      <c r="L6" s="189">
        <v>883651.69154200004</v>
      </c>
      <c r="M6" s="183"/>
      <c r="N6" s="183" t="s">
        <v>277</v>
      </c>
      <c r="O6" s="193" t="s">
        <v>246</v>
      </c>
      <c r="P6" s="196">
        <v>44589</v>
      </c>
      <c r="Q6" s="195">
        <v>44589</v>
      </c>
      <c r="R6" s="196">
        <v>44589</v>
      </c>
      <c r="S6" s="82"/>
      <c r="T6" s="83"/>
      <c r="U6" s="184" t="str">
        <f>IF(Harm_prod_stolarnia_kliny[[#This Row],[Data wykonania]]&lt;&gt;0,"WYKONANE","NIEWYKONANE")</f>
        <v>NIEWYKONANE</v>
      </c>
      <c r="V6" s="36"/>
      <c r="W6" s="185"/>
    </row>
    <row r="7" spans="1:29" x14ac:dyDescent="0.25">
      <c r="A7" s="36">
        <v>6</v>
      </c>
      <c r="B7" s="187" t="s">
        <v>2298</v>
      </c>
      <c r="C7" s="186" t="s">
        <v>618</v>
      </c>
      <c r="D7" s="183">
        <v>1</v>
      </c>
      <c r="E7" s="148" t="s">
        <v>356</v>
      </c>
      <c r="F7" s="148">
        <v>1</v>
      </c>
      <c r="G7" s="183" t="s">
        <v>244</v>
      </c>
      <c r="H7" s="36">
        <v>50</v>
      </c>
      <c r="I7" s="148">
        <v>38</v>
      </c>
      <c r="J7" s="36">
        <v>5</v>
      </c>
      <c r="K7" s="191">
        <v>828.98338158900003</v>
      </c>
      <c r="L7" s="189">
        <v>883651.36057699996</v>
      </c>
      <c r="M7" s="183"/>
      <c r="N7" s="183" t="s">
        <v>277</v>
      </c>
      <c r="O7" s="193" t="s">
        <v>246</v>
      </c>
      <c r="P7" s="196">
        <v>44589</v>
      </c>
      <c r="Q7" s="195">
        <v>44589</v>
      </c>
      <c r="R7" s="196">
        <v>44589</v>
      </c>
      <c r="S7" s="82"/>
      <c r="T7" s="83"/>
      <c r="U7" s="184" t="str">
        <f>IF(Harm_prod_stolarnia_kliny[[#This Row],[Data wykonania]]&lt;&gt;0,"WYKONANE","NIEWYKONANE")</f>
        <v>NIEWYKONANE</v>
      </c>
      <c r="V7" s="36"/>
      <c r="W7" s="185"/>
    </row>
    <row r="8" spans="1:29" x14ac:dyDescent="0.25">
      <c r="A8" s="36">
        <v>7</v>
      </c>
      <c r="B8" s="187" t="s">
        <v>2297</v>
      </c>
      <c r="C8" s="186" t="s">
        <v>618</v>
      </c>
      <c r="D8" s="183">
        <v>1</v>
      </c>
      <c r="E8" s="148" t="s">
        <v>362</v>
      </c>
      <c r="F8" s="148">
        <v>4</v>
      </c>
      <c r="G8" s="183" t="s">
        <v>244</v>
      </c>
      <c r="H8" s="36">
        <v>50</v>
      </c>
      <c r="I8" s="148">
        <v>38</v>
      </c>
      <c r="J8" s="36">
        <v>5</v>
      </c>
      <c r="K8" s="191">
        <v>828.984705437</v>
      </c>
      <c r="L8" s="189">
        <v>883651.69154200004</v>
      </c>
      <c r="M8" s="183"/>
      <c r="N8" s="183" t="s">
        <v>277</v>
      </c>
      <c r="O8" s="193" t="s">
        <v>246</v>
      </c>
      <c r="P8" s="196">
        <v>44589</v>
      </c>
      <c r="Q8" s="195">
        <v>44589</v>
      </c>
      <c r="R8" s="196">
        <v>44589</v>
      </c>
      <c r="S8" s="82"/>
      <c r="T8" s="83"/>
      <c r="U8" s="184" t="str">
        <f>IF(Harm_prod_stolarnia_kliny[[#This Row],[Data wykonania]]&lt;&gt;0,"WYKONANE","NIEWYKONANE")</f>
        <v>NIEWYKONANE</v>
      </c>
      <c r="V8" s="36"/>
      <c r="W8" s="185"/>
    </row>
    <row r="9" spans="1:29" x14ac:dyDescent="0.25">
      <c r="A9" s="36">
        <v>8</v>
      </c>
      <c r="B9" s="187" t="s">
        <v>2297</v>
      </c>
      <c r="C9" s="186" t="s">
        <v>618</v>
      </c>
      <c r="D9" s="183">
        <v>1</v>
      </c>
      <c r="E9" s="148" t="s">
        <v>356</v>
      </c>
      <c r="F9" s="148">
        <v>1</v>
      </c>
      <c r="G9" s="183" t="s">
        <v>244</v>
      </c>
      <c r="H9" s="36">
        <v>50</v>
      </c>
      <c r="I9" s="148">
        <v>38</v>
      </c>
      <c r="J9" s="36">
        <v>5</v>
      </c>
      <c r="K9" s="191">
        <v>828.98338158900003</v>
      </c>
      <c r="L9" s="189">
        <v>883651.36057699996</v>
      </c>
      <c r="M9" s="183"/>
      <c r="N9" s="183" t="s">
        <v>277</v>
      </c>
      <c r="O9" s="193" t="s">
        <v>246</v>
      </c>
      <c r="P9" s="196">
        <v>44589</v>
      </c>
      <c r="Q9" s="195">
        <v>44589</v>
      </c>
      <c r="R9" s="196">
        <v>44589</v>
      </c>
      <c r="S9" s="82"/>
      <c r="T9" s="83"/>
      <c r="U9" s="184" t="str">
        <f>IF(Harm_prod_stolarnia_kliny[[#This Row],[Data wykonania]]&lt;&gt;0,"WYKONANE","NIEWYKONANE")</f>
        <v>NIEWYKONANE</v>
      </c>
      <c r="V9" s="36"/>
      <c r="W9" s="185"/>
    </row>
    <row r="10" spans="1:29" x14ac:dyDescent="0.25">
      <c r="A10" s="36">
        <v>9</v>
      </c>
      <c r="B10" s="187" t="s">
        <v>2308</v>
      </c>
      <c r="C10" s="186" t="s">
        <v>618</v>
      </c>
      <c r="D10" s="183">
        <v>1</v>
      </c>
      <c r="E10" s="148" t="s">
        <v>362</v>
      </c>
      <c r="F10" s="148">
        <v>4</v>
      </c>
      <c r="G10" s="183" t="s">
        <v>244</v>
      </c>
      <c r="H10" s="36">
        <v>50</v>
      </c>
      <c r="I10" s="148">
        <v>38</v>
      </c>
      <c r="J10" s="36">
        <v>5</v>
      </c>
      <c r="K10" s="191">
        <v>828.98470543799999</v>
      </c>
      <c r="L10" s="189">
        <v>883651.69154300005</v>
      </c>
      <c r="M10" s="183"/>
      <c r="N10" s="183" t="s">
        <v>277</v>
      </c>
      <c r="O10" s="193" t="s">
        <v>246</v>
      </c>
      <c r="P10" s="196">
        <v>44589</v>
      </c>
      <c r="Q10" s="195">
        <v>44589</v>
      </c>
      <c r="R10" s="196">
        <v>44589</v>
      </c>
      <c r="S10" s="82"/>
      <c r="T10" s="83"/>
      <c r="U10" s="184" t="str">
        <f>IF(Harm_prod_stolarnia_kliny[[#This Row],[Data wykonania]]&lt;&gt;0,"WYKONANE","NIEWYKONANE")</f>
        <v>NIEWYKONANE</v>
      </c>
      <c r="V10" s="36"/>
      <c r="W10" s="185"/>
    </row>
    <row r="11" spans="1:29" x14ac:dyDescent="0.25">
      <c r="A11" s="36">
        <v>10</v>
      </c>
      <c r="B11" s="187" t="s">
        <v>2308</v>
      </c>
      <c r="C11" s="186" t="s">
        <v>618</v>
      </c>
      <c r="D11" s="183">
        <v>1</v>
      </c>
      <c r="E11" s="148" t="s">
        <v>356</v>
      </c>
      <c r="F11" s="148">
        <v>1</v>
      </c>
      <c r="G11" s="183" t="s">
        <v>244</v>
      </c>
      <c r="H11" s="36">
        <v>50</v>
      </c>
      <c r="I11" s="148">
        <v>38</v>
      </c>
      <c r="J11" s="36">
        <v>5</v>
      </c>
      <c r="K11" s="191">
        <v>828.98338159100001</v>
      </c>
      <c r="L11" s="189">
        <v>883651.36057999998</v>
      </c>
      <c r="M11" s="183"/>
      <c r="N11" s="183" t="s">
        <v>277</v>
      </c>
      <c r="O11" s="193" t="s">
        <v>246</v>
      </c>
      <c r="P11" s="196">
        <v>44589</v>
      </c>
      <c r="Q11" s="195">
        <v>44589</v>
      </c>
      <c r="R11" s="196">
        <v>44589</v>
      </c>
      <c r="S11" s="82"/>
      <c r="T11" s="83"/>
      <c r="U11" s="184" t="str">
        <f>IF(Harm_prod_stolarnia_kliny[[#This Row],[Data wykonania]]&lt;&gt;0,"WYKONANE","NIEWYKONANE")</f>
        <v>NIEWYKONANE</v>
      </c>
      <c r="V11" s="36"/>
      <c r="W11" s="185"/>
    </row>
    <row r="12" spans="1:29" x14ac:dyDescent="0.25">
      <c r="A12" s="36">
        <v>11</v>
      </c>
      <c r="B12" s="187" t="s">
        <v>2307</v>
      </c>
      <c r="C12" s="186" t="s">
        <v>618</v>
      </c>
      <c r="D12" s="183">
        <v>1</v>
      </c>
      <c r="E12" s="148" t="s">
        <v>362</v>
      </c>
      <c r="F12" s="148">
        <v>4</v>
      </c>
      <c r="G12" s="183" t="s">
        <v>244</v>
      </c>
      <c r="H12" s="36">
        <v>50</v>
      </c>
      <c r="I12" s="148">
        <v>38</v>
      </c>
      <c r="J12" s="36">
        <v>5</v>
      </c>
      <c r="K12" s="191">
        <v>828.98470543799999</v>
      </c>
      <c r="L12" s="189">
        <v>883651.69154200004</v>
      </c>
      <c r="M12" s="183"/>
      <c r="N12" s="183" t="s">
        <v>277</v>
      </c>
      <c r="O12" s="193" t="s">
        <v>246</v>
      </c>
      <c r="P12" s="196">
        <v>44589</v>
      </c>
      <c r="Q12" s="195">
        <v>44589</v>
      </c>
      <c r="R12" s="196">
        <v>44589</v>
      </c>
      <c r="S12" s="82"/>
      <c r="T12" s="83"/>
      <c r="U12" s="184" t="str">
        <f>IF(Harm_prod_stolarnia_kliny[[#This Row],[Data wykonania]]&lt;&gt;0,"WYKONANE","NIEWYKONANE")</f>
        <v>NIEWYKONANE</v>
      </c>
      <c r="V12" s="36"/>
      <c r="W12" s="185"/>
    </row>
    <row r="13" spans="1:29" x14ac:dyDescent="0.25">
      <c r="A13" s="36">
        <v>12</v>
      </c>
      <c r="B13" s="187" t="s">
        <v>2307</v>
      </c>
      <c r="C13" s="186" t="s">
        <v>618</v>
      </c>
      <c r="D13" s="183">
        <v>1</v>
      </c>
      <c r="E13" s="148" t="s">
        <v>356</v>
      </c>
      <c r="F13" s="148">
        <v>1</v>
      </c>
      <c r="G13" s="183" t="s">
        <v>244</v>
      </c>
      <c r="H13" s="36">
        <v>50</v>
      </c>
      <c r="I13" s="148">
        <v>38</v>
      </c>
      <c r="J13" s="36">
        <v>5</v>
      </c>
      <c r="K13" s="191">
        <v>828.98338159100001</v>
      </c>
      <c r="L13" s="189">
        <v>883651.36057999998</v>
      </c>
      <c r="M13" s="183"/>
      <c r="N13" s="183" t="s">
        <v>277</v>
      </c>
      <c r="O13" s="193" t="s">
        <v>246</v>
      </c>
      <c r="P13" s="196">
        <v>44589</v>
      </c>
      <c r="Q13" s="195">
        <v>44589</v>
      </c>
      <c r="R13" s="196">
        <v>44589</v>
      </c>
      <c r="S13" s="82"/>
      <c r="T13" s="83"/>
      <c r="U13" s="184" t="str">
        <f>IF(Harm_prod_stolarnia_kliny[[#This Row],[Data wykonania]]&lt;&gt;0,"WYKONANE","NIEWYKONANE")</f>
        <v>NIEWYKONANE</v>
      </c>
      <c r="V13" s="36"/>
      <c r="W13" s="185"/>
    </row>
    <row r="14" spans="1:29" x14ac:dyDescent="0.25">
      <c r="A14" s="36">
        <v>13</v>
      </c>
      <c r="B14" s="187" t="s">
        <v>2323</v>
      </c>
      <c r="C14" s="186" t="s">
        <v>618</v>
      </c>
      <c r="D14" s="183">
        <v>1</v>
      </c>
      <c r="E14" s="148" t="s">
        <v>362</v>
      </c>
      <c r="F14" s="148">
        <v>4</v>
      </c>
      <c r="G14" s="183" t="s">
        <v>244</v>
      </c>
      <c r="H14" s="36">
        <v>50</v>
      </c>
      <c r="I14" s="148">
        <v>38</v>
      </c>
      <c r="J14" s="36">
        <v>5</v>
      </c>
      <c r="K14" s="191">
        <v>828.98470544500003</v>
      </c>
      <c r="L14" s="189">
        <v>883651.69155600003</v>
      </c>
      <c r="M14" s="183"/>
      <c r="N14" s="183" t="s">
        <v>277</v>
      </c>
      <c r="O14" s="193" t="s">
        <v>246</v>
      </c>
      <c r="P14" s="196">
        <v>44589</v>
      </c>
      <c r="Q14" s="195">
        <v>44589</v>
      </c>
      <c r="R14" s="196">
        <v>44589</v>
      </c>
      <c r="S14" s="82"/>
      <c r="T14" s="83"/>
      <c r="U14" s="184" t="str">
        <f>IF(Harm_prod_stolarnia_kliny[[#This Row],[Data wykonania]]&lt;&gt;0,"WYKONANE","NIEWYKONANE")</f>
        <v>NIEWYKONANE</v>
      </c>
      <c r="V14" s="36"/>
      <c r="W14" s="185"/>
    </row>
    <row r="15" spans="1:29" x14ac:dyDescent="0.25">
      <c r="A15" s="36">
        <v>14</v>
      </c>
      <c r="B15" s="187" t="s">
        <v>2323</v>
      </c>
      <c r="C15" s="186" t="s">
        <v>618</v>
      </c>
      <c r="D15" s="183">
        <v>1</v>
      </c>
      <c r="E15" s="148" t="s">
        <v>356</v>
      </c>
      <c r="F15" s="148">
        <v>1</v>
      </c>
      <c r="G15" s="183" t="s">
        <v>244</v>
      </c>
      <c r="H15" s="36">
        <v>50</v>
      </c>
      <c r="I15" s="148">
        <v>38</v>
      </c>
      <c r="J15" s="36">
        <v>5</v>
      </c>
      <c r="K15" s="191">
        <v>828.98338159699995</v>
      </c>
      <c r="L15" s="189">
        <v>883651.36059099995</v>
      </c>
      <c r="M15" s="183"/>
      <c r="N15" s="183" t="s">
        <v>277</v>
      </c>
      <c r="O15" s="193" t="s">
        <v>246</v>
      </c>
      <c r="P15" s="196">
        <v>44589</v>
      </c>
      <c r="Q15" s="195">
        <v>44589</v>
      </c>
      <c r="R15" s="196">
        <v>44589</v>
      </c>
      <c r="S15" s="82"/>
      <c r="T15" s="83"/>
      <c r="U15" s="184" t="str">
        <f>IF(Harm_prod_stolarnia_kliny[[#This Row],[Data wykonania]]&lt;&gt;0,"WYKONANE","NIEWYKONANE")</f>
        <v>NIEWYKONANE</v>
      </c>
      <c r="V15" s="36"/>
      <c r="W15" s="185"/>
    </row>
    <row r="16" spans="1:29" x14ac:dyDescent="0.25">
      <c r="A16" s="36">
        <v>15</v>
      </c>
      <c r="B16" s="187" t="s">
        <v>2321</v>
      </c>
      <c r="C16" s="186" t="s">
        <v>618</v>
      </c>
      <c r="D16" s="183">
        <v>1</v>
      </c>
      <c r="E16" s="148" t="s">
        <v>362</v>
      </c>
      <c r="F16" s="148">
        <v>4</v>
      </c>
      <c r="G16" s="183" t="s">
        <v>244</v>
      </c>
      <c r="H16" s="36">
        <v>50</v>
      </c>
      <c r="I16" s="148">
        <v>38</v>
      </c>
      <c r="J16" s="36">
        <v>5</v>
      </c>
      <c r="K16" s="191">
        <v>828.98470544500003</v>
      </c>
      <c r="L16" s="189">
        <v>883651.69155500003</v>
      </c>
      <c r="M16" s="183"/>
      <c r="N16" s="183" t="s">
        <v>277</v>
      </c>
      <c r="O16" s="193" t="s">
        <v>246</v>
      </c>
      <c r="P16" s="196">
        <v>44589</v>
      </c>
      <c r="Q16" s="195">
        <v>44589</v>
      </c>
      <c r="R16" s="196">
        <v>44589</v>
      </c>
      <c r="S16" s="82"/>
      <c r="T16" s="83"/>
      <c r="U16" s="184" t="str">
        <f>IF(Harm_prod_stolarnia_kliny[[#This Row],[Data wykonania]]&lt;&gt;0,"WYKONANE","NIEWYKONANE")</f>
        <v>NIEWYKONANE</v>
      </c>
      <c r="V16" s="36"/>
      <c r="W16" s="185"/>
    </row>
    <row r="17" spans="1:23" x14ac:dyDescent="0.25">
      <c r="A17" s="36">
        <v>16</v>
      </c>
      <c r="B17" s="187" t="s">
        <v>2321</v>
      </c>
      <c r="C17" s="186" t="s">
        <v>618</v>
      </c>
      <c r="D17" s="183">
        <v>1</v>
      </c>
      <c r="E17" s="148" t="s">
        <v>356</v>
      </c>
      <c r="F17" s="148">
        <v>1</v>
      </c>
      <c r="G17" s="183" t="s">
        <v>244</v>
      </c>
      <c r="H17" s="36">
        <v>50</v>
      </c>
      <c r="I17" s="148">
        <v>38</v>
      </c>
      <c r="J17" s="36">
        <v>5</v>
      </c>
      <c r="K17" s="191">
        <v>828.98338159699995</v>
      </c>
      <c r="L17" s="189">
        <v>883651.36059199995</v>
      </c>
      <c r="M17" s="183"/>
      <c r="N17" s="183" t="s">
        <v>277</v>
      </c>
      <c r="O17" s="193" t="s">
        <v>246</v>
      </c>
      <c r="P17" s="196">
        <v>44589</v>
      </c>
      <c r="Q17" s="195">
        <v>44589</v>
      </c>
      <c r="R17" s="196">
        <v>44589</v>
      </c>
      <c r="S17" s="82"/>
      <c r="T17" s="83"/>
      <c r="U17" s="184" t="str">
        <f>IF(Harm_prod_stolarnia_kliny[[#This Row],[Data wykonania]]&lt;&gt;0,"WYKONANE","NIEWYKONANE")</f>
        <v>NIEWYKONANE</v>
      </c>
      <c r="V17" s="36"/>
      <c r="W17" s="185"/>
    </row>
    <row r="18" spans="1:23" x14ac:dyDescent="0.25">
      <c r="A18" s="36">
        <v>17</v>
      </c>
      <c r="B18" s="187" t="s">
        <v>2320</v>
      </c>
      <c r="C18" s="186" t="s">
        <v>618</v>
      </c>
      <c r="D18" s="183">
        <v>1</v>
      </c>
      <c r="E18" s="148" t="s">
        <v>362</v>
      </c>
      <c r="F18" s="148">
        <v>4</v>
      </c>
      <c r="G18" s="183" t="s">
        <v>244</v>
      </c>
      <c r="H18" s="36">
        <v>50</v>
      </c>
      <c r="I18" s="148">
        <v>38</v>
      </c>
      <c r="J18" s="36">
        <v>5</v>
      </c>
      <c r="K18" s="191">
        <v>828.98470544500003</v>
      </c>
      <c r="L18" s="189">
        <v>883651.69155500003</v>
      </c>
      <c r="M18" s="183"/>
      <c r="N18" s="183" t="s">
        <v>277</v>
      </c>
      <c r="O18" s="193" t="s">
        <v>246</v>
      </c>
      <c r="P18" s="196">
        <v>44589</v>
      </c>
      <c r="Q18" s="195">
        <v>44589</v>
      </c>
      <c r="R18" s="196">
        <v>44589</v>
      </c>
      <c r="S18" s="82"/>
      <c r="T18" s="83"/>
      <c r="U18" s="184" t="str">
        <f>IF(Harm_prod_stolarnia_kliny[[#This Row],[Data wykonania]]&lt;&gt;0,"WYKONANE","NIEWYKONANE")</f>
        <v>NIEWYKONANE</v>
      </c>
      <c r="V18" s="36"/>
      <c r="W18" s="185"/>
    </row>
    <row r="19" spans="1:23" x14ac:dyDescent="0.25">
      <c r="A19" s="36">
        <v>18</v>
      </c>
      <c r="B19" s="187" t="s">
        <v>2320</v>
      </c>
      <c r="C19" s="186" t="s">
        <v>618</v>
      </c>
      <c r="D19" s="183">
        <v>1</v>
      </c>
      <c r="E19" s="148" t="s">
        <v>356</v>
      </c>
      <c r="F19" s="148">
        <v>1</v>
      </c>
      <c r="G19" s="183" t="s">
        <v>244</v>
      </c>
      <c r="H19" s="36">
        <v>50</v>
      </c>
      <c r="I19" s="148">
        <v>38</v>
      </c>
      <c r="J19" s="36">
        <v>5</v>
      </c>
      <c r="K19" s="191">
        <v>828.98338159699995</v>
      </c>
      <c r="L19" s="189">
        <v>883651.36059099995</v>
      </c>
      <c r="M19" s="183"/>
      <c r="N19" s="183" t="s">
        <v>277</v>
      </c>
      <c r="O19" s="193" t="s">
        <v>246</v>
      </c>
      <c r="P19" s="196">
        <v>44589</v>
      </c>
      <c r="Q19" s="195">
        <v>44589</v>
      </c>
      <c r="R19" s="196">
        <v>44589</v>
      </c>
      <c r="S19" s="82"/>
      <c r="T19" s="83"/>
      <c r="U19" s="184" t="str">
        <f>IF(Harm_prod_stolarnia_kliny[[#This Row],[Data wykonania]]&lt;&gt;0,"WYKONANE","NIEWYKONANE")</f>
        <v>NIEWYKONANE</v>
      </c>
      <c r="V19" s="36"/>
      <c r="W19" s="185"/>
    </row>
    <row r="20" spans="1:23" x14ac:dyDescent="0.25">
      <c r="A20" s="36">
        <v>19</v>
      </c>
      <c r="B20" s="187" t="s">
        <v>2319</v>
      </c>
      <c r="C20" s="186" t="s">
        <v>618</v>
      </c>
      <c r="D20" s="183">
        <v>1</v>
      </c>
      <c r="E20" s="148" t="s">
        <v>362</v>
      </c>
      <c r="F20" s="148">
        <v>4</v>
      </c>
      <c r="G20" s="183" t="s">
        <v>244</v>
      </c>
      <c r="H20" s="36">
        <v>50</v>
      </c>
      <c r="I20" s="148">
        <v>38</v>
      </c>
      <c r="J20" s="36">
        <v>5</v>
      </c>
      <c r="K20" s="191">
        <v>828.98470544500003</v>
      </c>
      <c r="L20" s="189">
        <v>883651.69155400002</v>
      </c>
      <c r="M20" s="183"/>
      <c r="N20" s="183" t="s">
        <v>277</v>
      </c>
      <c r="O20" s="193" t="s">
        <v>246</v>
      </c>
      <c r="P20" s="196">
        <v>44589</v>
      </c>
      <c r="Q20" s="195">
        <v>44589</v>
      </c>
      <c r="R20" s="196">
        <v>44589</v>
      </c>
      <c r="S20" s="82"/>
      <c r="T20" s="83"/>
      <c r="U20" s="184" t="str">
        <f>IF(Harm_prod_stolarnia_kliny[[#This Row],[Data wykonania]]&lt;&gt;0,"WYKONANE","NIEWYKONANE")</f>
        <v>NIEWYKONANE</v>
      </c>
      <c r="V20" s="36"/>
      <c r="W20" s="185"/>
    </row>
    <row r="21" spans="1:23" x14ac:dyDescent="0.25">
      <c r="A21" s="36">
        <v>20</v>
      </c>
      <c r="B21" s="187" t="s">
        <v>2319</v>
      </c>
      <c r="C21" s="186" t="s">
        <v>618</v>
      </c>
      <c r="D21" s="183">
        <v>1</v>
      </c>
      <c r="E21" s="148" t="s">
        <v>356</v>
      </c>
      <c r="F21" s="148">
        <v>1</v>
      </c>
      <c r="G21" s="183" t="s">
        <v>244</v>
      </c>
      <c r="H21" s="36">
        <v>50</v>
      </c>
      <c r="I21" s="148">
        <v>38</v>
      </c>
      <c r="J21" s="36">
        <v>5</v>
      </c>
      <c r="K21" s="191">
        <v>828.98338159699995</v>
      </c>
      <c r="L21" s="189">
        <v>883651.36059099995</v>
      </c>
      <c r="M21" s="183"/>
      <c r="N21" s="183" t="s">
        <v>277</v>
      </c>
      <c r="O21" s="193" t="s">
        <v>246</v>
      </c>
      <c r="P21" s="196">
        <v>44589</v>
      </c>
      <c r="Q21" s="195">
        <v>44589</v>
      </c>
      <c r="R21" s="196">
        <v>44589</v>
      </c>
      <c r="S21" s="82"/>
      <c r="T21" s="83"/>
      <c r="U21" s="184" t="str">
        <f>IF(Harm_prod_stolarnia_kliny[[#This Row],[Data wykonania]]&lt;&gt;0,"WYKONANE","NIEWYKONANE")</f>
        <v>NIEWYKONANE</v>
      </c>
      <c r="V21" s="36"/>
      <c r="W21" s="185"/>
    </row>
    <row r="22" spans="1:23" x14ac:dyDescent="0.25">
      <c r="A22" s="36">
        <v>21</v>
      </c>
      <c r="B22" s="187" t="s">
        <v>2325</v>
      </c>
      <c r="C22" s="186" t="s">
        <v>618</v>
      </c>
      <c r="D22" s="183">
        <v>1</v>
      </c>
      <c r="E22" s="148" t="s">
        <v>347</v>
      </c>
      <c r="F22" s="148">
        <v>1</v>
      </c>
      <c r="G22" s="183" t="s">
        <v>244</v>
      </c>
      <c r="H22" s="36">
        <v>50</v>
      </c>
      <c r="I22" s="148">
        <v>38</v>
      </c>
      <c r="J22" s="36">
        <v>38</v>
      </c>
      <c r="K22" s="191">
        <v>2017.0956064699999</v>
      </c>
      <c r="L22" s="189">
        <v>3795949.9040299999</v>
      </c>
      <c r="M22" s="183"/>
      <c r="N22" s="183" t="s">
        <v>277</v>
      </c>
      <c r="O22" s="193" t="s">
        <v>246</v>
      </c>
      <c r="P22" s="196">
        <v>44589</v>
      </c>
      <c r="Q22" s="195">
        <v>44589</v>
      </c>
      <c r="R22" s="196">
        <v>44589</v>
      </c>
      <c r="S22" s="82"/>
      <c r="T22" s="83"/>
      <c r="U22" s="184" t="str">
        <f>IF(Harm_prod_stolarnia_kliny[[#This Row],[Data wykonania]]&lt;&gt;0,"WYKONANE","NIEWYKONANE")</f>
        <v>NIEWYKONANE</v>
      </c>
      <c r="V22" s="36"/>
      <c r="W22" s="185"/>
    </row>
    <row r="23" spans="1:23" x14ac:dyDescent="0.25">
      <c r="A23" s="36">
        <v>22</v>
      </c>
      <c r="B23" s="187" t="s">
        <v>2324</v>
      </c>
      <c r="C23" s="186" t="s">
        <v>618</v>
      </c>
      <c r="D23" s="183">
        <v>1</v>
      </c>
      <c r="E23" s="148" t="s">
        <v>347</v>
      </c>
      <c r="F23" s="148">
        <v>1</v>
      </c>
      <c r="G23" s="183" t="s">
        <v>244</v>
      </c>
      <c r="H23" s="36">
        <v>50</v>
      </c>
      <c r="I23" s="148">
        <v>38</v>
      </c>
      <c r="J23" s="36">
        <v>38</v>
      </c>
      <c r="K23" s="191">
        <v>2017.0956064699999</v>
      </c>
      <c r="L23" s="189">
        <v>3795949.9040399999</v>
      </c>
      <c r="M23" s="183"/>
      <c r="N23" s="183" t="s">
        <v>277</v>
      </c>
      <c r="O23" s="193" t="s">
        <v>246</v>
      </c>
      <c r="P23" s="196">
        <v>44589</v>
      </c>
      <c r="Q23" s="195">
        <v>44589</v>
      </c>
      <c r="R23" s="196">
        <v>44589</v>
      </c>
      <c r="S23" s="82"/>
      <c r="T23" s="83"/>
      <c r="U23" s="184" t="str">
        <f>IF(Harm_prod_stolarnia_kliny[[#This Row],[Data wykonania]]&lt;&gt;0,"WYKONANE","NIEWYKONANE")</f>
        <v>NIEWYKONANE</v>
      </c>
      <c r="V23" s="36"/>
      <c r="W23" s="185"/>
    </row>
    <row r="24" spans="1:23" x14ac:dyDescent="0.25">
      <c r="A24" s="36">
        <v>23</v>
      </c>
      <c r="B24" s="187" t="s">
        <v>2323</v>
      </c>
      <c r="C24" s="186" t="s">
        <v>618</v>
      </c>
      <c r="D24" s="183">
        <v>1</v>
      </c>
      <c r="E24" s="148" t="s">
        <v>347</v>
      </c>
      <c r="F24" s="148">
        <v>1</v>
      </c>
      <c r="G24" s="183" t="s">
        <v>244</v>
      </c>
      <c r="H24" s="36">
        <v>50</v>
      </c>
      <c r="I24" s="148">
        <v>38</v>
      </c>
      <c r="J24" s="36">
        <v>38</v>
      </c>
      <c r="K24" s="191">
        <v>2017.0956064699999</v>
      </c>
      <c r="L24" s="189">
        <v>3795949.9040399999</v>
      </c>
      <c r="M24" s="183"/>
      <c r="N24" s="183" t="s">
        <v>277</v>
      </c>
      <c r="O24" s="193" t="s">
        <v>246</v>
      </c>
      <c r="P24" s="196">
        <v>44589</v>
      </c>
      <c r="Q24" s="195">
        <v>44589</v>
      </c>
      <c r="R24" s="196">
        <v>44589</v>
      </c>
      <c r="S24" s="82"/>
      <c r="T24" s="83"/>
      <c r="U24" s="184" t="str">
        <f>IF(Harm_prod_stolarnia_kliny[[#This Row],[Data wykonania]]&lt;&gt;0,"WYKONANE","NIEWYKONANE")</f>
        <v>NIEWYKONANE</v>
      </c>
      <c r="V24" s="36"/>
      <c r="W24" s="185"/>
    </row>
    <row r="25" spans="1:23" x14ac:dyDescent="0.25">
      <c r="A25" s="36">
        <v>24</v>
      </c>
      <c r="B25" s="187" t="s">
        <v>2322</v>
      </c>
      <c r="C25" s="186" t="s">
        <v>618</v>
      </c>
      <c r="D25" s="183">
        <v>1</v>
      </c>
      <c r="E25" s="148" t="s">
        <v>347</v>
      </c>
      <c r="F25" s="148">
        <v>1</v>
      </c>
      <c r="G25" s="183" t="s">
        <v>244</v>
      </c>
      <c r="H25" s="36">
        <v>50</v>
      </c>
      <c r="I25" s="148">
        <v>38</v>
      </c>
      <c r="J25" s="36">
        <v>38</v>
      </c>
      <c r="K25" s="191">
        <v>2017.0956064699999</v>
      </c>
      <c r="L25" s="189">
        <v>3795949.9040399999</v>
      </c>
      <c r="M25" s="183"/>
      <c r="N25" s="183" t="s">
        <v>277</v>
      </c>
      <c r="O25" s="193" t="s">
        <v>246</v>
      </c>
      <c r="P25" s="196">
        <v>44589</v>
      </c>
      <c r="Q25" s="195">
        <v>44589</v>
      </c>
      <c r="R25" s="196">
        <v>44589</v>
      </c>
      <c r="S25" s="82"/>
      <c r="T25" s="83"/>
      <c r="U25" s="184" t="str">
        <f>IF(Harm_prod_stolarnia_kliny[[#This Row],[Data wykonania]]&lt;&gt;0,"WYKONANE","NIEWYKONANE")</f>
        <v>NIEWYKONANE</v>
      </c>
      <c r="V25" s="36"/>
      <c r="W25" s="185"/>
    </row>
    <row r="26" spans="1:23" x14ac:dyDescent="0.25">
      <c r="A26" s="36">
        <v>25</v>
      </c>
      <c r="B26" s="187" t="s">
        <v>2321</v>
      </c>
      <c r="C26" s="186" t="s">
        <v>618</v>
      </c>
      <c r="D26" s="183">
        <v>1</v>
      </c>
      <c r="E26" s="148" t="s">
        <v>347</v>
      </c>
      <c r="F26" s="148">
        <v>1</v>
      </c>
      <c r="G26" s="183" t="s">
        <v>244</v>
      </c>
      <c r="H26" s="36">
        <v>50</v>
      </c>
      <c r="I26" s="148">
        <v>38</v>
      </c>
      <c r="J26" s="36">
        <v>38</v>
      </c>
      <c r="K26" s="191">
        <v>2017.0956064699999</v>
      </c>
      <c r="L26" s="189">
        <v>3795949.9040399999</v>
      </c>
      <c r="M26" s="183"/>
      <c r="N26" s="183" t="s">
        <v>277</v>
      </c>
      <c r="O26" s="193" t="s">
        <v>246</v>
      </c>
      <c r="P26" s="196">
        <v>44589</v>
      </c>
      <c r="Q26" s="195">
        <v>44589</v>
      </c>
      <c r="R26" s="196">
        <v>44589</v>
      </c>
      <c r="S26" s="82"/>
      <c r="T26" s="83"/>
      <c r="U26" s="184" t="str">
        <f>IF(Harm_prod_stolarnia_kliny[[#This Row],[Data wykonania]]&lt;&gt;0,"WYKONANE","NIEWYKONANE")</f>
        <v>NIEWYKONANE</v>
      </c>
      <c r="V26" s="36"/>
      <c r="W26" s="185"/>
    </row>
    <row r="27" spans="1:23" x14ac:dyDescent="0.25">
      <c r="A27" s="36">
        <v>26</v>
      </c>
      <c r="B27" s="187" t="s">
        <v>2320</v>
      </c>
      <c r="C27" s="186" t="s">
        <v>618</v>
      </c>
      <c r="D27" s="183">
        <v>1</v>
      </c>
      <c r="E27" s="148" t="s">
        <v>347</v>
      </c>
      <c r="F27" s="148">
        <v>1</v>
      </c>
      <c r="G27" s="183" t="s">
        <v>244</v>
      </c>
      <c r="H27" s="36">
        <v>50</v>
      </c>
      <c r="I27" s="148">
        <v>38</v>
      </c>
      <c r="J27" s="36">
        <v>38</v>
      </c>
      <c r="K27" s="191">
        <v>2017.0956064699999</v>
      </c>
      <c r="L27" s="189">
        <v>3795949.9040399999</v>
      </c>
      <c r="M27" s="183"/>
      <c r="N27" s="183" t="s">
        <v>277</v>
      </c>
      <c r="O27" s="193" t="s">
        <v>246</v>
      </c>
      <c r="P27" s="196">
        <v>44589</v>
      </c>
      <c r="Q27" s="195">
        <v>44589</v>
      </c>
      <c r="R27" s="196">
        <v>44589</v>
      </c>
      <c r="S27" s="82"/>
      <c r="T27" s="83"/>
      <c r="U27" s="184" t="str">
        <f>IF(Harm_prod_stolarnia_kliny[[#This Row],[Data wykonania]]&lt;&gt;0,"WYKONANE","NIEWYKONANE")</f>
        <v>NIEWYKONANE</v>
      </c>
      <c r="V27" s="36"/>
      <c r="W27" s="185"/>
    </row>
    <row r="28" spans="1:23" x14ac:dyDescent="0.25">
      <c r="A28" s="36">
        <v>27</v>
      </c>
      <c r="B28" s="187" t="s">
        <v>2319</v>
      </c>
      <c r="C28" s="186" t="s">
        <v>618</v>
      </c>
      <c r="D28" s="183">
        <v>1</v>
      </c>
      <c r="E28" s="148" t="s">
        <v>347</v>
      </c>
      <c r="F28" s="148">
        <v>1</v>
      </c>
      <c r="G28" s="183" t="s">
        <v>244</v>
      </c>
      <c r="H28" s="36">
        <v>50</v>
      </c>
      <c r="I28" s="148">
        <v>38</v>
      </c>
      <c r="J28" s="36">
        <v>38</v>
      </c>
      <c r="K28" s="191">
        <v>2017.0956064699999</v>
      </c>
      <c r="L28" s="189">
        <v>3795949.9040399999</v>
      </c>
      <c r="M28" s="183"/>
      <c r="N28" s="183" t="s">
        <v>277</v>
      </c>
      <c r="O28" s="193" t="s">
        <v>246</v>
      </c>
      <c r="P28" s="196">
        <v>44589</v>
      </c>
      <c r="Q28" s="195">
        <v>44589</v>
      </c>
      <c r="R28" s="196">
        <v>44589</v>
      </c>
      <c r="S28" s="82"/>
      <c r="T28" s="83"/>
      <c r="U28" s="184" t="str">
        <f>IF(Harm_prod_stolarnia_kliny[[#This Row],[Data wykonania]]&lt;&gt;0,"WYKONANE","NIEWYKONANE")</f>
        <v>NIEWYKONANE</v>
      </c>
      <c r="V28" s="36"/>
      <c r="W28" s="185"/>
    </row>
    <row r="29" spans="1:23" x14ac:dyDescent="0.25">
      <c r="A29" s="36">
        <v>28</v>
      </c>
      <c r="B29" s="187" t="s">
        <v>2318</v>
      </c>
      <c r="C29" s="186" t="s">
        <v>618</v>
      </c>
      <c r="D29" s="183">
        <v>1</v>
      </c>
      <c r="E29" s="148" t="s">
        <v>347</v>
      </c>
      <c r="F29" s="148">
        <v>1</v>
      </c>
      <c r="G29" s="183" t="s">
        <v>244</v>
      </c>
      <c r="H29" s="36">
        <v>50</v>
      </c>
      <c r="I29" s="148">
        <v>38</v>
      </c>
      <c r="J29" s="36">
        <v>38</v>
      </c>
      <c r="K29" s="191">
        <v>2017.0956064699999</v>
      </c>
      <c r="L29" s="189">
        <v>3795949.9040399999</v>
      </c>
      <c r="M29" s="183"/>
      <c r="N29" s="183" t="s">
        <v>277</v>
      </c>
      <c r="O29" s="193" t="s">
        <v>246</v>
      </c>
      <c r="P29" s="196">
        <v>44589</v>
      </c>
      <c r="Q29" s="195">
        <v>44589</v>
      </c>
      <c r="R29" s="196">
        <v>44589</v>
      </c>
      <c r="S29" s="82"/>
      <c r="T29" s="83"/>
      <c r="U29" s="184" t="str">
        <f>IF(Harm_prod_stolarnia_kliny[[#This Row],[Data wykonania]]&lt;&gt;0,"WYKONANE","NIEWYKONANE")</f>
        <v>NIEWYKONANE</v>
      </c>
      <c r="V29" s="36"/>
      <c r="W29" s="185"/>
    </row>
    <row r="30" spans="1:23" x14ac:dyDescent="0.25">
      <c r="A30" s="36">
        <v>29</v>
      </c>
      <c r="B30" s="187" t="s">
        <v>2317</v>
      </c>
      <c r="C30" s="186" t="s">
        <v>618</v>
      </c>
      <c r="D30" s="183">
        <v>1</v>
      </c>
      <c r="E30" s="148" t="s">
        <v>347</v>
      </c>
      <c r="F30" s="148">
        <v>1</v>
      </c>
      <c r="G30" s="183" t="s">
        <v>244</v>
      </c>
      <c r="H30" s="36">
        <v>50</v>
      </c>
      <c r="I30" s="148">
        <v>38</v>
      </c>
      <c r="J30" s="36">
        <v>38</v>
      </c>
      <c r="K30" s="191">
        <v>2017.0956064699999</v>
      </c>
      <c r="L30" s="189">
        <v>3795949.9040399999</v>
      </c>
      <c r="M30" s="183"/>
      <c r="N30" s="183" t="s">
        <v>277</v>
      </c>
      <c r="O30" s="193" t="s">
        <v>246</v>
      </c>
      <c r="P30" s="196">
        <v>44589</v>
      </c>
      <c r="Q30" s="195">
        <v>44589</v>
      </c>
      <c r="R30" s="196">
        <v>44589</v>
      </c>
      <c r="S30" s="82"/>
      <c r="T30" s="83"/>
      <c r="U30" s="184" t="str">
        <f>IF(Harm_prod_stolarnia_kliny[[#This Row],[Data wykonania]]&lt;&gt;0,"WYKONANE","NIEWYKONANE")</f>
        <v>NIEWYKONANE</v>
      </c>
      <c r="V30" s="36"/>
      <c r="W30" s="185"/>
    </row>
    <row r="31" spans="1:23" x14ac:dyDescent="0.25">
      <c r="A31" s="36">
        <v>30</v>
      </c>
      <c r="B31" s="187" t="s">
        <v>2316</v>
      </c>
      <c r="C31" s="186" t="s">
        <v>618</v>
      </c>
      <c r="D31" s="183">
        <v>1</v>
      </c>
      <c r="E31" s="148" t="s">
        <v>347</v>
      </c>
      <c r="F31" s="148">
        <v>1</v>
      </c>
      <c r="G31" s="183" t="s">
        <v>244</v>
      </c>
      <c r="H31" s="36">
        <v>50</v>
      </c>
      <c r="I31" s="148">
        <v>38</v>
      </c>
      <c r="J31" s="36">
        <v>38</v>
      </c>
      <c r="K31" s="191">
        <v>2017.0956064699999</v>
      </c>
      <c r="L31" s="189">
        <v>3795949.9040399999</v>
      </c>
      <c r="M31" s="183"/>
      <c r="N31" s="183" t="s">
        <v>277</v>
      </c>
      <c r="O31" s="193" t="s">
        <v>246</v>
      </c>
      <c r="P31" s="196">
        <v>44589</v>
      </c>
      <c r="Q31" s="195">
        <v>44589</v>
      </c>
      <c r="R31" s="196">
        <v>44589</v>
      </c>
      <c r="S31" s="82"/>
      <c r="T31" s="83"/>
      <c r="U31" s="184" t="str">
        <f>IF(Harm_prod_stolarnia_kliny[[#This Row],[Data wykonania]]&lt;&gt;0,"WYKONANE","NIEWYKONANE")</f>
        <v>NIEWYKONANE</v>
      </c>
      <c r="V31" s="36"/>
      <c r="W31" s="185"/>
    </row>
    <row r="32" spans="1:23" x14ac:dyDescent="0.25">
      <c r="A32" s="36">
        <v>31</v>
      </c>
      <c r="B32" s="187" t="s">
        <v>2315</v>
      </c>
      <c r="C32" s="186" t="s">
        <v>618</v>
      </c>
      <c r="D32" s="183">
        <v>1</v>
      </c>
      <c r="E32" s="148" t="s">
        <v>347</v>
      </c>
      <c r="F32" s="148">
        <v>1</v>
      </c>
      <c r="G32" s="183" t="s">
        <v>244</v>
      </c>
      <c r="H32" s="36">
        <v>50</v>
      </c>
      <c r="I32" s="148">
        <v>38</v>
      </c>
      <c r="J32" s="36">
        <v>38</v>
      </c>
      <c r="K32" s="191">
        <v>2017.0956064699999</v>
      </c>
      <c r="L32" s="189">
        <v>3795949.9040399999</v>
      </c>
      <c r="M32" s="183"/>
      <c r="N32" s="183" t="s">
        <v>277</v>
      </c>
      <c r="O32" s="193" t="s">
        <v>246</v>
      </c>
      <c r="P32" s="196">
        <v>44589</v>
      </c>
      <c r="Q32" s="195">
        <v>44589</v>
      </c>
      <c r="R32" s="196">
        <v>44589</v>
      </c>
      <c r="S32" s="82"/>
      <c r="T32" s="83"/>
      <c r="U32" s="184" t="str">
        <f>IF(Harm_prod_stolarnia_kliny[[#This Row],[Data wykonania]]&lt;&gt;0,"WYKONANE","NIEWYKONANE")</f>
        <v>NIEWYKONANE</v>
      </c>
      <c r="V32" s="36"/>
      <c r="W32" s="185"/>
    </row>
    <row r="33" spans="1:23" x14ac:dyDescent="0.25">
      <c r="A33" s="36">
        <v>32</v>
      </c>
      <c r="B33" s="187" t="s">
        <v>2314</v>
      </c>
      <c r="C33" s="186" t="s">
        <v>618</v>
      </c>
      <c r="D33" s="183">
        <v>1</v>
      </c>
      <c r="E33" s="148" t="s">
        <v>347</v>
      </c>
      <c r="F33" s="148">
        <v>1</v>
      </c>
      <c r="G33" s="183" t="s">
        <v>244</v>
      </c>
      <c r="H33" s="36">
        <v>50</v>
      </c>
      <c r="I33" s="148">
        <v>38</v>
      </c>
      <c r="J33" s="36">
        <v>38</v>
      </c>
      <c r="K33" s="191">
        <v>2017.0956064699999</v>
      </c>
      <c r="L33" s="189">
        <v>3795949.9040399999</v>
      </c>
      <c r="M33" s="183"/>
      <c r="N33" s="183" t="s">
        <v>277</v>
      </c>
      <c r="O33" s="193" t="s">
        <v>246</v>
      </c>
      <c r="P33" s="196">
        <v>44589</v>
      </c>
      <c r="Q33" s="195">
        <v>44589</v>
      </c>
      <c r="R33" s="196">
        <v>44589</v>
      </c>
      <c r="S33" s="82"/>
      <c r="T33" s="83"/>
      <c r="U33" s="184" t="str">
        <f>IF(Harm_prod_stolarnia_kliny[[#This Row],[Data wykonania]]&lt;&gt;0,"WYKONANE","NIEWYKONANE")</f>
        <v>NIEWYKONANE</v>
      </c>
      <c r="V33" s="36"/>
      <c r="W33" s="185"/>
    </row>
    <row r="34" spans="1:23" x14ac:dyDescent="0.25">
      <c r="A34" s="36">
        <v>33</v>
      </c>
      <c r="B34" s="187" t="s">
        <v>2313</v>
      </c>
      <c r="C34" s="186" t="s">
        <v>618</v>
      </c>
      <c r="D34" s="183">
        <v>1</v>
      </c>
      <c r="E34" s="148" t="s">
        <v>347</v>
      </c>
      <c r="F34" s="148">
        <v>1</v>
      </c>
      <c r="G34" s="183" t="s">
        <v>244</v>
      </c>
      <c r="H34" s="36">
        <v>50</v>
      </c>
      <c r="I34" s="148">
        <v>38</v>
      </c>
      <c r="J34" s="36">
        <v>38</v>
      </c>
      <c r="K34" s="191">
        <v>2017.0956064699999</v>
      </c>
      <c r="L34" s="189">
        <v>3795949.9040399999</v>
      </c>
      <c r="M34" s="183"/>
      <c r="N34" s="183" t="s">
        <v>277</v>
      </c>
      <c r="O34" s="193" t="s">
        <v>246</v>
      </c>
      <c r="P34" s="196">
        <v>44589</v>
      </c>
      <c r="Q34" s="195">
        <v>44589</v>
      </c>
      <c r="R34" s="196">
        <v>44589</v>
      </c>
      <c r="S34" s="82"/>
      <c r="T34" s="83"/>
      <c r="U34" s="184" t="str">
        <f>IF(Harm_prod_stolarnia_kliny[[#This Row],[Data wykonania]]&lt;&gt;0,"WYKONANE","NIEWYKONANE")</f>
        <v>NIEWYKONANE</v>
      </c>
      <c r="V34" s="36"/>
      <c r="W34" s="185"/>
    </row>
    <row r="35" spans="1:23" x14ac:dyDescent="0.25">
      <c r="A35" s="36">
        <v>34</v>
      </c>
      <c r="B35" s="187" t="s">
        <v>2312</v>
      </c>
      <c r="C35" s="186" t="s">
        <v>618</v>
      </c>
      <c r="D35" s="183">
        <v>1</v>
      </c>
      <c r="E35" s="148" t="s">
        <v>347</v>
      </c>
      <c r="F35" s="148">
        <v>1</v>
      </c>
      <c r="G35" s="183" t="s">
        <v>244</v>
      </c>
      <c r="H35" s="36">
        <v>50</v>
      </c>
      <c r="I35" s="148">
        <v>38</v>
      </c>
      <c r="J35" s="36">
        <v>38</v>
      </c>
      <c r="K35" s="191">
        <v>2017.0956064699999</v>
      </c>
      <c r="L35" s="189">
        <v>3795949.9040399999</v>
      </c>
      <c r="M35" s="183"/>
      <c r="N35" s="183" t="s">
        <v>277</v>
      </c>
      <c r="O35" s="193" t="s">
        <v>246</v>
      </c>
      <c r="P35" s="196">
        <v>44589</v>
      </c>
      <c r="Q35" s="195">
        <v>44589</v>
      </c>
      <c r="R35" s="196">
        <v>44589</v>
      </c>
      <c r="S35" s="82"/>
      <c r="T35" s="83"/>
      <c r="U35" s="184" t="str">
        <f>IF(Harm_prod_stolarnia_kliny[[#This Row],[Data wykonania]]&lt;&gt;0,"WYKONANE","NIEWYKONANE")</f>
        <v>NIEWYKONANE</v>
      </c>
      <c r="V35" s="36"/>
      <c r="W35" s="185"/>
    </row>
    <row r="36" spans="1:23" x14ac:dyDescent="0.25">
      <c r="A36" s="36">
        <v>35</v>
      </c>
      <c r="B36" s="187" t="s">
        <v>2311</v>
      </c>
      <c r="C36" s="186" t="s">
        <v>618</v>
      </c>
      <c r="D36" s="183">
        <v>1</v>
      </c>
      <c r="E36" s="148" t="s">
        <v>347</v>
      </c>
      <c r="F36" s="148">
        <v>1</v>
      </c>
      <c r="G36" s="183" t="s">
        <v>244</v>
      </c>
      <c r="H36" s="36">
        <v>50</v>
      </c>
      <c r="I36" s="148">
        <v>38</v>
      </c>
      <c r="J36" s="36">
        <v>38</v>
      </c>
      <c r="K36" s="191">
        <v>2017.0956064699999</v>
      </c>
      <c r="L36" s="189">
        <v>3795949.9040399999</v>
      </c>
      <c r="M36" s="183"/>
      <c r="N36" s="183" t="s">
        <v>277</v>
      </c>
      <c r="O36" s="193" t="s">
        <v>246</v>
      </c>
      <c r="P36" s="196">
        <v>44589</v>
      </c>
      <c r="Q36" s="195">
        <v>44589</v>
      </c>
      <c r="R36" s="196">
        <v>44589</v>
      </c>
      <c r="S36" s="82"/>
      <c r="T36" s="83"/>
      <c r="U36" s="184" t="str">
        <f>IF(Harm_prod_stolarnia_kliny[[#This Row],[Data wykonania]]&lt;&gt;0,"WYKONANE","NIEWYKONANE")</f>
        <v>NIEWYKONANE</v>
      </c>
      <c r="V36" s="36"/>
      <c r="W36" s="185"/>
    </row>
    <row r="37" spans="1:23" x14ac:dyDescent="0.25">
      <c r="A37" s="36">
        <v>36</v>
      </c>
      <c r="B37" s="187" t="s">
        <v>2310</v>
      </c>
      <c r="C37" s="186" t="s">
        <v>618</v>
      </c>
      <c r="D37" s="183">
        <v>1</v>
      </c>
      <c r="E37" s="148" t="s">
        <v>347</v>
      </c>
      <c r="F37" s="148">
        <v>1</v>
      </c>
      <c r="G37" s="183" t="s">
        <v>244</v>
      </c>
      <c r="H37" s="36">
        <v>50</v>
      </c>
      <c r="I37" s="148">
        <v>38</v>
      </c>
      <c r="J37" s="36">
        <v>38</v>
      </c>
      <c r="K37" s="191">
        <v>2017.0956064699999</v>
      </c>
      <c r="L37" s="189">
        <v>3795949.9040399999</v>
      </c>
      <c r="M37" s="183"/>
      <c r="N37" s="183" t="s">
        <v>277</v>
      </c>
      <c r="O37" s="193" t="s">
        <v>246</v>
      </c>
      <c r="P37" s="196">
        <v>44589</v>
      </c>
      <c r="Q37" s="195">
        <v>44589</v>
      </c>
      <c r="R37" s="196">
        <v>44589</v>
      </c>
      <c r="S37" s="82"/>
      <c r="T37" s="83"/>
      <c r="U37" s="184" t="str">
        <f>IF(Harm_prod_stolarnia_kliny[[#This Row],[Data wykonania]]&lt;&gt;0,"WYKONANE","NIEWYKONANE")</f>
        <v>NIEWYKONANE</v>
      </c>
      <c r="V37" s="36"/>
      <c r="W37" s="185"/>
    </row>
    <row r="38" spans="1:23" x14ac:dyDescent="0.25">
      <c r="A38" s="36">
        <v>37</v>
      </c>
      <c r="B38" s="187" t="s">
        <v>2309</v>
      </c>
      <c r="C38" s="186" t="s">
        <v>618</v>
      </c>
      <c r="D38" s="183">
        <v>1</v>
      </c>
      <c r="E38" s="148" t="s">
        <v>347</v>
      </c>
      <c r="F38" s="148">
        <v>1</v>
      </c>
      <c r="G38" s="183" t="s">
        <v>244</v>
      </c>
      <c r="H38" s="36">
        <v>50</v>
      </c>
      <c r="I38" s="148">
        <v>38</v>
      </c>
      <c r="J38" s="36">
        <v>38</v>
      </c>
      <c r="K38" s="191">
        <v>2017.0956064699999</v>
      </c>
      <c r="L38" s="189">
        <v>3795949.9040399999</v>
      </c>
      <c r="M38" s="183"/>
      <c r="N38" s="183" t="s">
        <v>277</v>
      </c>
      <c r="O38" s="193" t="s">
        <v>246</v>
      </c>
      <c r="P38" s="196">
        <v>44589</v>
      </c>
      <c r="Q38" s="195">
        <v>44589</v>
      </c>
      <c r="R38" s="196">
        <v>44589</v>
      </c>
      <c r="S38" s="82"/>
      <c r="T38" s="83"/>
      <c r="U38" s="184" t="str">
        <f>IF(Harm_prod_stolarnia_kliny[[#This Row],[Data wykonania]]&lt;&gt;0,"WYKONANE","NIEWYKONANE")</f>
        <v>NIEWYKONANE</v>
      </c>
      <c r="V38" s="36"/>
      <c r="W38" s="185"/>
    </row>
    <row r="39" spans="1:23" x14ac:dyDescent="0.25">
      <c r="A39" s="36">
        <v>38</v>
      </c>
      <c r="B39" s="187" t="s">
        <v>2308</v>
      </c>
      <c r="C39" s="186" t="s">
        <v>618</v>
      </c>
      <c r="D39" s="183">
        <v>1</v>
      </c>
      <c r="E39" s="148" t="s">
        <v>347</v>
      </c>
      <c r="F39" s="148">
        <v>1</v>
      </c>
      <c r="G39" s="183" t="s">
        <v>244</v>
      </c>
      <c r="H39" s="36">
        <v>50</v>
      </c>
      <c r="I39" s="148">
        <v>38</v>
      </c>
      <c r="J39" s="36">
        <v>38</v>
      </c>
      <c r="K39" s="191">
        <v>2017.0956064699999</v>
      </c>
      <c r="L39" s="189">
        <v>3795949.9040399999</v>
      </c>
      <c r="M39" s="183"/>
      <c r="N39" s="183" t="s">
        <v>277</v>
      </c>
      <c r="O39" s="193" t="s">
        <v>246</v>
      </c>
      <c r="P39" s="196">
        <v>44589</v>
      </c>
      <c r="Q39" s="195">
        <v>44589</v>
      </c>
      <c r="R39" s="196">
        <v>44589</v>
      </c>
      <c r="S39" s="82"/>
      <c r="T39" s="83"/>
      <c r="U39" s="184" t="str">
        <f>IF(Harm_prod_stolarnia_kliny[[#This Row],[Data wykonania]]&lt;&gt;0,"WYKONANE","NIEWYKONANE")</f>
        <v>NIEWYKONANE</v>
      </c>
      <c r="V39" s="36"/>
      <c r="W39" s="185"/>
    </row>
    <row r="40" spans="1:23" x14ac:dyDescent="0.25">
      <c r="A40" s="36">
        <v>39</v>
      </c>
      <c r="B40" s="187" t="s">
        <v>2307</v>
      </c>
      <c r="C40" s="186" t="s">
        <v>618</v>
      </c>
      <c r="D40" s="183">
        <v>1</v>
      </c>
      <c r="E40" s="148" t="s">
        <v>347</v>
      </c>
      <c r="F40" s="148">
        <v>1</v>
      </c>
      <c r="G40" s="183" t="s">
        <v>244</v>
      </c>
      <c r="H40" s="36">
        <v>50</v>
      </c>
      <c r="I40" s="148">
        <v>38</v>
      </c>
      <c r="J40" s="36">
        <v>38</v>
      </c>
      <c r="K40" s="191">
        <v>2017.0956064699999</v>
      </c>
      <c r="L40" s="189">
        <v>3795949.9040399999</v>
      </c>
      <c r="M40" s="183"/>
      <c r="N40" s="183" t="s">
        <v>277</v>
      </c>
      <c r="O40" s="193" t="s">
        <v>246</v>
      </c>
      <c r="P40" s="196">
        <v>44589</v>
      </c>
      <c r="Q40" s="195">
        <v>44589</v>
      </c>
      <c r="R40" s="196">
        <v>44589</v>
      </c>
      <c r="S40" s="82"/>
      <c r="T40" s="83"/>
      <c r="U40" s="184" t="str">
        <f>IF(Harm_prod_stolarnia_kliny[[#This Row],[Data wykonania]]&lt;&gt;0,"WYKONANE","NIEWYKONANE")</f>
        <v>NIEWYKONANE</v>
      </c>
      <c r="V40" s="36"/>
      <c r="W40" s="185"/>
    </row>
    <row r="41" spans="1:23" x14ac:dyDescent="0.25">
      <c r="A41" s="36">
        <v>40</v>
      </c>
      <c r="B41" s="187" t="s">
        <v>2306</v>
      </c>
      <c r="C41" s="186" t="s">
        <v>618</v>
      </c>
      <c r="D41" s="183">
        <v>1</v>
      </c>
      <c r="E41" s="148" t="s">
        <v>347</v>
      </c>
      <c r="F41" s="148">
        <v>1</v>
      </c>
      <c r="G41" s="183" t="s">
        <v>244</v>
      </c>
      <c r="H41" s="36">
        <v>50</v>
      </c>
      <c r="I41" s="148">
        <v>38</v>
      </c>
      <c r="J41" s="36">
        <v>38</v>
      </c>
      <c r="K41" s="191">
        <v>2017.0956064699999</v>
      </c>
      <c r="L41" s="189">
        <v>3795949.9040399999</v>
      </c>
      <c r="M41" s="183"/>
      <c r="N41" s="183" t="s">
        <v>277</v>
      </c>
      <c r="O41" s="193" t="s">
        <v>246</v>
      </c>
      <c r="P41" s="196">
        <v>44589</v>
      </c>
      <c r="Q41" s="195">
        <v>44589</v>
      </c>
      <c r="R41" s="196">
        <v>44589</v>
      </c>
      <c r="S41" s="82"/>
      <c r="T41" s="83"/>
      <c r="U41" s="184" t="str">
        <f>IF(Harm_prod_stolarnia_kliny[[#This Row],[Data wykonania]]&lt;&gt;0,"WYKONANE","NIEWYKONANE")</f>
        <v>NIEWYKONANE</v>
      </c>
      <c r="V41" s="36"/>
      <c r="W41" s="185"/>
    </row>
    <row r="42" spans="1:23" x14ac:dyDescent="0.25">
      <c r="A42" s="36">
        <v>41</v>
      </c>
      <c r="B42" s="187" t="s">
        <v>2305</v>
      </c>
      <c r="C42" s="186" t="s">
        <v>618</v>
      </c>
      <c r="D42" s="183">
        <v>1</v>
      </c>
      <c r="E42" s="148" t="s">
        <v>347</v>
      </c>
      <c r="F42" s="148">
        <v>1</v>
      </c>
      <c r="G42" s="183" t="s">
        <v>244</v>
      </c>
      <c r="H42" s="36">
        <v>50</v>
      </c>
      <c r="I42" s="148">
        <v>38</v>
      </c>
      <c r="J42" s="36">
        <v>38</v>
      </c>
      <c r="K42" s="191">
        <v>2017.0956064699999</v>
      </c>
      <c r="L42" s="189">
        <v>3795949.9040399999</v>
      </c>
      <c r="M42" s="183"/>
      <c r="N42" s="183" t="s">
        <v>277</v>
      </c>
      <c r="O42" s="193" t="s">
        <v>246</v>
      </c>
      <c r="P42" s="196">
        <v>44589</v>
      </c>
      <c r="Q42" s="195">
        <v>44589</v>
      </c>
      <c r="R42" s="196">
        <v>44589</v>
      </c>
      <c r="S42" s="82"/>
      <c r="T42" s="83"/>
      <c r="U42" s="184" t="str">
        <f>IF(Harm_prod_stolarnia_kliny[[#This Row],[Data wykonania]]&lt;&gt;0,"WYKONANE","NIEWYKONANE")</f>
        <v>NIEWYKONANE</v>
      </c>
      <c r="V42" s="36"/>
      <c r="W42" s="185"/>
    </row>
    <row r="43" spans="1:23" x14ac:dyDescent="0.25">
      <c r="A43" s="36">
        <v>42</v>
      </c>
      <c r="B43" s="187" t="s">
        <v>2304</v>
      </c>
      <c r="C43" s="186" t="s">
        <v>618</v>
      </c>
      <c r="D43" s="183">
        <v>1</v>
      </c>
      <c r="E43" s="148" t="s">
        <v>347</v>
      </c>
      <c r="F43" s="148">
        <v>1</v>
      </c>
      <c r="G43" s="183" t="s">
        <v>244</v>
      </c>
      <c r="H43" s="36">
        <v>50</v>
      </c>
      <c r="I43" s="148">
        <v>38</v>
      </c>
      <c r="J43" s="36">
        <v>38</v>
      </c>
      <c r="K43" s="191">
        <v>2017.0956064699999</v>
      </c>
      <c r="L43" s="189">
        <v>3795949.9040399999</v>
      </c>
      <c r="M43" s="183"/>
      <c r="N43" s="183" t="s">
        <v>277</v>
      </c>
      <c r="O43" s="193" t="s">
        <v>246</v>
      </c>
      <c r="P43" s="196">
        <v>44589</v>
      </c>
      <c r="Q43" s="195">
        <v>44589</v>
      </c>
      <c r="R43" s="196">
        <v>44589</v>
      </c>
      <c r="S43" s="82"/>
      <c r="T43" s="83"/>
      <c r="U43" s="184" t="str">
        <f>IF(Harm_prod_stolarnia_kliny[[#This Row],[Data wykonania]]&lt;&gt;0,"WYKONANE","NIEWYKONANE")</f>
        <v>NIEWYKONANE</v>
      </c>
      <c r="V43" s="36"/>
      <c r="W43" s="185"/>
    </row>
    <row r="44" spans="1:23" x14ac:dyDescent="0.25">
      <c r="A44" s="36">
        <v>43</v>
      </c>
      <c r="B44" s="187" t="s">
        <v>2303</v>
      </c>
      <c r="C44" s="186" t="s">
        <v>618</v>
      </c>
      <c r="D44" s="183">
        <v>1</v>
      </c>
      <c r="E44" s="148" t="s">
        <v>347</v>
      </c>
      <c r="F44" s="148">
        <v>1</v>
      </c>
      <c r="G44" s="183" t="s">
        <v>244</v>
      </c>
      <c r="H44" s="36">
        <v>50</v>
      </c>
      <c r="I44" s="148">
        <v>38</v>
      </c>
      <c r="J44" s="36">
        <v>38</v>
      </c>
      <c r="K44" s="191">
        <v>2017.0956064699999</v>
      </c>
      <c r="L44" s="189">
        <v>3795949.9040399999</v>
      </c>
      <c r="M44" s="183"/>
      <c r="N44" s="183" t="s">
        <v>277</v>
      </c>
      <c r="O44" s="193" t="s">
        <v>246</v>
      </c>
      <c r="P44" s="196">
        <v>44589</v>
      </c>
      <c r="Q44" s="195">
        <v>44589</v>
      </c>
      <c r="R44" s="196">
        <v>44589</v>
      </c>
      <c r="S44" s="82"/>
      <c r="T44" s="83"/>
      <c r="U44" s="184" t="str">
        <f>IF(Harm_prod_stolarnia_kliny[[#This Row],[Data wykonania]]&lt;&gt;0,"WYKONANE","NIEWYKONANE")</f>
        <v>NIEWYKONANE</v>
      </c>
      <c r="V44" s="36"/>
      <c r="W44" s="185"/>
    </row>
    <row r="45" spans="1:23" x14ac:dyDescent="0.25">
      <c r="A45" s="36">
        <v>44</v>
      </c>
      <c r="B45" s="187" t="s">
        <v>2302</v>
      </c>
      <c r="C45" s="186" t="s">
        <v>618</v>
      </c>
      <c r="D45" s="183">
        <v>1</v>
      </c>
      <c r="E45" s="148" t="s">
        <v>347</v>
      </c>
      <c r="F45" s="148">
        <v>1</v>
      </c>
      <c r="G45" s="183" t="s">
        <v>244</v>
      </c>
      <c r="H45" s="36">
        <v>50</v>
      </c>
      <c r="I45" s="148">
        <v>38</v>
      </c>
      <c r="J45" s="36">
        <v>38</v>
      </c>
      <c r="K45" s="191">
        <v>2017.0956064699999</v>
      </c>
      <c r="L45" s="189">
        <v>3795949.9040399999</v>
      </c>
      <c r="M45" s="183"/>
      <c r="N45" s="183" t="s">
        <v>277</v>
      </c>
      <c r="O45" s="193" t="s">
        <v>246</v>
      </c>
      <c r="P45" s="196">
        <v>44589</v>
      </c>
      <c r="Q45" s="195">
        <v>44589</v>
      </c>
      <c r="R45" s="196">
        <v>44589</v>
      </c>
      <c r="S45" s="82"/>
      <c r="T45" s="83"/>
      <c r="U45" s="184" t="str">
        <f>IF(Harm_prod_stolarnia_kliny[[#This Row],[Data wykonania]]&lt;&gt;0,"WYKONANE","NIEWYKONANE")</f>
        <v>NIEWYKONANE</v>
      </c>
      <c r="V45" s="36"/>
      <c r="W45" s="185"/>
    </row>
    <row r="46" spans="1:23" x14ac:dyDescent="0.25">
      <c r="A46" s="36">
        <v>45</v>
      </c>
      <c r="B46" s="187" t="s">
        <v>2301</v>
      </c>
      <c r="C46" s="186" t="s">
        <v>618</v>
      </c>
      <c r="D46" s="183">
        <v>1</v>
      </c>
      <c r="E46" s="148" t="s">
        <v>347</v>
      </c>
      <c r="F46" s="148">
        <v>1</v>
      </c>
      <c r="G46" s="183" t="s">
        <v>244</v>
      </c>
      <c r="H46" s="36">
        <v>50</v>
      </c>
      <c r="I46" s="148">
        <v>38</v>
      </c>
      <c r="J46" s="36">
        <v>38</v>
      </c>
      <c r="K46" s="191">
        <v>2017.0956064699999</v>
      </c>
      <c r="L46" s="189">
        <v>3795949.9040399999</v>
      </c>
      <c r="M46" s="183"/>
      <c r="N46" s="183" t="s">
        <v>277</v>
      </c>
      <c r="O46" s="193" t="s">
        <v>246</v>
      </c>
      <c r="P46" s="196">
        <v>44589</v>
      </c>
      <c r="Q46" s="195">
        <v>44589</v>
      </c>
      <c r="R46" s="196">
        <v>44589</v>
      </c>
      <c r="S46" s="82"/>
      <c r="T46" s="83"/>
      <c r="U46" s="184" t="str">
        <f>IF(Harm_prod_stolarnia_kliny[[#This Row],[Data wykonania]]&lt;&gt;0,"WYKONANE","NIEWYKONANE")</f>
        <v>NIEWYKONANE</v>
      </c>
      <c r="V46" s="36"/>
      <c r="W46" s="185"/>
    </row>
    <row r="47" spans="1:23" x14ac:dyDescent="0.25">
      <c r="A47" s="36">
        <v>46</v>
      </c>
      <c r="B47" s="187" t="s">
        <v>2300</v>
      </c>
      <c r="C47" s="186" t="s">
        <v>618</v>
      </c>
      <c r="D47" s="183">
        <v>1</v>
      </c>
      <c r="E47" s="148" t="s">
        <v>347</v>
      </c>
      <c r="F47" s="148">
        <v>1</v>
      </c>
      <c r="G47" s="183" t="s">
        <v>244</v>
      </c>
      <c r="H47" s="36">
        <v>50</v>
      </c>
      <c r="I47" s="148">
        <v>38</v>
      </c>
      <c r="J47" s="36">
        <v>38</v>
      </c>
      <c r="K47" s="191">
        <v>2017.0956064699999</v>
      </c>
      <c r="L47" s="189">
        <v>3795949.9040399999</v>
      </c>
      <c r="M47" s="183"/>
      <c r="N47" s="183" t="s">
        <v>277</v>
      </c>
      <c r="O47" s="193" t="s">
        <v>246</v>
      </c>
      <c r="P47" s="196">
        <v>44589</v>
      </c>
      <c r="Q47" s="195">
        <v>44589</v>
      </c>
      <c r="R47" s="196">
        <v>44589</v>
      </c>
      <c r="S47" s="82"/>
      <c r="T47" s="83"/>
      <c r="U47" s="184" t="str">
        <f>IF(Harm_prod_stolarnia_kliny[[#This Row],[Data wykonania]]&lt;&gt;0,"WYKONANE","NIEWYKONANE")</f>
        <v>NIEWYKONANE</v>
      </c>
      <c r="V47" s="36"/>
      <c r="W47" s="185"/>
    </row>
    <row r="48" spans="1:23" x14ac:dyDescent="0.25">
      <c r="A48" s="36">
        <v>47</v>
      </c>
      <c r="B48" s="187" t="s">
        <v>2299</v>
      </c>
      <c r="C48" s="186" t="s">
        <v>618</v>
      </c>
      <c r="D48" s="183">
        <v>1</v>
      </c>
      <c r="E48" s="148" t="s">
        <v>347</v>
      </c>
      <c r="F48" s="148">
        <v>1</v>
      </c>
      <c r="G48" s="183" t="s">
        <v>244</v>
      </c>
      <c r="H48" s="36">
        <v>50</v>
      </c>
      <c r="I48" s="148">
        <v>38</v>
      </c>
      <c r="J48" s="36">
        <v>38</v>
      </c>
      <c r="K48" s="191">
        <v>2017.0956064699999</v>
      </c>
      <c r="L48" s="189">
        <v>3795949.9040399999</v>
      </c>
      <c r="M48" s="183"/>
      <c r="N48" s="183" t="s">
        <v>277</v>
      </c>
      <c r="O48" s="193" t="s">
        <v>246</v>
      </c>
      <c r="P48" s="196">
        <v>44589</v>
      </c>
      <c r="Q48" s="195">
        <v>44589</v>
      </c>
      <c r="R48" s="196">
        <v>44589</v>
      </c>
      <c r="S48" s="82"/>
      <c r="T48" s="83"/>
      <c r="U48" s="184" t="str">
        <f>IF(Harm_prod_stolarnia_kliny[[#This Row],[Data wykonania]]&lt;&gt;0,"WYKONANE","NIEWYKONANE")</f>
        <v>NIEWYKONANE</v>
      </c>
      <c r="V48" s="36"/>
      <c r="W48" s="185"/>
    </row>
    <row r="49" spans="1:23" x14ac:dyDescent="0.25">
      <c r="A49" s="36">
        <v>48</v>
      </c>
      <c r="B49" s="187" t="s">
        <v>2298</v>
      </c>
      <c r="C49" s="186" t="s">
        <v>618</v>
      </c>
      <c r="D49" s="183">
        <v>1</v>
      </c>
      <c r="E49" s="148" t="s">
        <v>347</v>
      </c>
      <c r="F49" s="148">
        <v>1</v>
      </c>
      <c r="G49" s="183" t="s">
        <v>244</v>
      </c>
      <c r="H49" s="36">
        <v>50</v>
      </c>
      <c r="I49" s="148">
        <v>38</v>
      </c>
      <c r="J49" s="36">
        <v>38</v>
      </c>
      <c r="K49" s="191">
        <v>2017.0956064699999</v>
      </c>
      <c r="L49" s="189">
        <v>3795949.9040399999</v>
      </c>
      <c r="M49" s="183"/>
      <c r="N49" s="183" t="s">
        <v>277</v>
      </c>
      <c r="O49" s="193" t="s">
        <v>246</v>
      </c>
      <c r="P49" s="196">
        <v>44589</v>
      </c>
      <c r="Q49" s="195">
        <v>44589</v>
      </c>
      <c r="R49" s="196">
        <v>44589</v>
      </c>
      <c r="S49" s="82"/>
      <c r="T49" s="83"/>
      <c r="U49" s="184" t="str">
        <f>IF(Harm_prod_stolarnia_kliny[[#This Row],[Data wykonania]]&lt;&gt;0,"WYKONANE","NIEWYKONANE")</f>
        <v>NIEWYKONANE</v>
      </c>
      <c r="V49" s="36"/>
      <c r="W49" s="185"/>
    </row>
    <row r="50" spans="1:23" x14ac:dyDescent="0.25">
      <c r="A50" s="36">
        <v>49</v>
      </c>
      <c r="B50" s="187" t="s">
        <v>2297</v>
      </c>
      <c r="C50" s="186" t="s">
        <v>618</v>
      </c>
      <c r="D50" s="183">
        <v>1</v>
      </c>
      <c r="E50" s="148" t="s">
        <v>347</v>
      </c>
      <c r="F50" s="148">
        <v>1</v>
      </c>
      <c r="G50" s="183" t="s">
        <v>244</v>
      </c>
      <c r="H50" s="36">
        <v>50</v>
      </c>
      <c r="I50" s="148">
        <v>38</v>
      </c>
      <c r="J50" s="36">
        <v>38</v>
      </c>
      <c r="K50" s="191">
        <v>2017.0956064699999</v>
      </c>
      <c r="L50" s="189">
        <v>3795949.9040399999</v>
      </c>
      <c r="M50" s="183"/>
      <c r="N50" s="183" t="s">
        <v>277</v>
      </c>
      <c r="O50" s="193" t="s">
        <v>246</v>
      </c>
      <c r="P50" s="196">
        <v>44589</v>
      </c>
      <c r="Q50" s="195">
        <v>44589</v>
      </c>
      <c r="R50" s="196">
        <v>44589</v>
      </c>
      <c r="S50" s="82"/>
      <c r="T50" s="83"/>
      <c r="U50" s="184" t="str">
        <f>IF(Harm_prod_stolarnia_kliny[[#This Row],[Data wykonania]]&lt;&gt;0,"WYKONANE","NIEWYKONANE")</f>
        <v>NIEWYKONANE</v>
      </c>
      <c r="V50" s="36"/>
      <c r="W50" s="185"/>
    </row>
    <row r="51" spans="1:23" x14ac:dyDescent="0.25">
      <c r="A51" s="36">
        <v>50</v>
      </c>
      <c r="B51" s="187" t="s">
        <v>2296</v>
      </c>
      <c r="C51" s="186" t="s">
        <v>618</v>
      </c>
      <c r="D51" s="183">
        <v>1</v>
      </c>
      <c r="E51" s="148" t="s">
        <v>347</v>
      </c>
      <c r="F51" s="148">
        <v>1</v>
      </c>
      <c r="G51" s="183" t="s">
        <v>244</v>
      </c>
      <c r="H51" s="36">
        <v>50</v>
      </c>
      <c r="I51" s="148">
        <v>38</v>
      </c>
      <c r="J51" s="36">
        <v>38</v>
      </c>
      <c r="K51" s="191">
        <v>2017.0956064699999</v>
      </c>
      <c r="L51" s="189">
        <v>3795949.9040399999</v>
      </c>
      <c r="M51" s="183"/>
      <c r="N51" s="183" t="s">
        <v>277</v>
      </c>
      <c r="O51" s="193" t="s">
        <v>246</v>
      </c>
      <c r="P51" s="196">
        <v>44589</v>
      </c>
      <c r="Q51" s="195">
        <v>44589</v>
      </c>
      <c r="R51" s="196">
        <v>44589</v>
      </c>
      <c r="S51" s="82"/>
      <c r="T51" s="83"/>
      <c r="U51" s="184" t="str">
        <f>IF(Harm_prod_stolarnia_kliny[[#This Row],[Data wykonania]]&lt;&gt;0,"WYKONANE","NIEWYKONANE")</f>
        <v>NIEWYKONANE</v>
      </c>
      <c r="V51" s="36"/>
      <c r="W51" s="185"/>
    </row>
    <row r="52" spans="1:23" x14ac:dyDescent="0.25">
      <c r="A52" s="36">
        <v>51</v>
      </c>
      <c r="B52" s="187" t="s">
        <v>2325</v>
      </c>
      <c r="C52" s="186" t="s">
        <v>618</v>
      </c>
      <c r="D52" s="183">
        <v>1</v>
      </c>
      <c r="E52" s="148" t="s">
        <v>362</v>
      </c>
      <c r="F52" s="148">
        <v>4</v>
      </c>
      <c r="G52" s="183" t="s">
        <v>244</v>
      </c>
      <c r="H52" s="36">
        <v>50</v>
      </c>
      <c r="I52" s="148">
        <v>38</v>
      </c>
      <c r="J52" s="36">
        <v>5</v>
      </c>
      <c r="K52" s="191">
        <v>828.98470544600002</v>
      </c>
      <c r="L52" s="189">
        <v>883651.69155700004</v>
      </c>
      <c r="M52" s="183"/>
      <c r="N52" s="183" t="s">
        <v>277</v>
      </c>
      <c r="O52" s="193" t="s">
        <v>246</v>
      </c>
      <c r="P52" s="196">
        <v>44589</v>
      </c>
      <c r="Q52" s="195">
        <v>44589</v>
      </c>
      <c r="R52" s="196">
        <v>44589</v>
      </c>
      <c r="S52" s="82"/>
      <c r="T52" s="83"/>
      <c r="U52" s="184" t="str">
        <f>IF(Harm_prod_stolarnia_kliny[[#This Row],[Data wykonania]]&lt;&gt;0,"WYKONANE","NIEWYKONANE")</f>
        <v>NIEWYKONANE</v>
      </c>
      <c r="V52" s="36"/>
      <c r="W52" s="185"/>
    </row>
    <row r="53" spans="1:23" x14ac:dyDescent="0.25">
      <c r="A53" s="36">
        <v>52</v>
      </c>
      <c r="B53" s="187" t="s">
        <v>2325</v>
      </c>
      <c r="C53" s="186" t="s">
        <v>618</v>
      </c>
      <c r="D53" s="183">
        <v>1</v>
      </c>
      <c r="E53" s="148" t="s">
        <v>356</v>
      </c>
      <c r="F53" s="148">
        <v>1</v>
      </c>
      <c r="G53" s="183" t="s">
        <v>244</v>
      </c>
      <c r="H53" s="36">
        <v>50</v>
      </c>
      <c r="I53" s="148">
        <v>38</v>
      </c>
      <c r="J53" s="36">
        <v>5</v>
      </c>
      <c r="K53" s="191">
        <v>828.98338159800005</v>
      </c>
      <c r="L53" s="189">
        <v>883651.36059299996</v>
      </c>
      <c r="M53" s="183"/>
      <c r="N53" s="183" t="s">
        <v>277</v>
      </c>
      <c r="O53" s="193" t="s">
        <v>246</v>
      </c>
      <c r="P53" s="196">
        <v>44589</v>
      </c>
      <c r="Q53" s="195">
        <v>44589</v>
      </c>
      <c r="R53" s="196">
        <v>44589</v>
      </c>
      <c r="S53" s="82"/>
      <c r="T53" s="83"/>
      <c r="U53" s="184" t="str">
        <f>IF(Harm_prod_stolarnia_kliny[[#This Row],[Data wykonania]]&lt;&gt;0,"WYKONANE","NIEWYKONANE")</f>
        <v>NIEWYKONANE</v>
      </c>
      <c r="V53" s="36"/>
      <c r="W53" s="185"/>
    </row>
    <row r="54" spans="1:23" x14ac:dyDescent="0.25">
      <c r="A54" s="36">
        <v>53</v>
      </c>
      <c r="B54" s="187" t="s">
        <v>2324</v>
      </c>
      <c r="C54" s="186" t="s">
        <v>618</v>
      </c>
      <c r="D54" s="183">
        <v>1</v>
      </c>
      <c r="E54" s="148" t="s">
        <v>362</v>
      </c>
      <c r="F54" s="148">
        <v>4</v>
      </c>
      <c r="G54" s="183" t="s">
        <v>244</v>
      </c>
      <c r="H54" s="36">
        <v>50</v>
      </c>
      <c r="I54" s="148">
        <v>38</v>
      </c>
      <c r="J54" s="36">
        <v>5</v>
      </c>
      <c r="K54" s="191">
        <v>828.98470544600002</v>
      </c>
      <c r="L54" s="189">
        <v>883651.69155700004</v>
      </c>
      <c r="M54" s="183"/>
      <c r="N54" s="183" t="s">
        <v>277</v>
      </c>
      <c r="O54" s="193" t="s">
        <v>246</v>
      </c>
      <c r="P54" s="196">
        <v>44589</v>
      </c>
      <c r="Q54" s="195">
        <v>44589</v>
      </c>
      <c r="R54" s="196">
        <v>44589</v>
      </c>
      <c r="S54" s="82"/>
      <c r="T54" s="83"/>
      <c r="U54" s="184" t="str">
        <f>IF(Harm_prod_stolarnia_kliny[[#This Row],[Data wykonania]]&lt;&gt;0,"WYKONANE","NIEWYKONANE")</f>
        <v>NIEWYKONANE</v>
      </c>
      <c r="V54" s="36"/>
      <c r="W54" s="185"/>
    </row>
    <row r="55" spans="1:23" x14ac:dyDescent="0.25">
      <c r="A55" s="36">
        <v>54</v>
      </c>
      <c r="B55" s="187" t="s">
        <v>2324</v>
      </c>
      <c r="C55" s="186" t="s">
        <v>618</v>
      </c>
      <c r="D55" s="183">
        <v>1</v>
      </c>
      <c r="E55" s="148" t="s">
        <v>356</v>
      </c>
      <c r="F55" s="148">
        <v>1</v>
      </c>
      <c r="G55" s="183" t="s">
        <v>244</v>
      </c>
      <c r="H55" s="36">
        <v>50</v>
      </c>
      <c r="I55" s="148">
        <v>38</v>
      </c>
      <c r="J55" s="36">
        <v>5</v>
      </c>
      <c r="K55" s="191">
        <v>828.98338159800005</v>
      </c>
      <c r="L55" s="189">
        <v>883651.36059299996</v>
      </c>
      <c r="M55" s="183"/>
      <c r="N55" s="183" t="s">
        <v>277</v>
      </c>
      <c r="O55" s="193" t="s">
        <v>246</v>
      </c>
      <c r="P55" s="196">
        <v>44589</v>
      </c>
      <c r="Q55" s="195">
        <v>44589</v>
      </c>
      <c r="R55" s="196">
        <v>44589</v>
      </c>
      <c r="S55" s="82"/>
      <c r="T55" s="83"/>
      <c r="U55" s="184" t="str">
        <f>IF(Harm_prod_stolarnia_kliny[[#This Row],[Data wykonania]]&lt;&gt;0,"WYKONANE","NIEWYKONANE")</f>
        <v>NIEWYKONANE</v>
      </c>
      <c r="V55" s="36"/>
      <c r="W55" s="185"/>
    </row>
    <row r="56" spans="1:23" x14ac:dyDescent="0.25">
      <c r="A56" s="36">
        <v>55</v>
      </c>
      <c r="B56" s="187" t="s">
        <v>2322</v>
      </c>
      <c r="C56" s="186" t="s">
        <v>618</v>
      </c>
      <c r="D56" s="183">
        <v>1</v>
      </c>
      <c r="E56" s="148" t="s">
        <v>362</v>
      </c>
      <c r="F56" s="148">
        <v>4</v>
      </c>
      <c r="G56" s="183" t="s">
        <v>244</v>
      </c>
      <c r="H56" s="36">
        <v>50</v>
      </c>
      <c r="I56" s="148">
        <v>38</v>
      </c>
      <c r="J56" s="36">
        <v>5</v>
      </c>
      <c r="K56" s="191">
        <v>828.98470544600002</v>
      </c>
      <c r="L56" s="189">
        <v>883651.69155800005</v>
      </c>
      <c r="M56" s="183"/>
      <c r="N56" s="183" t="s">
        <v>277</v>
      </c>
      <c r="O56" s="193" t="s">
        <v>246</v>
      </c>
      <c r="P56" s="196">
        <v>44589</v>
      </c>
      <c r="Q56" s="195">
        <v>44589</v>
      </c>
      <c r="R56" s="196">
        <v>44589</v>
      </c>
      <c r="S56" s="82"/>
      <c r="T56" s="83"/>
      <c r="U56" s="184" t="str">
        <f>IF(Harm_prod_stolarnia_kliny[[#This Row],[Data wykonania]]&lt;&gt;0,"WYKONANE","NIEWYKONANE")</f>
        <v>NIEWYKONANE</v>
      </c>
      <c r="V56" s="36"/>
      <c r="W56" s="185"/>
    </row>
    <row r="57" spans="1:23" x14ac:dyDescent="0.25">
      <c r="A57" s="36">
        <v>56</v>
      </c>
      <c r="B57" s="187" t="s">
        <v>2322</v>
      </c>
      <c r="C57" s="186" t="s">
        <v>618</v>
      </c>
      <c r="D57" s="183">
        <v>1</v>
      </c>
      <c r="E57" s="148" t="s">
        <v>356</v>
      </c>
      <c r="F57" s="148">
        <v>1</v>
      </c>
      <c r="G57" s="183" t="s">
        <v>244</v>
      </c>
      <c r="H57" s="36">
        <v>50</v>
      </c>
      <c r="I57" s="148">
        <v>38</v>
      </c>
      <c r="J57" s="36">
        <v>5</v>
      </c>
      <c r="K57" s="191">
        <v>828.98338159800005</v>
      </c>
      <c r="L57" s="189">
        <v>883651.36059299996</v>
      </c>
      <c r="M57" s="183"/>
      <c r="N57" s="183" t="s">
        <v>277</v>
      </c>
      <c r="O57" s="193" t="s">
        <v>246</v>
      </c>
      <c r="P57" s="196">
        <v>44589</v>
      </c>
      <c r="Q57" s="195">
        <v>44589</v>
      </c>
      <c r="R57" s="196">
        <v>44589</v>
      </c>
      <c r="S57" s="82"/>
      <c r="T57" s="83"/>
      <c r="U57" s="184" t="str">
        <f>IF(Harm_prod_stolarnia_kliny[[#This Row],[Data wykonania]]&lt;&gt;0,"WYKONANE","NIEWYKONANE")</f>
        <v>NIEWYKONANE</v>
      </c>
      <c r="V57" s="36"/>
      <c r="W57" s="185"/>
    </row>
    <row r="58" spans="1:23" x14ac:dyDescent="0.25">
      <c r="A58" s="36">
        <v>57</v>
      </c>
      <c r="B58" s="187" t="s">
        <v>2316</v>
      </c>
      <c r="C58" s="186" t="s">
        <v>618</v>
      </c>
      <c r="D58" s="183">
        <v>1</v>
      </c>
      <c r="E58" s="148" t="s">
        <v>362</v>
      </c>
      <c r="F58" s="148">
        <v>4</v>
      </c>
      <c r="G58" s="183" t="s">
        <v>244</v>
      </c>
      <c r="H58" s="36">
        <v>50</v>
      </c>
      <c r="I58" s="148">
        <v>38</v>
      </c>
      <c r="J58" s="36">
        <v>5</v>
      </c>
      <c r="K58" s="191">
        <v>828.98470544700001</v>
      </c>
      <c r="L58" s="189">
        <v>883651.69155900006</v>
      </c>
      <c r="M58" s="183"/>
      <c r="N58" s="183" t="s">
        <v>277</v>
      </c>
      <c r="O58" s="193" t="s">
        <v>246</v>
      </c>
      <c r="P58" s="196">
        <v>44589</v>
      </c>
      <c r="Q58" s="195">
        <v>44589</v>
      </c>
      <c r="R58" s="196">
        <v>44589</v>
      </c>
      <c r="S58" s="82"/>
      <c r="T58" s="83"/>
      <c r="U58" s="184" t="str">
        <f>IF(Harm_prod_stolarnia_kliny[[#This Row],[Data wykonania]]&lt;&gt;0,"WYKONANE","NIEWYKONANE")</f>
        <v>NIEWYKONANE</v>
      </c>
      <c r="V58" s="36"/>
      <c r="W58" s="185"/>
    </row>
    <row r="59" spans="1:23" x14ac:dyDescent="0.25">
      <c r="A59" s="36">
        <v>58</v>
      </c>
      <c r="B59" s="187" t="s">
        <v>2316</v>
      </c>
      <c r="C59" s="186" t="s">
        <v>618</v>
      </c>
      <c r="D59" s="183">
        <v>1</v>
      </c>
      <c r="E59" s="148" t="s">
        <v>356</v>
      </c>
      <c r="F59" s="148">
        <v>1</v>
      </c>
      <c r="G59" s="183" t="s">
        <v>244</v>
      </c>
      <c r="H59" s="36">
        <v>50</v>
      </c>
      <c r="I59" s="148">
        <v>38</v>
      </c>
      <c r="J59" s="36">
        <v>5</v>
      </c>
      <c r="K59" s="191">
        <v>828.98338159900004</v>
      </c>
      <c r="L59" s="189">
        <v>883651.36059599998</v>
      </c>
      <c r="M59" s="183"/>
      <c r="N59" s="183" t="s">
        <v>277</v>
      </c>
      <c r="O59" s="193" t="s">
        <v>246</v>
      </c>
      <c r="P59" s="196">
        <v>44589</v>
      </c>
      <c r="Q59" s="195">
        <v>44589</v>
      </c>
      <c r="R59" s="196">
        <v>44589</v>
      </c>
      <c r="S59" s="82"/>
      <c r="T59" s="83"/>
      <c r="U59" s="184" t="str">
        <f>IF(Harm_prod_stolarnia_kliny[[#This Row],[Data wykonania]]&lt;&gt;0,"WYKONANE","NIEWYKONANE")</f>
        <v>NIEWYKONANE</v>
      </c>
      <c r="V59" s="36"/>
      <c r="W59" s="185"/>
    </row>
    <row r="60" spans="1:23" x14ac:dyDescent="0.25">
      <c r="A60" s="36">
        <v>59</v>
      </c>
      <c r="B60" s="187" t="s">
        <v>2315</v>
      </c>
      <c r="C60" s="186" t="s">
        <v>618</v>
      </c>
      <c r="D60" s="183">
        <v>1</v>
      </c>
      <c r="E60" s="148" t="s">
        <v>362</v>
      </c>
      <c r="F60" s="148">
        <v>4</v>
      </c>
      <c r="G60" s="183" t="s">
        <v>244</v>
      </c>
      <c r="H60" s="36">
        <v>50</v>
      </c>
      <c r="I60" s="148">
        <v>38</v>
      </c>
      <c r="J60" s="36">
        <v>5</v>
      </c>
      <c r="K60" s="191">
        <v>828.98470544600002</v>
      </c>
      <c r="L60" s="189">
        <v>883651.69155800005</v>
      </c>
      <c r="M60" s="183"/>
      <c r="N60" s="183" t="s">
        <v>277</v>
      </c>
      <c r="O60" s="193" t="s">
        <v>246</v>
      </c>
      <c r="P60" s="196">
        <v>44589</v>
      </c>
      <c r="Q60" s="195">
        <v>44589</v>
      </c>
      <c r="R60" s="196">
        <v>44589</v>
      </c>
      <c r="S60" s="82"/>
      <c r="T60" s="83"/>
      <c r="U60" s="184" t="str">
        <f>IF(Harm_prod_stolarnia_kliny[[#This Row],[Data wykonania]]&lt;&gt;0,"WYKONANE","NIEWYKONANE")</f>
        <v>NIEWYKONANE</v>
      </c>
      <c r="V60" s="36"/>
      <c r="W60" s="185"/>
    </row>
    <row r="61" spans="1:23" x14ac:dyDescent="0.25">
      <c r="A61" s="36">
        <v>60</v>
      </c>
      <c r="B61" s="187" t="s">
        <v>2315</v>
      </c>
      <c r="C61" s="186" t="s">
        <v>618</v>
      </c>
      <c r="D61" s="183">
        <v>1</v>
      </c>
      <c r="E61" s="148" t="s">
        <v>356</v>
      </c>
      <c r="F61" s="148">
        <v>1</v>
      </c>
      <c r="G61" s="183" t="s">
        <v>244</v>
      </c>
      <c r="H61" s="36">
        <v>50</v>
      </c>
      <c r="I61" s="148">
        <v>38</v>
      </c>
      <c r="J61" s="36">
        <v>5</v>
      </c>
      <c r="K61" s="191">
        <v>828.98338159900004</v>
      </c>
      <c r="L61" s="189">
        <v>883651.36059399997</v>
      </c>
      <c r="M61" s="183"/>
      <c r="N61" s="183" t="s">
        <v>277</v>
      </c>
      <c r="O61" s="193" t="s">
        <v>246</v>
      </c>
      <c r="P61" s="196">
        <v>44589</v>
      </c>
      <c r="Q61" s="195">
        <v>44589</v>
      </c>
      <c r="R61" s="196">
        <v>44589</v>
      </c>
      <c r="S61" s="82"/>
      <c r="T61" s="83"/>
      <c r="U61" s="184" t="str">
        <f>IF(Harm_prod_stolarnia_kliny[[#This Row],[Data wykonania]]&lt;&gt;0,"WYKONANE","NIEWYKONANE")</f>
        <v>NIEWYKONANE</v>
      </c>
      <c r="V61" s="36"/>
      <c r="W61" s="185"/>
    </row>
    <row r="62" spans="1:23" x14ac:dyDescent="0.25">
      <c r="A62" s="36">
        <v>61</v>
      </c>
      <c r="B62" s="187" t="s">
        <v>2314</v>
      </c>
      <c r="C62" s="186" t="s">
        <v>618</v>
      </c>
      <c r="D62" s="183">
        <v>1</v>
      </c>
      <c r="E62" s="148" t="s">
        <v>362</v>
      </c>
      <c r="F62" s="148">
        <v>4</v>
      </c>
      <c r="G62" s="183" t="s">
        <v>244</v>
      </c>
      <c r="H62" s="36">
        <v>50</v>
      </c>
      <c r="I62" s="148">
        <v>38</v>
      </c>
      <c r="J62" s="36">
        <v>5</v>
      </c>
      <c r="K62" s="191">
        <v>828.98470544600002</v>
      </c>
      <c r="L62" s="189">
        <v>883651.69155800005</v>
      </c>
      <c r="M62" s="183"/>
      <c r="N62" s="183" t="s">
        <v>277</v>
      </c>
      <c r="O62" s="193" t="s">
        <v>246</v>
      </c>
      <c r="P62" s="196">
        <v>44589</v>
      </c>
      <c r="Q62" s="195">
        <v>44589</v>
      </c>
      <c r="R62" s="196">
        <v>44589</v>
      </c>
      <c r="S62" s="82"/>
      <c r="T62" s="83"/>
      <c r="U62" s="184" t="str">
        <f>IF(Harm_prod_stolarnia_kliny[[#This Row],[Data wykonania]]&lt;&gt;0,"WYKONANE","NIEWYKONANE")</f>
        <v>NIEWYKONANE</v>
      </c>
      <c r="V62" s="36"/>
      <c r="W62" s="185"/>
    </row>
    <row r="63" spans="1:23" x14ac:dyDescent="0.25">
      <c r="A63" s="36">
        <v>62</v>
      </c>
      <c r="B63" s="187" t="s">
        <v>2314</v>
      </c>
      <c r="C63" s="186" t="s">
        <v>618</v>
      </c>
      <c r="D63" s="183">
        <v>1</v>
      </c>
      <c r="E63" s="148" t="s">
        <v>356</v>
      </c>
      <c r="F63" s="148">
        <v>1</v>
      </c>
      <c r="G63" s="183" t="s">
        <v>244</v>
      </c>
      <c r="H63" s="36">
        <v>50</v>
      </c>
      <c r="I63" s="148">
        <v>38</v>
      </c>
      <c r="J63" s="36">
        <v>5</v>
      </c>
      <c r="K63" s="191">
        <v>828.98338159900004</v>
      </c>
      <c r="L63" s="189">
        <v>883651.36059399997</v>
      </c>
      <c r="M63" s="183"/>
      <c r="N63" s="183" t="s">
        <v>277</v>
      </c>
      <c r="O63" s="193" t="s">
        <v>246</v>
      </c>
      <c r="P63" s="196">
        <v>44589</v>
      </c>
      <c r="Q63" s="195">
        <v>44589</v>
      </c>
      <c r="R63" s="196">
        <v>44589</v>
      </c>
      <c r="S63" s="82"/>
      <c r="T63" s="83"/>
      <c r="U63" s="184" t="str">
        <f>IF(Harm_prod_stolarnia_kliny[[#This Row],[Data wykonania]]&lt;&gt;0,"WYKONANE","NIEWYKONANE")</f>
        <v>NIEWYKONANE</v>
      </c>
      <c r="V63" s="36"/>
      <c r="W63" s="185"/>
    </row>
    <row r="64" spans="1:23" x14ac:dyDescent="0.25">
      <c r="A64" s="36">
        <v>63</v>
      </c>
      <c r="B64" s="187" t="s">
        <v>2306</v>
      </c>
      <c r="C64" s="186" t="s">
        <v>618</v>
      </c>
      <c r="D64" s="183">
        <v>1</v>
      </c>
      <c r="E64" s="148" t="s">
        <v>362</v>
      </c>
      <c r="F64" s="148">
        <v>4</v>
      </c>
      <c r="G64" s="183" t="s">
        <v>244</v>
      </c>
      <c r="H64" s="36">
        <v>50</v>
      </c>
      <c r="I64" s="148">
        <v>38</v>
      </c>
      <c r="J64" s="36">
        <v>5</v>
      </c>
      <c r="K64" s="191">
        <v>828.98470544600002</v>
      </c>
      <c r="L64" s="189">
        <v>883651.69155700004</v>
      </c>
      <c r="M64" s="183"/>
      <c r="N64" s="183" t="s">
        <v>277</v>
      </c>
      <c r="O64" s="193" t="s">
        <v>246</v>
      </c>
      <c r="P64" s="196">
        <v>44589</v>
      </c>
      <c r="Q64" s="195">
        <v>44589</v>
      </c>
      <c r="R64" s="196">
        <v>44589</v>
      </c>
      <c r="S64" s="82"/>
      <c r="T64" s="83"/>
      <c r="U64" s="184" t="str">
        <f>IF(Harm_prod_stolarnia_kliny[[#This Row],[Data wykonania]]&lt;&gt;0,"WYKONANE","NIEWYKONANE")</f>
        <v>NIEWYKONANE</v>
      </c>
      <c r="V64" s="36"/>
      <c r="W64" s="185"/>
    </row>
    <row r="65" spans="1:23" x14ac:dyDescent="0.25">
      <c r="A65" s="36">
        <v>64</v>
      </c>
      <c r="B65" s="187" t="s">
        <v>2306</v>
      </c>
      <c r="C65" s="186" t="s">
        <v>618</v>
      </c>
      <c r="D65" s="183">
        <v>1</v>
      </c>
      <c r="E65" s="148" t="s">
        <v>356</v>
      </c>
      <c r="F65" s="148">
        <v>1</v>
      </c>
      <c r="G65" s="183" t="s">
        <v>244</v>
      </c>
      <c r="H65" s="36">
        <v>50</v>
      </c>
      <c r="I65" s="148">
        <v>38</v>
      </c>
      <c r="J65" s="36">
        <v>5</v>
      </c>
      <c r="K65" s="191">
        <v>828.98338159800005</v>
      </c>
      <c r="L65" s="189">
        <v>883651.36059399997</v>
      </c>
      <c r="M65" s="183"/>
      <c r="N65" s="183" t="s">
        <v>277</v>
      </c>
      <c r="O65" s="193" t="s">
        <v>246</v>
      </c>
      <c r="P65" s="196">
        <v>44589</v>
      </c>
      <c r="Q65" s="195">
        <v>44589</v>
      </c>
      <c r="R65" s="196">
        <v>44589</v>
      </c>
      <c r="S65" s="82"/>
      <c r="T65" s="83"/>
      <c r="U65" s="184" t="str">
        <f>IF(Harm_prod_stolarnia_kliny[[#This Row],[Data wykonania]]&lt;&gt;0,"WYKONANE","NIEWYKONANE")</f>
        <v>NIEWYKONANE</v>
      </c>
      <c r="V65" s="36"/>
      <c r="W65" s="185"/>
    </row>
    <row r="66" spans="1:23" x14ac:dyDescent="0.25">
      <c r="A66" s="36">
        <v>65</v>
      </c>
      <c r="B66" s="187" t="s">
        <v>2296</v>
      </c>
      <c r="C66" s="186" t="s">
        <v>618</v>
      </c>
      <c r="D66" s="183">
        <v>1</v>
      </c>
      <c r="E66" s="148" t="s">
        <v>362</v>
      </c>
      <c r="F66" s="148">
        <v>4</v>
      </c>
      <c r="G66" s="183" t="s">
        <v>244</v>
      </c>
      <c r="H66" s="36">
        <v>50</v>
      </c>
      <c r="I66" s="148">
        <v>38</v>
      </c>
      <c r="J66" s="36">
        <v>5</v>
      </c>
      <c r="K66" s="191">
        <v>828.98470544700001</v>
      </c>
      <c r="L66" s="189">
        <v>883651.69155900006</v>
      </c>
      <c r="M66" s="183"/>
      <c r="N66" s="183" t="s">
        <v>277</v>
      </c>
      <c r="O66" s="193" t="s">
        <v>246</v>
      </c>
      <c r="P66" s="196">
        <v>44589</v>
      </c>
      <c r="Q66" s="195">
        <v>44589</v>
      </c>
      <c r="R66" s="196">
        <v>44589</v>
      </c>
      <c r="S66" s="82"/>
      <c r="T66" s="83"/>
      <c r="U66" s="184" t="str">
        <f>IF(Harm_prod_stolarnia_kliny[[#This Row],[Data wykonania]]&lt;&gt;0,"WYKONANE","NIEWYKONANE")</f>
        <v>NIEWYKONANE</v>
      </c>
      <c r="V66" s="36"/>
      <c r="W66" s="185"/>
    </row>
    <row r="67" spans="1:23" x14ac:dyDescent="0.25">
      <c r="A67" s="36">
        <v>66</v>
      </c>
      <c r="B67" s="187" t="s">
        <v>2296</v>
      </c>
      <c r="C67" s="186" t="s">
        <v>618</v>
      </c>
      <c r="D67" s="183">
        <v>1</v>
      </c>
      <c r="E67" s="148" t="s">
        <v>356</v>
      </c>
      <c r="F67" s="148">
        <v>1</v>
      </c>
      <c r="G67" s="183" t="s">
        <v>244</v>
      </c>
      <c r="H67" s="36">
        <v>50</v>
      </c>
      <c r="I67" s="148">
        <v>38</v>
      </c>
      <c r="J67" s="36">
        <v>5</v>
      </c>
      <c r="K67" s="191">
        <v>828.98338159900004</v>
      </c>
      <c r="L67" s="189">
        <v>883651.36059499998</v>
      </c>
      <c r="M67" s="183"/>
      <c r="N67" s="183" t="s">
        <v>277</v>
      </c>
      <c r="O67" s="193" t="s">
        <v>246</v>
      </c>
      <c r="P67" s="196">
        <v>44589</v>
      </c>
      <c r="Q67" s="195">
        <v>44589</v>
      </c>
      <c r="R67" s="196">
        <v>44589</v>
      </c>
      <c r="S67" s="82"/>
      <c r="T67" s="83"/>
      <c r="U67" s="184" t="str">
        <f>IF(Harm_prod_stolarnia_kliny[[#This Row],[Data wykonania]]&lt;&gt;0,"WYKONANE","NIEWYKONANE")</f>
        <v>NIEWYKONANE</v>
      </c>
      <c r="V67" s="36"/>
      <c r="W67" s="185"/>
    </row>
    <row r="68" spans="1:23" x14ac:dyDescent="0.25">
      <c r="A68" s="36">
        <v>67</v>
      </c>
      <c r="B68" s="187" t="s">
        <v>2313</v>
      </c>
      <c r="C68" s="186" t="s">
        <v>618</v>
      </c>
      <c r="D68" s="183">
        <v>1</v>
      </c>
      <c r="E68" s="148" t="s">
        <v>328</v>
      </c>
      <c r="F68" s="148">
        <v>4</v>
      </c>
      <c r="G68" s="183" t="s">
        <v>244</v>
      </c>
      <c r="H68" s="36">
        <v>50</v>
      </c>
      <c r="I68" s="148">
        <v>38</v>
      </c>
      <c r="J68" s="36">
        <v>5</v>
      </c>
      <c r="K68" s="191">
        <v>829.00085081600002</v>
      </c>
      <c r="L68" s="189">
        <v>883682.07560800004</v>
      </c>
      <c r="M68" s="183"/>
      <c r="N68" s="183" t="s">
        <v>277</v>
      </c>
      <c r="O68" s="193" t="s">
        <v>246</v>
      </c>
      <c r="P68" s="196">
        <v>44589</v>
      </c>
      <c r="Q68" s="195">
        <v>44589</v>
      </c>
      <c r="R68" s="196">
        <v>44589</v>
      </c>
      <c r="S68" s="82"/>
      <c r="T68" s="83"/>
      <c r="U68" s="184" t="str">
        <f>IF(Harm_prod_stolarnia_kliny[[#This Row],[Data wykonania]]&lt;&gt;0,"WYKONANE","NIEWYKONANE")</f>
        <v>NIEWYKONANE</v>
      </c>
      <c r="V68" s="36"/>
      <c r="W68" s="185"/>
    </row>
    <row r="69" spans="1:23" x14ac:dyDescent="0.25">
      <c r="A69" s="36">
        <v>68</v>
      </c>
      <c r="B69" s="187" t="s">
        <v>2313</v>
      </c>
      <c r="C69" s="186" t="s">
        <v>618</v>
      </c>
      <c r="D69" s="183">
        <v>1</v>
      </c>
      <c r="E69" s="148" t="s">
        <v>375</v>
      </c>
      <c r="F69" s="148">
        <v>1</v>
      </c>
      <c r="G69" s="183" t="s">
        <v>244</v>
      </c>
      <c r="H69" s="36">
        <v>50</v>
      </c>
      <c r="I69" s="148">
        <v>38</v>
      </c>
      <c r="J69" s="36">
        <v>5</v>
      </c>
      <c r="K69" s="191">
        <v>828.99952696900004</v>
      </c>
      <c r="L69" s="189">
        <v>883681.74464399996</v>
      </c>
      <c r="M69" s="183"/>
      <c r="N69" s="183" t="s">
        <v>277</v>
      </c>
      <c r="O69" s="193" t="s">
        <v>246</v>
      </c>
      <c r="P69" s="196">
        <v>44589</v>
      </c>
      <c r="Q69" s="195">
        <v>44589</v>
      </c>
      <c r="R69" s="196">
        <v>44589</v>
      </c>
      <c r="S69" s="82"/>
      <c r="T69" s="83"/>
      <c r="U69" s="184" t="str">
        <f>IF(Harm_prod_stolarnia_kliny[[#This Row],[Data wykonania]]&lt;&gt;0,"WYKONANE","NIEWYKONANE")</f>
        <v>NIEWYKONANE</v>
      </c>
      <c r="V69" s="36"/>
      <c r="W69" s="185"/>
    </row>
    <row r="70" spans="1:23" x14ac:dyDescent="0.25">
      <c r="A70" s="36">
        <v>69</v>
      </c>
      <c r="B70" s="187" t="s">
        <v>2312</v>
      </c>
      <c r="C70" s="186" t="s">
        <v>618</v>
      </c>
      <c r="D70" s="183">
        <v>1</v>
      </c>
      <c r="E70" s="148" t="s">
        <v>328</v>
      </c>
      <c r="F70" s="148">
        <v>4</v>
      </c>
      <c r="G70" s="183" t="s">
        <v>244</v>
      </c>
      <c r="H70" s="36">
        <v>50</v>
      </c>
      <c r="I70" s="148">
        <v>38</v>
      </c>
      <c r="J70" s="36">
        <v>5</v>
      </c>
      <c r="K70" s="191">
        <v>829.00085081700001</v>
      </c>
      <c r="L70" s="189">
        <v>883682.07560800004</v>
      </c>
      <c r="M70" s="183"/>
      <c r="N70" s="183" t="s">
        <v>277</v>
      </c>
      <c r="O70" s="193" t="s">
        <v>246</v>
      </c>
      <c r="P70" s="196">
        <v>44589</v>
      </c>
      <c r="Q70" s="195">
        <v>44589</v>
      </c>
      <c r="R70" s="196">
        <v>44589</v>
      </c>
      <c r="S70" s="82"/>
      <c r="T70" s="83"/>
      <c r="U70" s="184" t="str">
        <f>IF(Harm_prod_stolarnia_kliny[[#This Row],[Data wykonania]]&lt;&gt;0,"WYKONANE","NIEWYKONANE")</f>
        <v>NIEWYKONANE</v>
      </c>
      <c r="V70" s="36"/>
      <c r="W70" s="185"/>
    </row>
    <row r="71" spans="1:23" x14ac:dyDescent="0.25">
      <c r="A71" s="36">
        <v>70</v>
      </c>
      <c r="B71" s="187" t="s">
        <v>2312</v>
      </c>
      <c r="C71" s="186" t="s">
        <v>618</v>
      </c>
      <c r="D71" s="183">
        <v>1</v>
      </c>
      <c r="E71" s="148" t="s">
        <v>375</v>
      </c>
      <c r="F71" s="148">
        <v>1</v>
      </c>
      <c r="G71" s="183" t="s">
        <v>244</v>
      </c>
      <c r="H71" s="36">
        <v>50</v>
      </c>
      <c r="I71" s="148">
        <v>38</v>
      </c>
      <c r="J71" s="36">
        <v>5</v>
      </c>
      <c r="K71" s="191">
        <v>828.99952697000003</v>
      </c>
      <c r="L71" s="189">
        <v>883681.74464599998</v>
      </c>
      <c r="M71" s="183"/>
      <c r="N71" s="183" t="s">
        <v>277</v>
      </c>
      <c r="O71" s="193" t="s">
        <v>246</v>
      </c>
      <c r="P71" s="196">
        <v>44589</v>
      </c>
      <c r="Q71" s="195">
        <v>44589</v>
      </c>
      <c r="R71" s="196">
        <v>44589</v>
      </c>
      <c r="S71" s="82"/>
      <c r="T71" s="83"/>
      <c r="U71" s="184" t="str">
        <f>IF(Harm_prod_stolarnia_kliny[[#This Row],[Data wykonania]]&lt;&gt;0,"WYKONANE","NIEWYKONANE")</f>
        <v>NIEWYKONANE</v>
      </c>
      <c r="V71" s="36"/>
      <c r="W71" s="185"/>
    </row>
    <row r="72" spans="1:23" x14ac:dyDescent="0.25">
      <c r="A72" s="36">
        <v>71</v>
      </c>
      <c r="B72" s="187" t="s">
        <v>2311</v>
      </c>
      <c r="C72" s="186" t="s">
        <v>618</v>
      </c>
      <c r="D72" s="183">
        <v>1</v>
      </c>
      <c r="E72" s="148" t="s">
        <v>328</v>
      </c>
      <c r="F72" s="148">
        <v>4</v>
      </c>
      <c r="G72" s="183" t="s">
        <v>244</v>
      </c>
      <c r="H72" s="36">
        <v>50</v>
      </c>
      <c r="I72" s="148">
        <v>38</v>
      </c>
      <c r="J72" s="36">
        <v>5</v>
      </c>
      <c r="K72" s="191">
        <v>829.00085081600002</v>
      </c>
      <c r="L72" s="189">
        <v>883682.07560800004</v>
      </c>
      <c r="M72" s="183"/>
      <c r="N72" s="183" t="s">
        <v>277</v>
      </c>
      <c r="O72" s="193" t="s">
        <v>246</v>
      </c>
      <c r="P72" s="196">
        <v>44589</v>
      </c>
      <c r="Q72" s="195">
        <v>44589</v>
      </c>
      <c r="R72" s="196">
        <v>44589</v>
      </c>
      <c r="S72" s="82"/>
      <c r="T72" s="83"/>
      <c r="U72" s="184" t="str">
        <f>IF(Harm_prod_stolarnia_kliny[[#This Row],[Data wykonania]]&lt;&gt;0,"WYKONANE","NIEWYKONANE")</f>
        <v>NIEWYKONANE</v>
      </c>
      <c r="V72" s="36"/>
      <c r="W72" s="185"/>
    </row>
    <row r="73" spans="1:23" x14ac:dyDescent="0.25">
      <c r="A73" s="36">
        <v>72</v>
      </c>
      <c r="B73" s="187" t="s">
        <v>2311</v>
      </c>
      <c r="C73" s="186" t="s">
        <v>618</v>
      </c>
      <c r="D73" s="183">
        <v>1</v>
      </c>
      <c r="E73" s="148" t="s">
        <v>375</v>
      </c>
      <c r="F73" s="148">
        <v>1</v>
      </c>
      <c r="G73" s="183" t="s">
        <v>244</v>
      </c>
      <c r="H73" s="36">
        <v>50</v>
      </c>
      <c r="I73" s="148">
        <v>38</v>
      </c>
      <c r="J73" s="36">
        <v>5</v>
      </c>
      <c r="K73" s="191">
        <v>828.99952696900004</v>
      </c>
      <c r="L73" s="189">
        <v>883681.74464399996</v>
      </c>
      <c r="M73" s="183"/>
      <c r="N73" s="183" t="s">
        <v>277</v>
      </c>
      <c r="O73" s="193" t="s">
        <v>246</v>
      </c>
      <c r="P73" s="196">
        <v>44589</v>
      </c>
      <c r="Q73" s="195">
        <v>44589</v>
      </c>
      <c r="R73" s="196">
        <v>44589</v>
      </c>
      <c r="S73" s="82"/>
      <c r="T73" s="83"/>
      <c r="U73" s="184" t="str">
        <f>IF(Harm_prod_stolarnia_kliny[[#This Row],[Data wykonania]]&lt;&gt;0,"WYKONANE","NIEWYKONANE")</f>
        <v>NIEWYKONANE</v>
      </c>
      <c r="V73" s="36"/>
      <c r="W73" s="185"/>
    </row>
    <row r="74" spans="1:23" x14ac:dyDescent="0.25">
      <c r="A74" s="36">
        <v>73</v>
      </c>
      <c r="B74" s="187" t="s">
        <v>2310</v>
      </c>
      <c r="C74" s="186" t="s">
        <v>618</v>
      </c>
      <c r="D74" s="183">
        <v>1</v>
      </c>
      <c r="E74" s="148" t="s">
        <v>328</v>
      </c>
      <c r="F74" s="148">
        <v>4</v>
      </c>
      <c r="G74" s="183" t="s">
        <v>244</v>
      </c>
      <c r="H74" s="36">
        <v>50</v>
      </c>
      <c r="I74" s="148">
        <v>38</v>
      </c>
      <c r="J74" s="36">
        <v>5</v>
      </c>
      <c r="K74" s="191">
        <v>829.00085081600002</v>
      </c>
      <c r="L74" s="189">
        <v>883682.07560800004</v>
      </c>
      <c r="M74" s="183"/>
      <c r="N74" s="183" t="s">
        <v>277</v>
      </c>
      <c r="O74" s="193" t="s">
        <v>246</v>
      </c>
      <c r="P74" s="196">
        <v>44589</v>
      </c>
      <c r="Q74" s="195">
        <v>44589</v>
      </c>
      <c r="R74" s="196">
        <v>44589</v>
      </c>
      <c r="S74" s="82"/>
      <c r="T74" s="83"/>
      <c r="U74" s="184" t="str">
        <f>IF(Harm_prod_stolarnia_kliny[[#This Row],[Data wykonania]]&lt;&gt;0,"WYKONANE","NIEWYKONANE")</f>
        <v>NIEWYKONANE</v>
      </c>
      <c r="V74" s="36"/>
      <c r="W74" s="185"/>
    </row>
    <row r="75" spans="1:23" x14ac:dyDescent="0.25">
      <c r="A75" s="36">
        <v>74</v>
      </c>
      <c r="B75" s="187" t="s">
        <v>2310</v>
      </c>
      <c r="C75" s="186" t="s">
        <v>618</v>
      </c>
      <c r="D75" s="183">
        <v>1</v>
      </c>
      <c r="E75" s="148" t="s">
        <v>375</v>
      </c>
      <c r="F75" s="148">
        <v>1</v>
      </c>
      <c r="G75" s="183" t="s">
        <v>244</v>
      </c>
      <c r="H75" s="36">
        <v>50</v>
      </c>
      <c r="I75" s="148">
        <v>38</v>
      </c>
      <c r="J75" s="36">
        <v>5</v>
      </c>
      <c r="K75" s="191">
        <v>828.99952696900004</v>
      </c>
      <c r="L75" s="189">
        <v>883681.74464399996</v>
      </c>
      <c r="M75" s="183"/>
      <c r="N75" s="183" t="s">
        <v>277</v>
      </c>
      <c r="O75" s="193" t="s">
        <v>246</v>
      </c>
      <c r="P75" s="196">
        <v>44589</v>
      </c>
      <c r="Q75" s="195">
        <v>44589</v>
      </c>
      <c r="R75" s="196">
        <v>44589</v>
      </c>
      <c r="S75" s="82"/>
      <c r="T75" s="83"/>
      <c r="U75" s="184" t="str">
        <f>IF(Harm_prod_stolarnia_kliny[[#This Row],[Data wykonania]]&lt;&gt;0,"WYKONANE","NIEWYKONANE")</f>
        <v>NIEWYKONANE</v>
      </c>
      <c r="V75" s="36"/>
      <c r="W75" s="185"/>
    </row>
    <row r="76" spans="1:23" x14ac:dyDescent="0.25">
      <c r="A76" s="36">
        <v>75</v>
      </c>
      <c r="B76" s="187" t="s">
        <v>2309</v>
      </c>
      <c r="C76" s="186" t="s">
        <v>618</v>
      </c>
      <c r="D76" s="183">
        <v>1</v>
      </c>
      <c r="E76" s="148" t="s">
        <v>328</v>
      </c>
      <c r="F76" s="148">
        <v>4</v>
      </c>
      <c r="G76" s="183" t="s">
        <v>244</v>
      </c>
      <c r="H76" s="36">
        <v>50</v>
      </c>
      <c r="I76" s="148">
        <v>38</v>
      </c>
      <c r="J76" s="36">
        <v>5</v>
      </c>
      <c r="K76" s="191">
        <v>829.00085081600002</v>
      </c>
      <c r="L76" s="189">
        <v>883682.07560800004</v>
      </c>
      <c r="M76" s="183"/>
      <c r="N76" s="183" t="s">
        <v>277</v>
      </c>
      <c r="O76" s="193" t="s">
        <v>246</v>
      </c>
      <c r="P76" s="196">
        <v>44589</v>
      </c>
      <c r="Q76" s="195">
        <v>44589</v>
      </c>
      <c r="R76" s="196">
        <v>44589</v>
      </c>
      <c r="S76" s="82"/>
      <c r="T76" s="83"/>
      <c r="U76" s="184" t="str">
        <f>IF(Harm_prod_stolarnia_kliny[[#This Row],[Data wykonania]]&lt;&gt;0,"WYKONANE","NIEWYKONANE")</f>
        <v>NIEWYKONANE</v>
      </c>
      <c r="V76" s="36"/>
      <c r="W76" s="185"/>
    </row>
    <row r="77" spans="1:23" x14ac:dyDescent="0.25">
      <c r="A77" s="36">
        <v>76</v>
      </c>
      <c r="B77" s="187" t="s">
        <v>2309</v>
      </c>
      <c r="C77" s="186" t="s">
        <v>618</v>
      </c>
      <c r="D77" s="183">
        <v>1</v>
      </c>
      <c r="E77" s="148" t="s">
        <v>375</v>
      </c>
      <c r="F77" s="148">
        <v>1</v>
      </c>
      <c r="G77" s="183" t="s">
        <v>244</v>
      </c>
      <c r="H77" s="36">
        <v>50</v>
      </c>
      <c r="I77" s="148">
        <v>38</v>
      </c>
      <c r="J77" s="36">
        <v>5</v>
      </c>
      <c r="K77" s="191">
        <v>828.99952696900004</v>
      </c>
      <c r="L77" s="189">
        <v>883681.74464199995</v>
      </c>
      <c r="M77" s="183"/>
      <c r="N77" s="183" t="s">
        <v>277</v>
      </c>
      <c r="O77" s="193" t="s">
        <v>246</v>
      </c>
      <c r="P77" s="196">
        <v>44589</v>
      </c>
      <c r="Q77" s="195">
        <v>44589</v>
      </c>
      <c r="R77" s="196">
        <v>44589</v>
      </c>
      <c r="S77" s="82"/>
      <c r="T77" s="83"/>
      <c r="U77" s="184" t="str">
        <f>IF(Harm_prod_stolarnia_kliny[[#This Row],[Data wykonania]]&lt;&gt;0,"WYKONANE","NIEWYKONANE")</f>
        <v>NIEWYKONANE</v>
      </c>
      <c r="V77" s="36"/>
      <c r="W77" s="185"/>
    </row>
    <row r="78" spans="1:23" x14ac:dyDescent="0.25">
      <c r="A78" s="36">
        <v>77</v>
      </c>
      <c r="B78" s="187" t="s">
        <v>2303</v>
      </c>
      <c r="C78" s="186" t="s">
        <v>618</v>
      </c>
      <c r="D78" s="183">
        <v>1</v>
      </c>
      <c r="E78" s="148" t="s">
        <v>328</v>
      </c>
      <c r="F78" s="148">
        <v>4</v>
      </c>
      <c r="G78" s="183" t="s">
        <v>244</v>
      </c>
      <c r="H78" s="36">
        <v>50</v>
      </c>
      <c r="I78" s="148">
        <v>38</v>
      </c>
      <c r="J78" s="36">
        <v>5</v>
      </c>
      <c r="K78" s="191">
        <v>829.00085081600002</v>
      </c>
      <c r="L78" s="189">
        <v>883682.07560800004</v>
      </c>
      <c r="M78" s="183"/>
      <c r="N78" s="183" t="s">
        <v>277</v>
      </c>
      <c r="O78" s="193" t="s">
        <v>246</v>
      </c>
      <c r="P78" s="196">
        <v>44589</v>
      </c>
      <c r="Q78" s="195">
        <v>44589</v>
      </c>
      <c r="R78" s="196">
        <v>44589</v>
      </c>
      <c r="S78" s="82"/>
      <c r="T78" s="83"/>
      <c r="U78" s="184" t="str">
        <f>IF(Harm_prod_stolarnia_kliny[[#This Row],[Data wykonania]]&lt;&gt;0,"WYKONANE","NIEWYKONANE")</f>
        <v>NIEWYKONANE</v>
      </c>
      <c r="V78" s="36"/>
      <c r="W78" s="185"/>
    </row>
    <row r="79" spans="1:23" x14ac:dyDescent="0.25">
      <c r="A79" s="36">
        <v>78</v>
      </c>
      <c r="B79" s="187" t="s">
        <v>2303</v>
      </c>
      <c r="C79" s="186" t="s">
        <v>618</v>
      </c>
      <c r="D79" s="183">
        <v>1</v>
      </c>
      <c r="E79" s="148" t="s">
        <v>375</v>
      </c>
      <c r="F79" s="148">
        <v>1</v>
      </c>
      <c r="G79" s="183" t="s">
        <v>244</v>
      </c>
      <c r="H79" s="36">
        <v>50</v>
      </c>
      <c r="I79" s="148">
        <v>38</v>
      </c>
      <c r="J79" s="36">
        <v>5</v>
      </c>
      <c r="K79" s="191">
        <v>828.99952696900004</v>
      </c>
      <c r="L79" s="189">
        <v>883681.74464399996</v>
      </c>
      <c r="M79" s="183"/>
      <c r="N79" s="183" t="s">
        <v>277</v>
      </c>
      <c r="O79" s="193" t="s">
        <v>246</v>
      </c>
      <c r="P79" s="196">
        <v>44589</v>
      </c>
      <c r="Q79" s="195">
        <v>44589</v>
      </c>
      <c r="R79" s="196">
        <v>44589</v>
      </c>
      <c r="S79" s="82"/>
      <c r="T79" s="83"/>
      <c r="U79" s="184" t="str">
        <f>IF(Harm_prod_stolarnia_kliny[[#This Row],[Data wykonania]]&lt;&gt;0,"WYKONANE","NIEWYKONANE")</f>
        <v>NIEWYKONANE</v>
      </c>
      <c r="V79" s="36"/>
      <c r="W79" s="185"/>
    </row>
    <row r="80" spans="1:23" x14ac:dyDescent="0.25">
      <c r="A80" s="36">
        <v>79</v>
      </c>
      <c r="B80" s="187" t="s">
        <v>2302</v>
      </c>
      <c r="C80" s="186" t="s">
        <v>618</v>
      </c>
      <c r="D80" s="183">
        <v>1</v>
      </c>
      <c r="E80" s="148" t="s">
        <v>328</v>
      </c>
      <c r="F80" s="148">
        <v>4</v>
      </c>
      <c r="G80" s="183" t="s">
        <v>244</v>
      </c>
      <c r="H80" s="36">
        <v>50</v>
      </c>
      <c r="I80" s="148">
        <v>38</v>
      </c>
      <c r="J80" s="36">
        <v>5</v>
      </c>
      <c r="K80" s="191">
        <v>829.00085081700001</v>
      </c>
      <c r="L80" s="189">
        <v>883682.07561000006</v>
      </c>
      <c r="M80" s="183"/>
      <c r="N80" s="183" t="s">
        <v>277</v>
      </c>
      <c r="O80" s="193" t="s">
        <v>246</v>
      </c>
      <c r="P80" s="196">
        <v>44589</v>
      </c>
      <c r="Q80" s="195">
        <v>44589</v>
      </c>
      <c r="R80" s="196">
        <v>44589</v>
      </c>
      <c r="S80" s="82"/>
      <c r="T80" s="83"/>
      <c r="U80" s="184" t="str">
        <f>IF(Harm_prod_stolarnia_kliny[[#This Row],[Data wykonania]]&lt;&gt;0,"WYKONANE","NIEWYKONANE")</f>
        <v>NIEWYKONANE</v>
      </c>
      <c r="V80" s="36"/>
      <c r="W80" s="185"/>
    </row>
    <row r="81" spans="1:23" x14ac:dyDescent="0.25">
      <c r="A81" s="36">
        <v>80</v>
      </c>
      <c r="B81" s="187" t="s">
        <v>2302</v>
      </c>
      <c r="C81" s="186" t="s">
        <v>618</v>
      </c>
      <c r="D81" s="183">
        <v>1</v>
      </c>
      <c r="E81" s="148" t="s">
        <v>375</v>
      </c>
      <c r="F81" s="148">
        <v>1</v>
      </c>
      <c r="G81" s="183" t="s">
        <v>244</v>
      </c>
      <c r="H81" s="36">
        <v>50</v>
      </c>
      <c r="I81" s="148">
        <v>38</v>
      </c>
      <c r="J81" s="36">
        <v>5</v>
      </c>
      <c r="K81" s="191">
        <v>828.99952697000003</v>
      </c>
      <c r="L81" s="189">
        <v>883681.74464499997</v>
      </c>
      <c r="M81" s="183"/>
      <c r="N81" s="183" t="s">
        <v>277</v>
      </c>
      <c r="O81" s="193" t="s">
        <v>246</v>
      </c>
      <c r="P81" s="196">
        <v>44589</v>
      </c>
      <c r="Q81" s="195">
        <v>44589</v>
      </c>
      <c r="R81" s="196">
        <v>44589</v>
      </c>
      <c r="S81" s="82"/>
      <c r="T81" s="83"/>
      <c r="U81" s="184" t="str">
        <f>IF(Harm_prod_stolarnia_kliny[[#This Row],[Data wykonania]]&lt;&gt;0,"WYKONANE","NIEWYKONANE")</f>
        <v>NIEWYKONANE</v>
      </c>
      <c r="V81" s="36"/>
      <c r="W81" s="185"/>
    </row>
    <row r="82" spans="1:23" x14ac:dyDescent="0.25">
      <c r="A82" s="36">
        <v>81</v>
      </c>
      <c r="B82" s="187" t="s">
        <v>2301</v>
      </c>
      <c r="C82" s="186" t="s">
        <v>618</v>
      </c>
      <c r="D82" s="183">
        <v>1</v>
      </c>
      <c r="E82" s="148" t="s">
        <v>328</v>
      </c>
      <c r="F82" s="148">
        <v>4</v>
      </c>
      <c r="G82" s="183" t="s">
        <v>244</v>
      </c>
      <c r="H82" s="36">
        <v>50</v>
      </c>
      <c r="I82" s="148">
        <v>38</v>
      </c>
      <c r="J82" s="36">
        <v>5</v>
      </c>
      <c r="K82" s="191">
        <v>829.00085081600002</v>
      </c>
      <c r="L82" s="189">
        <v>883682.07560800004</v>
      </c>
      <c r="M82" s="183"/>
      <c r="N82" s="183" t="s">
        <v>277</v>
      </c>
      <c r="O82" s="193" t="s">
        <v>246</v>
      </c>
      <c r="P82" s="196">
        <v>44589</v>
      </c>
      <c r="Q82" s="195">
        <v>44589</v>
      </c>
      <c r="R82" s="196">
        <v>44589</v>
      </c>
      <c r="S82" s="82"/>
      <c r="T82" s="83"/>
      <c r="U82" s="184" t="str">
        <f>IF(Harm_prod_stolarnia_kliny[[#This Row],[Data wykonania]]&lt;&gt;0,"WYKONANE","NIEWYKONANE")</f>
        <v>NIEWYKONANE</v>
      </c>
      <c r="V82" s="36"/>
      <c r="W82" s="185"/>
    </row>
    <row r="83" spans="1:23" x14ac:dyDescent="0.25">
      <c r="A83" s="36">
        <v>82</v>
      </c>
      <c r="B83" s="187" t="s">
        <v>2301</v>
      </c>
      <c r="C83" s="186" t="s">
        <v>618</v>
      </c>
      <c r="D83" s="183">
        <v>1</v>
      </c>
      <c r="E83" s="148" t="s">
        <v>375</v>
      </c>
      <c r="F83" s="148">
        <v>1</v>
      </c>
      <c r="G83" s="183" t="s">
        <v>244</v>
      </c>
      <c r="H83" s="36">
        <v>50</v>
      </c>
      <c r="I83" s="148">
        <v>38</v>
      </c>
      <c r="J83" s="36">
        <v>5</v>
      </c>
      <c r="K83" s="191">
        <v>828.99952696900004</v>
      </c>
      <c r="L83" s="189">
        <v>883681.74464499997</v>
      </c>
      <c r="M83" s="183"/>
      <c r="N83" s="183" t="s">
        <v>277</v>
      </c>
      <c r="O83" s="193" t="s">
        <v>246</v>
      </c>
      <c r="P83" s="196">
        <v>44589</v>
      </c>
      <c r="Q83" s="195">
        <v>44589</v>
      </c>
      <c r="R83" s="196">
        <v>44589</v>
      </c>
      <c r="S83" s="82"/>
      <c r="T83" s="83"/>
      <c r="U83" s="184" t="str">
        <f>IF(Harm_prod_stolarnia_kliny[[#This Row],[Data wykonania]]&lt;&gt;0,"WYKONANE","NIEWYKONANE")</f>
        <v>NIEWYKONANE</v>
      </c>
      <c r="V83" s="36"/>
      <c r="W83" s="185"/>
    </row>
    <row r="84" spans="1:23" x14ac:dyDescent="0.25">
      <c r="A84" s="36">
        <v>83</v>
      </c>
      <c r="B84" s="187" t="s">
        <v>2300</v>
      </c>
      <c r="C84" s="186" t="s">
        <v>618</v>
      </c>
      <c r="D84" s="183">
        <v>1</v>
      </c>
      <c r="E84" s="148" t="s">
        <v>328</v>
      </c>
      <c r="F84" s="148">
        <v>4</v>
      </c>
      <c r="G84" s="183" t="s">
        <v>244</v>
      </c>
      <c r="H84" s="36">
        <v>50</v>
      </c>
      <c r="I84" s="148">
        <v>38</v>
      </c>
      <c r="J84" s="36">
        <v>5</v>
      </c>
      <c r="K84" s="191">
        <v>829.00085081600002</v>
      </c>
      <c r="L84" s="189">
        <v>883682.07560800004</v>
      </c>
      <c r="M84" s="183"/>
      <c r="N84" s="183" t="s">
        <v>277</v>
      </c>
      <c r="O84" s="193" t="s">
        <v>246</v>
      </c>
      <c r="P84" s="196">
        <v>44589</v>
      </c>
      <c r="Q84" s="195">
        <v>44589</v>
      </c>
      <c r="R84" s="196">
        <v>44589</v>
      </c>
      <c r="S84" s="82"/>
      <c r="T84" s="83"/>
      <c r="U84" s="184" t="str">
        <f>IF(Harm_prod_stolarnia_kliny[[#This Row],[Data wykonania]]&lt;&gt;0,"WYKONANE","NIEWYKONANE")</f>
        <v>NIEWYKONANE</v>
      </c>
      <c r="V84" s="36"/>
      <c r="W84" s="185"/>
    </row>
    <row r="85" spans="1:23" x14ac:dyDescent="0.25">
      <c r="A85" s="36">
        <v>84</v>
      </c>
      <c r="B85" s="187" t="s">
        <v>2300</v>
      </c>
      <c r="C85" s="186" t="s">
        <v>618</v>
      </c>
      <c r="D85" s="183">
        <v>1</v>
      </c>
      <c r="E85" s="148" t="s">
        <v>375</v>
      </c>
      <c r="F85" s="148">
        <v>1</v>
      </c>
      <c r="G85" s="183" t="s">
        <v>244</v>
      </c>
      <c r="H85" s="36">
        <v>50</v>
      </c>
      <c r="I85" s="148">
        <v>38</v>
      </c>
      <c r="J85" s="36">
        <v>5</v>
      </c>
      <c r="K85" s="191">
        <v>828.99952696900004</v>
      </c>
      <c r="L85" s="189">
        <v>883681.74464299995</v>
      </c>
      <c r="M85" s="183"/>
      <c r="N85" s="183" t="s">
        <v>277</v>
      </c>
      <c r="O85" s="193" t="s">
        <v>246</v>
      </c>
      <c r="P85" s="196">
        <v>44589</v>
      </c>
      <c r="Q85" s="195">
        <v>44589</v>
      </c>
      <c r="R85" s="196">
        <v>44589</v>
      </c>
      <c r="S85" s="82"/>
      <c r="T85" s="83"/>
      <c r="U85" s="184" t="str">
        <f>IF(Harm_prod_stolarnia_kliny[[#This Row],[Data wykonania]]&lt;&gt;0,"WYKONANE","NIEWYKONANE")</f>
        <v>NIEWYKONANE</v>
      </c>
      <c r="V85" s="36"/>
      <c r="W85" s="185"/>
    </row>
    <row r="86" spans="1:23" x14ac:dyDescent="0.25">
      <c r="A86" s="36">
        <v>85</v>
      </c>
      <c r="B86" s="187" t="s">
        <v>2299</v>
      </c>
      <c r="C86" s="186" t="s">
        <v>618</v>
      </c>
      <c r="D86" s="183">
        <v>1</v>
      </c>
      <c r="E86" s="148" t="s">
        <v>328</v>
      </c>
      <c r="F86" s="148">
        <v>4</v>
      </c>
      <c r="G86" s="183" t="s">
        <v>244</v>
      </c>
      <c r="H86" s="36">
        <v>50</v>
      </c>
      <c r="I86" s="148">
        <v>38</v>
      </c>
      <c r="J86" s="36">
        <v>5</v>
      </c>
      <c r="K86" s="191">
        <v>829.00085081600002</v>
      </c>
      <c r="L86" s="189">
        <v>883682.07560800004</v>
      </c>
      <c r="M86" s="183"/>
      <c r="N86" s="183" t="s">
        <v>277</v>
      </c>
      <c r="O86" s="193" t="s">
        <v>246</v>
      </c>
      <c r="P86" s="196">
        <v>44589</v>
      </c>
      <c r="Q86" s="195">
        <v>44589</v>
      </c>
      <c r="R86" s="196">
        <v>44589</v>
      </c>
      <c r="S86" s="82"/>
      <c r="T86" s="83"/>
      <c r="U86" s="184" t="str">
        <f>IF(Harm_prod_stolarnia_kliny[[#This Row],[Data wykonania]]&lt;&gt;0,"WYKONANE","NIEWYKONANE")</f>
        <v>NIEWYKONANE</v>
      </c>
      <c r="V86" s="36"/>
      <c r="W86" s="185"/>
    </row>
    <row r="87" spans="1:23" x14ac:dyDescent="0.25">
      <c r="A87" s="36">
        <v>86</v>
      </c>
      <c r="B87" s="187" t="s">
        <v>2299</v>
      </c>
      <c r="C87" s="186" t="s">
        <v>618</v>
      </c>
      <c r="D87" s="183">
        <v>1</v>
      </c>
      <c r="E87" s="148" t="s">
        <v>375</v>
      </c>
      <c r="F87" s="148">
        <v>1</v>
      </c>
      <c r="G87" s="183" t="s">
        <v>244</v>
      </c>
      <c r="H87" s="36">
        <v>50</v>
      </c>
      <c r="I87" s="148">
        <v>38</v>
      </c>
      <c r="J87" s="36">
        <v>5</v>
      </c>
      <c r="K87" s="191">
        <v>828.99952696900004</v>
      </c>
      <c r="L87" s="189">
        <v>883681.74464399996</v>
      </c>
      <c r="M87" s="183"/>
      <c r="N87" s="183" t="s">
        <v>277</v>
      </c>
      <c r="O87" s="193" t="s">
        <v>246</v>
      </c>
      <c r="P87" s="196">
        <v>44589</v>
      </c>
      <c r="Q87" s="195">
        <v>44589</v>
      </c>
      <c r="R87" s="196">
        <v>44589</v>
      </c>
      <c r="S87" s="82"/>
      <c r="T87" s="83"/>
      <c r="U87" s="184" t="str">
        <f>IF(Harm_prod_stolarnia_kliny[[#This Row],[Data wykonania]]&lt;&gt;0,"WYKONANE","NIEWYKONANE")</f>
        <v>NIEWYKONANE</v>
      </c>
      <c r="V87" s="36"/>
      <c r="W87" s="185"/>
    </row>
    <row r="88" spans="1:23" x14ac:dyDescent="0.25">
      <c r="A88" s="36">
        <v>87</v>
      </c>
      <c r="B88" s="187" t="s">
        <v>2305</v>
      </c>
      <c r="C88" s="186" t="s">
        <v>618</v>
      </c>
      <c r="D88" s="183">
        <v>1</v>
      </c>
      <c r="E88" s="148" t="s">
        <v>367</v>
      </c>
      <c r="F88" s="148">
        <v>4</v>
      </c>
      <c r="G88" s="183" t="s">
        <v>244</v>
      </c>
      <c r="H88" s="36">
        <v>50</v>
      </c>
      <c r="I88" s="148">
        <v>38</v>
      </c>
      <c r="J88" s="36">
        <v>5</v>
      </c>
      <c r="K88" s="191">
        <v>829.01699625399999</v>
      </c>
      <c r="L88" s="189">
        <v>883712.46029800002</v>
      </c>
      <c r="M88" s="183"/>
      <c r="N88" s="183" t="s">
        <v>277</v>
      </c>
      <c r="O88" s="193" t="s">
        <v>246</v>
      </c>
      <c r="P88" s="196">
        <v>44589</v>
      </c>
      <c r="Q88" s="195">
        <v>44589</v>
      </c>
      <c r="R88" s="196">
        <v>44589</v>
      </c>
      <c r="S88" s="82"/>
      <c r="T88" s="83"/>
      <c r="U88" s="184" t="str">
        <f>IF(Harm_prod_stolarnia_kliny[[#This Row],[Data wykonania]]&lt;&gt;0,"WYKONANE","NIEWYKONANE")</f>
        <v>NIEWYKONANE</v>
      </c>
      <c r="V88" s="36"/>
      <c r="W88" s="185"/>
    </row>
    <row r="89" spans="1:23" x14ac:dyDescent="0.25">
      <c r="A89" s="36">
        <v>88</v>
      </c>
      <c r="B89" s="187" t="s">
        <v>2305</v>
      </c>
      <c r="C89" s="186" t="s">
        <v>618</v>
      </c>
      <c r="D89" s="183">
        <v>1</v>
      </c>
      <c r="E89" s="148" t="s">
        <v>345</v>
      </c>
      <c r="F89" s="148">
        <v>1</v>
      </c>
      <c r="G89" s="183" t="s">
        <v>244</v>
      </c>
      <c r="H89" s="36">
        <v>50</v>
      </c>
      <c r="I89" s="148">
        <v>38</v>
      </c>
      <c r="J89" s="36">
        <v>5</v>
      </c>
      <c r="K89" s="191">
        <v>829.01567240600002</v>
      </c>
      <c r="L89" s="189">
        <v>883712.12933400006</v>
      </c>
      <c r="M89" s="183"/>
      <c r="N89" s="183" t="s">
        <v>277</v>
      </c>
      <c r="O89" s="193" t="s">
        <v>246</v>
      </c>
      <c r="P89" s="196">
        <v>44589</v>
      </c>
      <c r="Q89" s="195">
        <v>44589</v>
      </c>
      <c r="R89" s="196">
        <v>44589</v>
      </c>
      <c r="S89" s="82"/>
      <c r="T89" s="83"/>
      <c r="U89" s="184" t="str">
        <f>IF(Harm_prod_stolarnia_kliny[[#This Row],[Data wykonania]]&lt;&gt;0,"WYKONANE","NIEWYKONANE")</f>
        <v>NIEWYKONANE</v>
      </c>
      <c r="V89" s="36"/>
      <c r="W89" s="185"/>
    </row>
    <row r="90" spans="1:23" x14ac:dyDescent="0.25">
      <c r="A90" s="36">
        <v>89</v>
      </c>
      <c r="B90" s="187" t="s">
        <v>2304</v>
      </c>
      <c r="C90" s="186" t="s">
        <v>618</v>
      </c>
      <c r="D90" s="183">
        <v>1</v>
      </c>
      <c r="E90" s="148" t="s">
        <v>367</v>
      </c>
      <c r="F90" s="148">
        <v>4</v>
      </c>
      <c r="G90" s="183" t="s">
        <v>244</v>
      </c>
      <c r="H90" s="36">
        <v>50</v>
      </c>
      <c r="I90" s="148">
        <v>38</v>
      </c>
      <c r="J90" s="36">
        <v>5</v>
      </c>
      <c r="K90" s="191">
        <v>829.01699625399999</v>
      </c>
      <c r="L90" s="189">
        <v>883712.46029800002</v>
      </c>
      <c r="M90" s="183"/>
      <c r="N90" s="183" t="s">
        <v>277</v>
      </c>
      <c r="O90" s="193" t="s">
        <v>246</v>
      </c>
      <c r="P90" s="196">
        <v>44589</v>
      </c>
      <c r="Q90" s="195">
        <v>44589</v>
      </c>
      <c r="R90" s="196">
        <v>44589</v>
      </c>
      <c r="S90" s="82"/>
      <c r="T90" s="83"/>
      <c r="U90" s="184" t="str">
        <f>IF(Harm_prod_stolarnia_kliny[[#This Row],[Data wykonania]]&lt;&gt;0,"WYKONANE","NIEWYKONANE")</f>
        <v>NIEWYKONANE</v>
      </c>
      <c r="V90" s="36"/>
      <c r="W90" s="185"/>
    </row>
    <row r="91" spans="1:23" x14ac:dyDescent="0.25">
      <c r="A91" s="36">
        <v>90</v>
      </c>
      <c r="B91" s="187" t="s">
        <v>2304</v>
      </c>
      <c r="C91" s="186" t="s">
        <v>618</v>
      </c>
      <c r="D91" s="183">
        <v>1</v>
      </c>
      <c r="E91" s="148" t="s">
        <v>345</v>
      </c>
      <c r="F91" s="148">
        <v>1</v>
      </c>
      <c r="G91" s="183" t="s">
        <v>244</v>
      </c>
      <c r="H91" s="36">
        <v>50</v>
      </c>
      <c r="I91" s="148">
        <v>38</v>
      </c>
      <c r="J91" s="36">
        <v>5</v>
      </c>
      <c r="K91" s="191">
        <v>829.01567240600002</v>
      </c>
      <c r="L91" s="189">
        <v>883712.12933499995</v>
      </c>
      <c r="M91" s="183"/>
      <c r="N91" s="183" t="s">
        <v>277</v>
      </c>
      <c r="O91" s="193" t="s">
        <v>246</v>
      </c>
      <c r="P91" s="196">
        <v>44589</v>
      </c>
      <c r="Q91" s="195">
        <v>44589</v>
      </c>
      <c r="R91" s="196">
        <v>44589</v>
      </c>
      <c r="S91" s="82"/>
      <c r="T91" s="83"/>
      <c r="U91" s="184" t="str">
        <f>IF(Harm_prod_stolarnia_kliny[[#This Row],[Data wykonania]]&lt;&gt;0,"WYKONANE","NIEWYKONANE")</f>
        <v>NIEWYKONANE</v>
      </c>
      <c r="V91" s="36"/>
      <c r="W91" s="185"/>
    </row>
    <row r="92" spans="1:23" x14ac:dyDescent="0.25">
      <c r="A92" s="36">
        <v>91</v>
      </c>
      <c r="B92" s="187" t="s">
        <v>2266</v>
      </c>
      <c r="C92" s="186" t="s">
        <v>507</v>
      </c>
      <c r="D92" s="183">
        <v>1</v>
      </c>
      <c r="E92" s="148" t="s">
        <v>342</v>
      </c>
      <c r="F92" s="148">
        <v>2</v>
      </c>
      <c r="G92" s="183" t="s">
        <v>244</v>
      </c>
      <c r="H92" s="36">
        <v>50</v>
      </c>
      <c r="I92" s="148">
        <v>30</v>
      </c>
      <c r="J92" s="36">
        <v>25</v>
      </c>
      <c r="K92" s="191">
        <v>193.96132701299999</v>
      </c>
      <c r="L92" s="189">
        <v>266998.26627000002</v>
      </c>
      <c r="M92" s="183"/>
      <c r="N92" s="183" t="s">
        <v>245</v>
      </c>
      <c r="O92" s="193" t="s">
        <v>246</v>
      </c>
      <c r="P92" s="196">
        <v>44589</v>
      </c>
      <c r="Q92" s="195">
        <v>44589</v>
      </c>
      <c r="R92" s="196">
        <v>44589</v>
      </c>
      <c r="S92" s="82"/>
      <c r="T92" s="83"/>
      <c r="U92" s="184" t="str">
        <f>IF(Harm_prod_stolarnia_kliny[[#This Row],[Data wykonania]]&lt;&gt;0,"WYKONANE","NIEWYKONANE")</f>
        <v>NIEWYKONANE</v>
      </c>
      <c r="V92" s="36"/>
      <c r="W92" s="185"/>
    </row>
    <row r="93" spans="1:23" x14ac:dyDescent="0.25">
      <c r="A93" s="36">
        <v>92</v>
      </c>
      <c r="B93" s="187" t="s">
        <v>2267</v>
      </c>
      <c r="C93" s="186" t="s">
        <v>507</v>
      </c>
      <c r="D93" s="183">
        <v>1</v>
      </c>
      <c r="E93" s="148" t="s">
        <v>342</v>
      </c>
      <c r="F93" s="148">
        <v>2</v>
      </c>
      <c r="G93" s="183" t="s">
        <v>244</v>
      </c>
      <c r="H93" s="36">
        <v>50</v>
      </c>
      <c r="I93" s="148">
        <v>30</v>
      </c>
      <c r="J93" s="36">
        <v>25</v>
      </c>
      <c r="K93" s="191">
        <v>193.96132701299999</v>
      </c>
      <c r="L93" s="189">
        <v>266998.26627000002</v>
      </c>
      <c r="M93" s="183"/>
      <c r="N93" s="183" t="s">
        <v>245</v>
      </c>
      <c r="O93" s="193" t="s">
        <v>246</v>
      </c>
      <c r="P93" s="196">
        <v>44589</v>
      </c>
      <c r="Q93" s="195">
        <v>44589</v>
      </c>
      <c r="R93" s="196">
        <v>44589</v>
      </c>
      <c r="S93" s="82"/>
      <c r="T93" s="83"/>
      <c r="U93" s="184" t="str">
        <f>IF(Harm_prod_stolarnia_kliny[[#This Row],[Data wykonania]]&lt;&gt;0,"WYKONANE","NIEWYKONANE")</f>
        <v>NIEWYKONANE</v>
      </c>
      <c r="V93" s="36"/>
      <c r="W93" s="185"/>
    </row>
    <row r="94" spans="1:23" x14ac:dyDescent="0.25">
      <c r="A94" s="36">
        <v>93</v>
      </c>
      <c r="B94" s="187" t="s">
        <v>2268</v>
      </c>
      <c r="C94" s="186" t="s">
        <v>507</v>
      </c>
      <c r="D94" s="183">
        <v>1</v>
      </c>
      <c r="E94" s="148" t="s">
        <v>342</v>
      </c>
      <c r="F94" s="148">
        <v>2</v>
      </c>
      <c r="G94" s="183" t="s">
        <v>244</v>
      </c>
      <c r="H94" s="36">
        <v>50</v>
      </c>
      <c r="I94" s="148">
        <v>30</v>
      </c>
      <c r="J94" s="36">
        <v>25</v>
      </c>
      <c r="K94" s="191">
        <v>193.96132701299999</v>
      </c>
      <c r="L94" s="189">
        <v>266998.26627000002</v>
      </c>
      <c r="M94" s="183"/>
      <c r="N94" s="183" t="s">
        <v>245</v>
      </c>
      <c r="O94" s="193" t="s">
        <v>246</v>
      </c>
      <c r="P94" s="196">
        <v>44589</v>
      </c>
      <c r="Q94" s="195">
        <v>44589</v>
      </c>
      <c r="R94" s="196">
        <v>44589</v>
      </c>
      <c r="S94" s="82"/>
      <c r="T94" s="83"/>
      <c r="U94" s="184" t="str">
        <f>IF(Harm_prod_stolarnia_kliny[[#This Row],[Data wykonania]]&lt;&gt;0,"WYKONANE","NIEWYKONANE")</f>
        <v>NIEWYKONANE</v>
      </c>
      <c r="V94" s="36"/>
      <c r="W94" s="185"/>
    </row>
    <row r="95" spans="1:23" x14ac:dyDescent="0.25">
      <c r="A95" s="36">
        <v>94</v>
      </c>
      <c r="B95" s="187" t="s">
        <v>2269</v>
      </c>
      <c r="C95" s="186" t="s">
        <v>507</v>
      </c>
      <c r="D95" s="183">
        <v>1</v>
      </c>
      <c r="E95" s="148" t="s">
        <v>342</v>
      </c>
      <c r="F95" s="148">
        <v>2</v>
      </c>
      <c r="G95" s="183" t="s">
        <v>244</v>
      </c>
      <c r="H95" s="36">
        <v>50</v>
      </c>
      <c r="I95" s="148">
        <v>30</v>
      </c>
      <c r="J95" s="36">
        <v>25</v>
      </c>
      <c r="K95" s="191">
        <v>193.96132701299999</v>
      </c>
      <c r="L95" s="189">
        <v>266998.26627099997</v>
      </c>
      <c r="M95" s="183"/>
      <c r="N95" s="183" t="s">
        <v>245</v>
      </c>
      <c r="O95" s="193" t="s">
        <v>246</v>
      </c>
      <c r="P95" s="196">
        <v>44589</v>
      </c>
      <c r="Q95" s="195">
        <v>44589</v>
      </c>
      <c r="R95" s="196">
        <v>44589</v>
      </c>
      <c r="S95" s="82"/>
      <c r="T95" s="83"/>
      <c r="U95" s="184" t="str">
        <f>IF(Harm_prod_stolarnia_kliny[[#This Row],[Data wykonania]]&lt;&gt;0,"WYKONANE","NIEWYKONANE")</f>
        <v>NIEWYKONANE</v>
      </c>
      <c r="V95" s="36"/>
      <c r="W95" s="185"/>
    </row>
    <row r="96" spans="1:23" x14ac:dyDescent="0.25">
      <c r="A96" s="36">
        <v>95</v>
      </c>
      <c r="B96" s="187" t="s">
        <v>2270</v>
      </c>
      <c r="C96" s="186" t="s">
        <v>507</v>
      </c>
      <c r="D96" s="183">
        <v>1</v>
      </c>
      <c r="E96" s="148" t="s">
        <v>342</v>
      </c>
      <c r="F96" s="148">
        <v>2</v>
      </c>
      <c r="G96" s="183" t="s">
        <v>244</v>
      </c>
      <c r="H96" s="36">
        <v>50</v>
      </c>
      <c r="I96" s="148">
        <v>30</v>
      </c>
      <c r="J96" s="36">
        <v>25</v>
      </c>
      <c r="K96" s="191">
        <v>193.96132701299999</v>
      </c>
      <c r="L96" s="189">
        <v>266998.26627000002</v>
      </c>
      <c r="M96" s="183"/>
      <c r="N96" s="183" t="s">
        <v>245</v>
      </c>
      <c r="O96" s="193" t="s">
        <v>246</v>
      </c>
      <c r="P96" s="196">
        <v>44589</v>
      </c>
      <c r="Q96" s="195">
        <v>44589</v>
      </c>
      <c r="R96" s="196">
        <v>44589</v>
      </c>
      <c r="S96" s="82"/>
      <c r="T96" s="83"/>
      <c r="U96" s="184" t="str">
        <f>IF(Harm_prod_stolarnia_kliny[[#This Row],[Data wykonania]]&lt;&gt;0,"WYKONANE","NIEWYKONANE")</f>
        <v>NIEWYKONANE</v>
      </c>
      <c r="V96" s="36"/>
      <c r="W96" s="185"/>
    </row>
    <row r="97" spans="1:23" x14ac:dyDescent="0.25">
      <c r="A97" s="36">
        <v>96</v>
      </c>
      <c r="B97" s="187" t="s">
        <v>2271</v>
      </c>
      <c r="C97" s="186" t="s">
        <v>507</v>
      </c>
      <c r="D97" s="183">
        <v>1</v>
      </c>
      <c r="E97" s="148" t="s">
        <v>342</v>
      </c>
      <c r="F97" s="148">
        <v>2</v>
      </c>
      <c r="G97" s="183" t="s">
        <v>244</v>
      </c>
      <c r="H97" s="36">
        <v>50</v>
      </c>
      <c r="I97" s="148">
        <v>30</v>
      </c>
      <c r="J97" s="36">
        <v>25</v>
      </c>
      <c r="K97" s="191">
        <v>193.96132701299999</v>
      </c>
      <c r="L97" s="189">
        <v>266998.26627000002</v>
      </c>
      <c r="M97" s="183"/>
      <c r="N97" s="183" t="s">
        <v>245</v>
      </c>
      <c r="O97" s="193" t="s">
        <v>246</v>
      </c>
      <c r="P97" s="196">
        <v>44589</v>
      </c>
      <c r="Q97" s="195">
        <v>44589</v>
      </c>
      <c r="R97" s="196">
        <v>44589</v>
      </c>
      <c r="S97" s="82"/>
      <c r="T97" s="83"/>
      <c r="U97" s="184" t="str">
        <f>IF(Harm_prod_stolarnia_kliny[[#This Row],[Data wykonania]]&lt;&gt;0,"WYKONANE","NIEWYKONANE")</f>
        <v>NIEWYKONANE</v>
      </c>
      <c r="V97" s="36"/>
      <c r="W97" s="185"/>
    </row>
    <row r="98" spans="1:23" x14ac:dyDescent="0.25">
      <c r="A98" s="36">
        <v>97</v>
      </c>
      <c r="B98" s="187" t="s">
        <v>2272</v>
      </c>
      <c r="C98" s="186" t="s">
        <v>507</v>
      </c>
      <c r="D98" s="183">
        <v>1</v>
      </c>
      <c r="E98" s="148" t="s">
        <v>342</v>
      </c>
      <c r="F98" s="148">
        <v>2</v>
      </c>
      <c r="G98" s="183" t="s">
        <v>244</v>
      </c>
      <c r="H98" s="36">
        <v>50</v>
      </c>
      <c r="I98" s="148">
        <v>30</v>
      </c>
      <c r="J98" s="36">
        <v>25</v>
      </c>
      <c r="K98" s="191">
        <v>193.96132701299999</v>
      </c>
      <c r="L98" s="189">
        <v>266998.26627000002</v>
      </c>
      <c r="M98" s="183"/>
      <c r="N98" s="183" t="s">
        <v>245</v>
      </c>
      <c r="O98" s="193" t="s">
        <v>246</v>
      </c>
      <c r="P98" s="196">
        <v>44589</v>
      </c>
      <c r="Q98" s="195">
        <v>44589</v>
      </c>
      <c r="R98" s="196">
        <v>44589</v>
      </c>
      <c r="S98" s="82"/>
      <c r="T98" s="83"/>
      <c r="U98" s="184" t="str">
        <f>IF(Harm_prod_stolarnia_kliny[[#This Row],[Data wykonania]]&lt;&gt;0,"WYKONANE","NIEWYKONANE")</f>
        <v>NIEWYKONANE</v>
      </c>
      <c r="V98" s="36"/>
      <c r="W98" s="185"/>
    </row>
    <row r="99" spans="1:23" x14ac:dyDescent="0.25">
      <c r="A99" s="36">
        <v>98</v>
      </c>
      <c r="B99" s="187" t="s">
        <v>2273</v>
      </c>
      <c r="C99" s="186" t="s">
        <v>507</v>
      </c>
      <c r="D99" s="183">
        <v>1</v>
      </c>
      <c r="E99" s="148" t="s">
        <v>342</v>
      </c>
      <c r="F99" s="148">
        <v>2</v>
      </c>
      <c r="G99" s="183" t="s">
        <v>244</v>
      </c>
      <c r="H99" s="36">
        <v>50</v>
      </c>
      <c r="I99" s="148">
        <v>30</v>
      </c>
      <c r="J99" s="36">
        <v>25</v>
      </c>
      <c r="K99" s="191">
        <v>193.96132701299999</v>
      </c>
      <c r="L99" s="189">
        <v>266998.26627099997</v>
      </c>
      <c r="M99" s="183"/>
      <c r="N99" s="183" t="s">
        <v>245</v>
      </c>
      <c r="O99" s="193" t="s">
        <v>246</v>
      </c>
      <c r="P99" s="196">
        <v>44589</v>
      </c>
      <c r="Q99" s="195">
        <v>44589</v>
      </c>
      <c r="R99" s="196">
        <v>44589</v>
      </c>
      <c r="S99" s="82"/>
      <c r="T99" s="83"/>
      <c r="U99" s="184" t="str">
        <f>IF(Harm_prod_stolarnia_kliny[[#This Row],[Data wykonania]]&lt;&gt;0,"WYKONANE","NIEWYKONANE")</f>
        <v>NIEWYKONANE</v>
      </c>
      <c r="V99" s="36"/>
      <c r="W99" s="185"/>
    </row>
    <row r="100" spans="1:23" x14ac:dyDescent="0.25">
      <c r="A100" s="36">
        <v>99</v>
      </c>
      <c r="B100" s="187" t="s">
        <v>2274</v>
      </c>
      <c r="C100" s="186" t="s">
        <v>507</v>
      </c>
      <c r="D100" s="183">
        <v>1</v>
      </c>
      <c r="E100" s="148" t="s">
        <v>342</v>
      </c>
      <c r="F100" s="148">
        <v>2</v>
      </c>
      <c r="G100" s="183" t="s">
        <v>244</v>
      </c>
      <c r="H100" s="36">
        <v>50</v>
      </c>
      <c r="I100" s="148">
        <v>30</v>
      </c>
      <c r="J100" s="36">
        <v>25</v>
      </c>
      <c r="K100" s="191">
        <v>193.96132701299999</v>
      </c>
      <c r="L100" s="189">
        <v>266998.26627000002</v>
      </c>
      <c r="M100" s="183"/>
      <c r="N100" s="183" t="s">
        <v>245</v>
      </c>
      <c r="O100" s="193" t="s">
        <v>246</v>
      </c>
      <c r="P100" s="196">
        <v>44589</v>
      </c>
      <c r="Q100" s="195">
        <v>44589</v>
      </c>
      <c r="R100" s="196">
        <v>44589</v>
      </c>
      <c r="S100" s="82"/>
      <c r="T100" s="83"/>
      <c r="U100" s="184" t="str">
        <f>IF(Harm_prod_stolarnia_kliny[[#This Row],[Data wykonania]]&lt;&gt;0,"WYKONANE","NIEWYKONANE")</f>
        <v>NIEWYKONANE</v>
      </c>
      <c r="V100" s="36"/>
      <c r="W100" s="185"/>
    </row>
    <row r="101" spans="1:23" x14ac:dyDescent="0.25">
      <c r="A101" s="36">
        <v>100</v>
      </c>
      <c r="B101" s="187" t="s">
        <v>2275</v>
      </c>
      <c r="C101" s="186" t="s">
        <v>507</v>
      </c>
      <c r="D101" s="183">
        <v>1</v>
      </c>
      <c r="E101" s="148" t="s">
        <v>342</v>
      </c>
      <c r="F101" s="148">
        <v>2</v>
      </c>
      <c r="G101" s="183" t="s">
        <v>244</v>
      </c>
      <c r="H101" s="36">
        <v>50</v>
      </c>
      <c r="I101" s="148">
        <v>30</v>
      </c>
      <c r="J101" s="36">
        <v>25</v>
      </c>
      <c r="K101" s="191">
        <v>193.96132701299999</v>
      </c>
      <c r="L101" s="189">
        <v>266998.26627000002</v>
      </c>
      <c r="M101" s="183"/>
      <c r="N101" s="183" t="s">
        <v>245</v>
      </c>
      <c r="O101" s="193" t="s">
        <v>246</v>
      </c>
      <c r="P101" s="196">
        <v>44589</v>
      </c>
      <c r="Q101" s="195">
        <v>44589</v>
      </c>
      <c r="R101" s="196">
        <v>44589</v>
      </c>
      <c r="S101" s="82"/>
      <c r="T101" s="83"/>
      <c r="U101" s="184" t="str">
        <f>IF(Harm_prod_stolarnia_kliny[[#This Row],[Data wykonania]]&lt;&gt;0,"WYKONANE","NIEWYKONANE")</f>
        <v>NIEWYKONANE</v>
      </c>
      <c r="V101" s="36"/>
      <c r="W101" s="185"/>
    </row>
    <row r="102" spans="1:23" x14ac:dyDescent="0.25">
      <c r="A102" s="36">
        <v>101</v>
      </c>
      <c r="B102" s="187" t="s">
        <v>2276</v>
      </c>
      <c r="C102" s="186" t="s">
        <v>507</v>
      </c>
      <c r="D102" s="183">
        <v>1</v>
      </c>
      <c r="E102" s="148" t="s">
        <v>342</v>
      </c>
      <c r="F102" s="148">
        <v>2</v>
      </c>
      <c r="G102" s="183" t="s">
        <v>244</v>
      </c>
      <c r="H102" s="36">
        <v>50</v>
      </c>
      <c r="I102" s="148">
        <v>30</v>
      </c>
      <c r="J102" s="36">
        <v>25</v>
      </c>
      <c r="K102" s="191">
        <v>193.96132701299999</v>
      </c>
      <c r="L102" s="189">
        <v>266998.26627000002</v>
      </c>
      <c r="M102" s="183"/>
      <c r="N102" s="183" t="s">
        <v>245</v>
      </c>
      <c r="O102" s="193" t="s">
        <v>246</v>
      </c>
      <c r="P102" s="196">
        <v>44589</v>
      </c>
      <c r="Q102" s="195">
        <v>44589</v>
      </c>
      <c r="R102" s="196">
        <v>44589</v>
      </c>
      <c r="S102" s="82"/>
      <c r="T102" s="83"/>
      <c r="U102" s="184" t="str">
        <f>IF(Harm_prod_stolarnia_kliny[[#This Row],[Data wykonania]]&lt;&gt;0,"WYKONANE","NIEWYKONANE")</f>
        <v>NIEWYKONANE</v>
      </c>
      <c r="V102" s="36"/>
      <c r="W102" s="185"/>
    </row>
    <row r="103" spans="1:23" x14ac:dyDescent="0.25">
      <c r="A103" s="36">
        <v>102</v>
      </c>
      <c r="B103" s="187" t="s">
        <v>2277</v>
      </c>
      <c r="C103" s="186" t="s">
        <v>507</v>
      </c>
      <c r="D103" s="183">
        <v>1</v>
      </c>
      <c r="E103" s="148" t="s">
        <v>342</v>
      </c>
      <c r="F103" s="148">
        <v>2</v>
      </c>
      <c r="G103" s="183" t="s">
        <v>244</v>
      </c>
      <c r="H103" s="36">
        <v>50</v>
      </c>
      <c r="I103" s="148">
        <v>30</v>
      </c>
      <c r="J103" s="36">
        <v>25</v>
      </c>
      <c r="K103" s="191">
        <v>193.96132701299999</v>
      </c>
      <c r="L103" s="189">
        <v>266998.26627000002</v>
      </c>
      <c r="M103" s="183"/>
      <c r="N103" s="183" t="s">
        <v>245</v>
      </c>
      <c r="O103" s="193" t="s">
        <v>246</v>
      </c>
      <c r="P103" s="196">
        <v>44589</v>
      </c>
      <c r="Q103" s="195">
        <v>44589</v>
      </c>
      <c r="R103" s="196">
        <v>44589</v>
      </c>
      <c r="S103" s="82"/>
      <c r="T103" s="83"/>
      <c r="U103" s="184" t="str">
        <f>IF(Harm_prod_stolarnia_kliny[[#This Row],[Data wykonania]]&lt;&gt;0,"WYKONANE","NIEWYKONANE")</f>
        <v>NIEWYKONANE</v>
      </c>
      <c r="V103" s="36"/>
      <c r="W103" s="185"/>
    </row>
    <row r="104" spans="1:23" x14ac:dyDescent="0.25">
      <c r="A104" s="36">
        <v>103</v>
      </c>
      <c r="B104" s="187" t="s">
        <v>2278</v>
      </c>
      <c r="C104" s="186" t="s">
        <v>507</v>
      </c>
      <c r="D104" s="183">
        <v>1</v>
      </c>
      <c r="E104" s="148" t="s">
        <v>342</v>
      </c>
      <c r="F104" s="148">
        <v>2</v>
      </c>
      <c r="G104" s="183" t="s">
        <v>244</v>
      </c>
      <c r="H104" s="36">
        <v>50</v>
      </c>
      <c r="I104" s="148">
        <v>30</v>
      </c>
      <c r="J104" s="36">
        <v>25</v>
      </c>
      <c r="K104" s="191">
        <v>193.96132701299999</v>
      </c>
      <c r="L104" s="189">
        <v>266998.26627000002</v>
      </c>
      <c r="M104" s="183"/>
      <c r="N104" s="183" t="s">
        <v>245</v>
      </c>
      <c r="O104" s="193" t="s">
        <v>246</v>
      </c>
      <c r="P104" s="196">
        <v>44589</v>
      </c>
      <c r="Q104" s="195">
        <v>44589</v>
      </c>
      <c r="R104" s="196">
        <v>44589</v>
      </c>
      <c r="S104" s="82"/>
      <c r="T104" s="83"/>
      <c r="U104" s="184" t="str">
        <f>IF(Harm_prod_stolarnia_kliny[[#This Row],[Data wykonania]]&lt;&gt;0,"WYKONANE","NIEWYKONANE")</f>
        <v>NIEWYKONANE</v>
      </c>
      <c r="V104" s="36"/>
      <c r="W104" s="185"/>
    </row>
    <row r="105" spans="1:23" x14ac:dyDescent="0.25">
      <c r="A105" s="36">
        <v>104</v>
      </c>
      <c r="B105" s="187" t="s">
        <v>2279</v>
      </c>
      <c r="C105" s="186" t="s">
        <v>507</v>
      </c>
      <c r="D105" s="183">
        <v>1</v>
      </c>
      <c r="E105" s="148" t="s">
        <v>342</v>
      </c>
      <c r="F105" s="148">
        <v>2</v>
      </c>
      <c r="G105" s="183" t="s">
        <v>244</v>
      </c>
      <c r="H105" s="36">
        <v>50</v>
      </c>
      <c r="I105" s="148">
        <v>30</v>
      </c>
      <c r="J105" s="36">
        <v>25</v>
      </c>
      <c r="K105" s="191">
        <v>193.96132701299999</v>
      </c>
      <c r="L105" s="189">
        <v>266998.26627000002</v>
      </c>
      <c r="M105" s="183"/>
      <c r="N105" s="183" t="s">
        <v>245</v>
      </c>
      <c r="O105" s="193" t="s">
        <v>246</v>
      </c>
      <c r="P105" s="196">
        <v>44589</v>
      </c>
      <c r="Q105" s="195">
        <v>44589</v>
      </c>
      <c r="R105" s="196">
        <v>44589</v>
      </c>
      <c r="S105" s="82"/>
      <c r="T105" s="83"/>
      <c r="U105" s="184" t="str">
        <f>IF(Harm_prod_stolarnia_kliny[[#This Row],[Data wykonania]]&lt;&gt;0,"WYKONANE","NIEWYKONANE")</f>
        <v>NIEWYKONANE</v>
      </c>
      <c r="V105" s="36"/>
      <c r="W105" s="185"/>
    </row>
    <row r="106" spans="1:23" x14ac:dyDescent="0.25">
      <c r="A106" s="36">
        <v>105</v>
      </c>
      <c r="B106" s="187" t="s">
        <v>2280</v>
      </c>
      <c r="C106" s="186" t="s">
        <v>507</v>
      </c>
      <c r="D106" s="183">
        <v>1</v>
      </c>
      <c r="E106" s="148" t="s">
        <v>342</v>
      </c>
      <c r="F106" s="148">
        <v>2</v>
      </c>
      <c r="G106" s="183" t="s">
        <v>244</v>
      </c>
      <c r="H106" s="36">
        <v>50</v>
      </c>
      <c r="I106" s="148">
        <v>30</v>
      </c>
      <c r="J106" s="36">
        <v>25</v>
      </c>
      <c r="K106" s="191">
        <v>193.96132701299999</v>
      </c>
      <c r="L106" s="189">
        <v>266998.26627000002</v>
      </c>
      <c r="M106" s="183"/>
      <c r="N106" s="183" t="s">
        <v>245</v>
      </c>
      <c r="O106" s="193" t="s">
        <v>246</v>
      </c>
      <c r="P106" s="196">
        <v>44589</v>
      </c>
      <c r="Q106" s="195">
        <v>44589</v>
      </c>
      <c r="R106" s="196">
        <v>44589</v>
      </c>
      <c r="S106" s="82"/>
      <c r="T106" s="83"/>
      <c r="U106" s="184" t="str">
        <f>IF(Harm_prod_stolarnia_kliny[[#This Row],[Data wykonania]]&lt;&gt;0,"WYKONANE","NIEWYKONANE")</f>
        <v>NIEWYKONANE</v>
      </c>
      <c r="V106" s="36"/>
      <c r="W106" s="185"/>
    </row>
    <row r="107" spans="1:23" x14ac:dyDescent="0.25">
      <c r="A107" s="36">
        <v>106</v>
      </c>
      <c r="B107" s="187" t="s">
        <v>2281</v>
      </c>
      <c r="C107" s="186" t="s">
        <v>507</v>
      </c>
      <c r="D107" s="183">
        <v>1</v>
      </c>
      <c r="E107" s="148" t="s">
        <v>342</v>
      </c>
      <c r="F107" s="148">
        <v>2</v>
      </c>
      <c r="G107" s="183" t="s">
        <v>244</v>
      </c>
      <c r="H107" s="36">
        <v>50</v>
      </c>
      <c r="I107" s="148">
        <v>30</v>
      </c>
      <c r="J107" s="36">
        <v>25</v>
      </c>
      <c r="K107" s="191">
        <v>193.96132701299999</v>
      </c>
      <c r="L107" s="189">
        <v>266998.26627000002</v>
      </c>
      <c r="M107" s="183"/>
      <c r="N107" s="183" t="s">
        <v>245</v>
      </c>
      <c r="O107" s="193" t="s">
        <v>246</v>
      </c>
      <c r="P107" s="196">
        <v>44589</v>
      </c>
      <c r="Q107" s="195">
        <v>44589</v>
      </c>
      <c r="R107" s="196">
        <v>44589</v>
      </c>
      <c r="S107" s="82"/>
      <c r="T107" s="83"/>
      <c r="U107" s="184" t="str">
        <f>IF(Harm_prod_stolarnia_kliny[[#This Row],[Data wykonania]]&lt;&gt;0,"WYKONANE","NIEWYKONANE")</f>
        <v>NIEWYKONANE</v>
      </c>
      <c r="V107" s="36"/>
      <c r="W107" s="185"/>
    </row>
    <row r="108" spans="1:23" x14ac:dyDescent="0.25">
      <c r="A108" s="36">
        <v>107</v>
      </c>
      <c r="B108" s="187" t="s">
        <v>2282</v>
      </c>
      <c r="C108" s="186" t="s">
        <v>507</v>
      </c>
      <c r="D108" s="183">
        <v>1</v>
      </c>
      <c r="E108" s="148" t="s">
        <v>342</v>
      </c>
      <c r="F108" s="148">
        <v>2</v>
      </c>
      <c r="G108" s="183" t="s">
        <v>244</v>
      </c>
      <c r="H108" s="36">
        <v>50</v>
      </c>
      <c r="I108" s="148">
        <v>30</v>
      </c>
      <c r="J108" s="36">
        <v>25</v>
      </c>
      <c r="K108" s="191">
        <v>193.96132701299999</v>
      </c>
      <c r="L108" s="189">
        <v>266998.26627000002</v>
      </c>
      <c r="M108" s="183"/>
      <c r="N108" s="183" t="s">
        <v>245</v>
      </c>
      <c r="O108" s="193" t="s">
        <v>246</v>
      </c>
      <c r="P108" s="196">
        <v>44589</v>
      </c>
      <c r="Q108" s="195">
        <v>44589</v>
      </c>
      <c r="R108" s="196">
        <v>44589</v>
      </c>
      <c r="S108" s="82"/>
      <c r="T108" s="83"/>
      <c r="U108" s="184" t="str">
        <f>IF(Harm_prod_stolarnia_kliny[[#This Row],[Data wykonania]]&lt;&gt;0,"WYKONANE","NIEWYKONANE")</f>
        <v>NIEWYKONANE</v>
      </c>
      <c r="V108" s="36"/>
      <c r="W108" s="185"/>
    </row>
    <row r="109" spans="1:23" x14ac:dyDescent="0.25">
      <c r="A109" s="36">
        <v>108</v>
      </c>
      <c r="B109" s="187" t="s">
        <v>2283</v>
      </c>
      <c r="C109" s="186" t="s">
        <v>507</v>
      </c>
      <c r="D109" s="183">
        <v>1</v>
      </c>
      <c r="E109" s="148" t="s">
        <v>342</v>
      </c>
      <c r="F109" s="148">
        <v>2</v>
      </c>
      <c r="G109" s="183" t="s">
        <v>244</v>
      </c>
      <c r="H109" s="36">
        <v>50</v>
      </c>
      <c r="I109" s="148">
        <v>30</v>
      </c>
      <c r="J109" s="36">
        <v>25</v>
      </c>
      <c r="K109" s="191">
        <v>193.96132701299999</v>
      </c>
      <c r="L109" s="189">
        <v>266998.26627099997</v>
      </c>
      <c r="M109" s="183"/>
      <c r="N109" s="183" t="s">
        <v>245</v>
      </c>
      <c r="O109" s="193" t="s">
        <v>246</v>
      </c>
      <c r="P109" s="196">
        <v>44589</v>
      </c>
      <c r="Q109" s="195">
        <v>44589</v>
      </c>
      <c r="R109" s="196">
        <v>44589</v>
      </c>
      <c r="S109" s="82"/>
      <c r="T109" s="83"/>
      <c r="U109" s="184" t="str">
        <f>IF(Harm_prod_stolarnia_kliny[[#This Row],[Data wykonania]]&lt;&gt;0,"WYKONANE","NIEWYKONANE")</f>
        <v>NIEWYKONANE</v>
      </c>
      <c r="V109" s="36"/>
      <c r="W109" s="185"/>
    </row>
    <row r="110" spans="1:23" x14ac:dyDescent="0.25">
      <c r="A110" s="36">
        <v>109</v>
      </c>
      <c r="B110" s="187" t="s">
        <v>2284</v>
      </c>
      <c r="C110" s="186" t="s">
        <v>507</v>
      </c>
      <c r="D110" s="183">
        <v>1</v>
      </c>
      <c r="E110" s="148" t="s">
        <v>342</v>
      </c>
      <c r="F110" s="148">
        <v>2</v>
      </c>
      <c r="G110" s="183" t="s">
        <v>244</v>
      </c>
      <c r="H110" s="36">
        <v>50</v>
      </c>
      <c r="I110" s="148">
        <v>30</v>
      </c>
      <c r="J110" s="36">
        <v>25</v>
      </c>
      <c r="K110" s="191">
        <v>193.96132701299999</v>
      </c>
      <c r="L110" s="189">
        <v>266998.26627000002</v>
      </c>
      <c r="M110" s="183"/>
      <c r="N110" s="183" t="s">
        <v>245</v>
      </c>
      <c r="O110" s="193" t="s">
        <v>246</v>
      </c>
      <c r="P110" s="196">
        <v>44589</v>
      </c>
      <c r="Q110" s="195">
        <v>44589</v>
      </c>
      <c r="R110" s="196">
        <v>44589</v>
      </c>
      <c r="S110" s="82"/>
      <c r="T110" s="83"/>
      <c r="U110" s="184" t="str">
        <f>IF(Harm_prod_stolarnia_kliny[[#This Row],[Data wykonania]]&lt;&gt;0,"WYKONANE","NIEWYKONANE")</f>
        <v>NIEWYKONANE</v>
      </c>
      <c r="V110" s="36"/>
      <c r="W110" s="185"/>
    </row>
    <row r="111" spans="1:23" x14ac:dyDescent="0.25">
      <c r="A111" s="36">
        <v>110</v>
      </c>
      <c r="B111" s="187" t="s">
        <v>2285</v>
      </c>
      <c r="C111" s="186" t="s">
        <v>507</v>
      </c>
      <c r="D111" s="183">
        <v>1</v>
      </c>
      <c r="E111" s="148" t="s">
        <v>342</v>
      </c>
      <c r="F111" s="148">
        <v>2</v>
      </c>
      <c r="G111" s="183" t="s">
        <v>244</v>
      </c>
      <c r="H111" s="36">
        <v>50</v>
      </c>
      <c r="I111" s="148">
        <v>30</v>
      </c>
      <c r="J111" s="36">
        <v>25</v>
      </c>
      <c r="K111" s="191">
        <v>193.96132701299999</v>
      </c>
      <c r="L111" s="189">
        <v>266998.26627000002</v>
      </c>
      <c r="M111" s="183"/>
      <c r="N111" s="183" t="s">
        <v>245</v>
      </c>
      <c r="O111" s="193" t="s">
        <v>246</v>
      </c>
      <c r="P111" s="196">
        <v>44589</v>
      </c>
      <c r="Q111" s="195">
        <v>44589</v>
      </c>
      <c r="R111" s="196">
        <v>44589</v>
      </c>
      <c r="S111" s="82"/>
      <c r="T111" s="83"/>
      <c r="U111" s="184" t="str">
        <f>IF(Harm_prod_stolarnia_kliny[[#This Row],[Data wykonania]]&lt;&gt;0,"WYKONANE","NIEWYKONANE")</f>
        <v>NIEWYKONANE</v>
      </c>
      <c r="V111" s="36"/>
      <c r="W111" s="185"/>
    </row>
    <row r="112" spans="1:23" x14ac:dyDescent="0.25">
      <c r="A112" s="36">
        <v>111</v>
      </c>
      <c r="B112" s="187" t="s">
        <v>2286</v>
      </c>
      <c r="C112" s="186" t="s">
        <v>507</v>
      </c>
      <c r="D112" s="183">
        <v>1</v>
      </c>
      <c r="E112" s="148" t="s">
        <v>342</v>
      </c>
      <c r="F112" s="148">
        <v>2</v>
      </c>
      <c r="G112" s="183" t="s">
        <v>244</v>
      </c>
      <c r="H112" s="36">
        <v>50</v>
      </c>
      <c r="I112" s="148">
        <v>30</v>
      </c>
      <c r="J112" s="36">
        <v>25</v>
      </c>
      <c r="K112" s="191">
        <v>193.96132701299999</v>
      </c>
      <c r="L112" s="189">
        <v>266998.26627000002</v>
      </c>
      <c r="M112" s="183"/>
      <c r="N112" s="183" t="s">
        <v>245</v>
      </c>
      <c r="O112" s="193" t="s">
        <v>246</v>
      </c>
      <c r="P112" s="196">
        <v>44589</v>
      </c>
      <c r="Q112" s="195">
        <v>44589</v>
      </c>
      <c r="R112" s="196">
        <v>44589</v>
      </c>
      <c r="S112" s="82"/>
      <c r="T112" s="83"/>
      <c r="U112" s="184" t="str">
        <f>IF(Harm_prod_stolarnia_kliny[[#This Row],[Data wykonania]]&lt;&gt;0,"WYKONANE","NIEWYKONANE")</f>
        <v>NIEWYKONANE</v>
      </c>
      <c r="V112" s="36"/>
      <c r="W112" s="185"/>
    </row>
    <row r="113" spans="1:23" x14ac:dyDescent="0.25">
      <c r="A113" s="36">
        <v>112</v>
      </c>
      <c r="B113" s="187" t="s">
        <v>2287</v>
      </c>
      <c r="C113" s="186" t="s">
        <v>507</v>
      </c>
      <c r="D113" s="183">
        <v>1</v>
      </c>
      <c r="E113" s="148" t="s">
        <v>342</v>
      </c>
      <c r="F113" s="148">
        <v>2</v>
      </c>
      <c r="G113" s="183" t="s">
        <v>244</v>
      </c>
      <c r="H113" s="36">
        <v>50</v>
      </c>
      <c r="I113" s="148">
        <v>30</v>
      </c>
      <c r="J113" s="36">
        <v>25</v>
      </c>
      <c r="K113" s="191">
        <v>193.96132701299999</v>
      </c>
      <c r="L113" s="189">
        <v>266998.26627000002</v>
      </c>
      <c r="M113" s="183"/>
      <c r="N113" s="183" t="s">
        <v>245</v>
      </c>
      <c r="O113" s="193" t="s">
        <v>246</v>
      </c>
      <c r="P113" s="196">
        <v>44589</v>
      </c>
      <c r="Q113" s="195">
        <v>44589</v>
      </c>
      <c r="R113" s="196">
        <v>44589</v>
      </c>
      <c r="S113" s="82"/>
      <c r="T113" s="83"/>
      <c r="U113" s="184" t="str">
        <f>IF(Harm_prod_stolarnia_kliny[[#This Row],[Data wykonania]]&lt;&gt;0,"WYKONANE","NIEWYKONANE")</f>
        <v>NIEWYKONANE</v>
      </c>
      <c r="V113" s="36"/>
      <c r="W113" s="185"/>
    </row>
    <row r="114" spans="1:23" x14ac:dyDescent="0.25">
      <c r="A114" s="36">
        <v>113</v>
      </c>
      <c r="B114" s="187" t="s">
        <v>2288</v>
      </c>
      <c r="C114" s="186" t="s">
        <v>507</v>
      </c>
      <c r="D114" s="183">
        <v>1</v>
      </c>
      <c r="E114" s="148" t="s">
        <v>342</v>
      </c>
      <c r="F114" s="148">
        <v>2</v>
      </c>
      <c r="G114" s="183" t="s">
        <v>244</v>
      </c>
      <c r="H114" s="36">
        <v>50</v>
      </c>
      <c r="I114" s="148">
        <v>30</v>
      </c>
      <c r="J114" s="36">
        <v>25</v>
      </c>
      <c r="K114" s="191">
        <v>193.96132701299999</v>
      </c>
      <c r="L114" s="189">
        <v>266998.26627000002</v>
      </c>
      <c r="M114" s="183"/>
      <c r="N114" s="183" t="s">
        <v>245</v>
      </c>
      <c r="O114" s="193" t="s">
        <v>246</v>
      </c>
      <c r="P114" s="196">
        <v>44589</v>
      </c>
      <c r="Q114" s="195">
        <v>44589</v>
      </c>
      <c r="R114" s="196">
        <v>44589</v>
      </c>
      <c r="S114" s="82"/>
      <c r="T114" s="83"/>
      <c r="U114" s="184" t="str">
        <f>IF(Harm_prod_stolarnia_kliny[[#This Row],[Data wykonania]]&lt;&gt;0,"WYKONANE","NIEWYKONANE")</f>
        <v>NIEWYKONANE</v>
      </c>
      <c r="V114" s="36"/>
      <c r="W114" s="185"/>
    </row>
    <row r="115" spans="1:23" x14ac:dyDescent="0.25">
      <c r="A115" s="36">
        <v>114</v>
      </c>
      <c r="B115" s="187" t="s">
        <v>2289</v>
      </c>
      <c r="C115" s="186" t="s">
        <v>507</v>
      </c>
      <c r="D115" s="183">
        <v>1</v>
      </c>
      <c r="E115" s="148" t="s">
        <v>342</v>
      </c>
      <c r="F115" s="148">
        <v>2</v>
      </c>
      <c r="G115" s="183" t="s">
        <v>244</v>
      </c>
      <c r="H115" s="36">
        <v>50</v>
      </c>
      <c r="I115" s="148">
        <v>30</v>
      </c>
      <c r="J115" s="36">
        <v>25</v>
      </c>
      <c r="K115" s="191">
        <v>193.96132701299999</v>
      </c>
      <c r="L115" s="189">
        <v>266998.26627000002</v>
      </c>
      <c r="M115" s="183"/>
      <c r="N115" s="183" t="s">
        <v>245</v>
      </c>
      <c r="O115" s="193" t="s">
        <v>246</v>
      </c>
      <c r="P115" s="196">
        <v>44589</v>
      </c>
      <c r="Q115" s="195">
        <v>44589</v>
      </c>
      <c r="R115" s="196">
        <v>44589</v>
      </c>
      <c r="S115" s="82"/>
      <c r="T115" s="83"/>
      <c r="U115" s="184" t="str">
        <f>IF(Harm_prod_stolarnia_kliny[[#This Row],[Data wykonania]]&lt;&gt;0,"WYKONANE","NIEWYKONANE")</f>
        <v>NIEWYKONANE</v>
      </c>
      <c r="V115" s="36"/>
      <c r="W115" s="185"/>
    </row>
    <row r="116" spans="1:23" x14ac:dyDescent="0.25">
      <c r="A116" s="36">
        <v>115</v>
      </c>
      <c r="B116" s="187" t="s">
        <v>2290</v>
      </c>
      <c r="C116" s="186" t="s">
        <v>507</v>
      </c>
      <c r="D116" s="183">
        <v>1</v>
      </c>
      <c r="E116" s="148" t="s">
        <v>342</v>
      </c>
      <c r="F116" s="148">
        <v>2</v>
      </c>
      <c r="G116" s="183" t="s">
        <v>244</v>
      </c>
      <c r="H116" s="36">
        <v>50</v>
      </c>
      <c r="I116" s="148">
        <v>30</v>
      </c>
      <c r="J116" s="36">
        <v>25</v>
      </c>
      <c r="K116" s="191">
        <v>193.96132701299999</v>
      </c>
      <c r="L116" s="189">
        <v>266998.26627000002</v>
      </c>
      <c r="M116" s="183"/>
      <c r="N116" s="183" t="s">
        <v>245</v>
      </c>
      <c r="O116" s="193" t="s">
        <v>246</v>
      </c>
      <c r="P116" s="196">
        <v>44589</v>
      </c>
      <c r="Q116" s="195">
        <v>44589</v>
      </c>
      <c r="R116" s="196">
        <v>44589</v>
      </c>
      <c r="S116" s="82"/>
      <c r="T116" s="83"/>
      <c r="U116" s="184" t="str">
        <f>IF(Harm_prod_stolarnia_kliny[[#This Row],[Data wykonania]]&lt;&gt;0,"WYKONANE","NIEWYKONANE")</f>
        <v>NIEWYKONANE</v>
      </c>
      <c r="V116" s="36"/>
      <c r="W116" s="185"/>
    </row>
    <row r="117" spans="1:23" x14ac:dyDescent="0.25">
      <c r="A117" s="36">
        <v>116</v>
      </c>
      <c r="B117" s="187" t="s">
        <v>2291</v>
      </c>
      <c r="C117" s="186" t="s">
        <v>507</v>
      </c>
      <c r="D117" s="183">
        <v>1</v>
      </c>
      <c r="E117" s="148" t="s">
        <v>342</v>
      </c>
      <c r="F117" s="148">
        <v>2</v>
      </c>
      <c r="G117" s="183" t="s">
        <v>244</v>
      </c>
      <c r="H117" s="36">
        <v>50</v>
      </c>
      <c r="I117" s="148">
        <v>30</v>
      </c>
      <c r="J117" s="36">
        <v>25</v>
      </c>
      <c r="K117" s="191">
        <v>193.96132701299999</v>
      </c>
      <c r="L117" s="189">
        <v>266998.26627000002</v>
      </c>
      <c r="M117" s="183"/>
      <c r="N117" s="183" t="s">
        <v>245</v>
      </c>
      <c r="O117" s="193" t="s">
        <v>246</v>
      </c>
      <c r="P117" s="196">
        <v>44589</v>
      </c>
      <c r="Q117" s="195">
        <v>44589</v>
      </c>
      <c r="R117" s="196">
        <v>44589</v>
      </c>
      <c r="S117" s="82"/>
      <c r="T117" s="83"/>
      <c r="U117" s="184" t="str">
        <f>IF(Harm_prod_stolarnia_kliny[[#This Row],[Data wykonania]]&lt;&gt;0,"WYKONANE","NIEWYKONANE")</f>
        <v>NIEWYKONANE</v>
      </c>
      <c r="V117" s="36"/>
      <c r="W117" s="185"/>
    </row>
    <row r="118" spans="1:23" x14ac:dyDescent="0.25">
      <c r="A118" s="36">
        <v>117</v>
      </c>
      <c r="B118" s="187" t="s">
        <v>2292</v>
      </c>
      <c r="C118" s="186" t="s">
        <v>507</v>
      </c>
      <c r="D118" s="183">
        <v>1</v>
      </c>
      <c r="E118" s="148" t="s">
        <v>342</v>
      </c>
      <c r="F118" s="148">
        <v>2</v>
      </c>
      <c r="G118" s="183" t="s">
        <v>244</v>
      </c>
      <c r="H118" s="36">
        <v>50</v>
      </c>
      <c r="I118" s="148">
        <v>30</v>
      </c>
      <c r="J118" s="36">
        <v>25</v>
      </c>
      <c r="K118" s="191">
        <v>193.96132701299999</v>
      </c>
      <c r="L118" s="189">
        <v>266998.26627000002</v>
      </c>
      <c r="M118" s="183"/>
      <c r="N118" s="183" t="s">
        <v>245</v>
      </c>
      <c r="O118" s="193" t="s">
        <v>246</v>
      </c>
      <c r="P118" s="196">
        <v>44589</v>
      </c>
      <c r="Q118" s="195">
        <v>44589</v>
      </c>
      <c r="R118" s="196">
        <v>44589</v>
      </c>
      <c r="S118" s="82"/>
      <c r="T118" s="83"/>
      <c r="U118" s="184" t="str">
        <f>IF(Harm_prod_stolarnia_kliny[[#This Row],[Data wykonania]]&lt;&gt;0,"WYKONANE","NIEWYKONANE")</f>
        <v>NIEWYKONANE</v>
      </c>
      <c r="V118" s="36"/>
      <c r="W118" s="185"/>
    </row>
    <row r="119" spans="1:23" x14ac:dyDescent="0.25">
      <c r="A119" s="36">
        <v>118</v>
      </c>
      <c r="B119" s="187" t="s">
        <v>2293</v>
      </c>
      <c r="C119" s="186" t="s">
        <v>507</v>
      </c>
      <c r="D119" s="183">
        <v>1</v>
      </c>
      <c r="E119" s="148" t="s">
        <v>342</v>
      </c>
      <c r="F119" s="148">
        <v>2</v>
      </c>
      <c r="G119" s="183" t="s">
        <v>244</v>
      </c>
      <c r="H119" s="36">
        <v>50</v>
      </c>
      <c r="I119" s="148">
        <v>30</v>
      </c>
      <c r="J119" s="36">
        <v>25</v>
      </c>
      <c r="K119" s="191">
        <v>193.96132701299999</v>
      </c>
      <c r="L119" s="189">
        <v>266998.26627099997</v>
      </c>
      <c r="M119" s="183"/>
      <c r="N119" s="183" t="s">
        <v>245</v>
      </c>
      <c r="O119" s="193" t="s">
        <v>246</v>
      </c>
      <c r="P119" s="196">
        <v>44589</v>
      </c>
      <c r="Q119" s="195">
        <v>44589</v>
      </c>
      <c r="R119" s="196">
        <v>44589</v>
      </c>
      <c r="S119" s="82"/>
      <c r="T119" s="83"/>
      <c r="U119" s="184" t="str">
        <f>IF(Harm_prod_stolarnia_kliny[[#This Row],[Data wykonania]]&lt;&gt;0,"WYKONANE","NIEWYKONANE")</f>
        <v>NIEWYKONANE</v>
      </c>
      <c r="V119" s="36"/>
      <c r="W119" s="185"/>
    </row>
    <row r="120" spans="1:23" x14ac:dyDescent="0.25">
      <c r="A120" s="36">
        <v>119</v>
      </c>
      <c r="B120" s="187" t="s">
        <v>2294</v>
      </c>
      <c r="C120" s="186" t="s">
        <v>507</v>
      </c>
      <c r="D120" s="183">
        <v>1</v>
      </c>
      <c r="E120" s="148" t="s">
        <v>342</v>
      </c>
      <c r="F120" s="148">
        <v>2</v>
      </c>
      <c r="G120" s="183" t="s">
        <v>244</v>
      </c>
      <c r="H120" s="36">
        <v>50</v>
      </c>
      <c r="I120" s="148">
        <v>30</v>
      </c>
      <c r="J120" s="36">
        <v>25</v>
      </c>
      <c r="K120" s="191">
        <v>193.96132701299999</v>
      </c>
      <c r="L120" s="189">
        <v>266998.26627099997</v>
      </c>
      <c r="M120" s="183"/>
      <c r="N120" s="183" t="s">
        <v>245</v>
      </c>
      <c r="O120" s="193" t="s">
        <v>246</v>
      </c>
      <c r="P120" s="196">
        <v>44589</v>
      </c>
      <c r="Q120" s="195">
        <v>44589</v>
      </c>
      <c r="R120" s="196">
        <v>44589</v>
      </c>
      <c r="S120" s="82"/>
      <c r="T120" s="83"/>
      <c r="U120" s="184" t="str">
        <f>IF(Harm_prod_stolarnia_kliny[[#This Row],[Data wykonania]]&lt;&gt;0,"WYKONANE","NIEWYKONANE")</f>
        <v>NIEWYKONANE</v>
      </c>
      <c r="V120" s="36"/>
      <c r="W120" s="185"/>
    </row>
    <row r="121" spans="1:23" x14ac:dyDescent="0.25">
      <c r="A121" s="36">
        <v>120</v>
      </c>
      <c r="B121" s="187" t="s">
        <v>2295</v>
      </c>
      <c r="C121" s="186" t="s">
        <v>507</v>
      </c>
      <c r="D121" s="183">
        <v>1</v>
      </c>
      <c r="E121" s="148" t="s">
        <v>342</v>
      </c>
      <c r="F121" s="148">
        <v>2</v>
      </c>
      <c r="G121" s="183" t="s">
        <v>244</v>
      </c>
      <c r="H121" s="36">
        <v>50</v>
      </c>
      <c r="I121" s="148">
        <v>30</v>
      </c>
      <c r="J121" s="36">
        <v>25</v>
      </c>
      <c r="K121" s="191">
        <v>193.96132701299999</v>
      </c>
      <c r="L121" s="189">
        <v>266998.26627000002</v>
      </c>
      <c r="M121" s="183"/>
      <c r="N121" s="183" t="s">
        <v>245</v>
      </c>
      <c r="O121" s="193" t="s">
        <v>246</v>
      </c>
      <c r="P121" s="196">
        <v>44589</v>
      </c>
      <c r="Q121" s="195">
        <v>44589</v>
      </c>
      <c r="R121" s="196">
        <v>44589</v>
      </c>
      <c r="S121" s="82"/>
      <c r="T121" s="83"/>
      <c r="U121" s="184" t="str">
        <f>IF(Harm_prod_stolarnia_kliny[[#This Row],[Data wykonania]]&lt;&gt;0,"WYKONANE","NIEWYKONANE")</f>
        <v>NIEWYKONANE</v>
      </c>
      <c r="V121" s="36"/>
      <c r="W121" s="185"/>
    </row>
    <row r="122" spans="1:23" x14ac:dyDescent="0.25">
      <c r="A122" s="36">
        <v>121</v>
      </c>
      <c r="B122" s="187" t="s">
        <v>2266</v>
      </c>
      <c r="C122" s="186" t="s">
        <v>507</v>
      </c>
      <c r="D122" s="183">
        <v>1</v>
      </c>
      <c r="E122" s="148" t="s">
        <v>337</v>
      </c>
      <c r="F122" s="148">
        <v>2</v>
      </c>
      <c r="G122" s="183" t="s">
        <v>244</v>
      </c>
      <c r="H122" s="36">
        <v>50</v>
      </c>
      <c r="I122" s="148">
        <v>51</v>
      </c>
      <c r="J122" s="36">
        <v>27</v>
      </c>
      <c r="K122" s="191">
        <v>817.46477493500004</v>
      </c>
      <c r="L122" s="189">
        <v>1595489.6029699999</v>
      </c>
      <c r="M122" s="183"/>
      <c r="N122" s="183" t="s">
        <v>245</v>
      </c>
      <c r="O122" s="193" t="s">
        <v>246</v>
      </c>
      <c r="P122" s="196">
        <v>44589</v>
      </c>
      <c r="Q122" s="195">
        <v>44589</v>
      </c>
      <c r="R122" s="196">
        <v>44589</v>
      </c>
      <c r="S122" s="82"/>
      <c r="T122" s="83"/>
      <c r="U122" s="184" t="str">
        <f>IF(Harm_prod_stolarnia_kliny[[#This Row],[Data wykonania]]&lt;&gt;0,"WYKONANE","NIEWYKONANE")</f>
        <v>NIEWYKONANE</v>
      </c>
      <c r="V122" s="36"/>
      <c r="W122" s="185"/>
    </row>
    <row r="123" spans="1:23" x14ac:dyDescent="0.25">
      <c r="A123" s="36">
        <v>122</v>
      </c>
      <c r="B123" s="187" t="s">
        <v>2266</v>
      </c>
      <c r="C123" s="186" t="s">
        <v>507</v>
      </c>
      <c r="D123" s="183">
        <v>1</v>
      </c>
      <c r="E123" s="148" t="s">
        <v>361</v>
      </c>
      <c r="F123" s="148">
        <v>3</v>
      </c>
      <c r="G123" s="183" t="s">
        <v>244</v>
      </c>
      <c r="H123" s="36">
        <v>50</v>
      </c>
      <c r="I123" s="148">
        <v>51</v>
      </c>
      <c r="J123" s="36">
        <v>25</v>
      </c>
      <c r="K123" s="191">
        <v>897.54847365800003</v>
      </c>
      <c r="L123" s="189">
        <v>1699035.4358699999</v>
      </c>
      <c r="M123" s="183"/>
      <c r="N123" s="183" t="s">
        <v>245</v>
      </c>
      <c r="O123" s="193" t="s">
        <v>246</v>
      </c>
      <c r="P123" s="196">
        <v>44589</v>
      </c>
      <c r="Q123" s="195">
        <v>44589</v>
      </c>
      <c r="R123" s="196">
        <v>44589</v>
      </c>
      <c r="S123" s="82"/>
      <c r="T123" s="83"/>
      <c r="U123" s="184" t="str">
        <f>IF(Harm_prod_stolarnia_kliny[[#This Row],[Data wykonania]]&lt;&gt;0,"WYKONANE","NIEWYKONANE")</f>
        <v>NIEWYKONANE</v>
      </c>
      <c r="V123" s="36"/>
      <c r="W123" s="185"/>
    </row>
    <row r="124" spans="1:23" x14ac:dyDescent="0.25">
      <c r="A124" s="36">
        <v>123</v>
      </c>
      <c r="B124" s="187" t="s">
        <v>2267</v>
      </c>
      <c r="C124" s="186" t="s">
        <v>507</v>
      </c>
      <c r="D124" s="183">
        <v>1</v>
      </c>
      <c r="E124" s="148" t="s">
        <v>337</v>
      </c>
      <c r="F124" s="148">
        <v>2</v>
      </c>
      <c r="G124" s="183" t="s">
        <v>244</v>
      </c>
      <c r="H124" s="36">
        <v>50</v>
      </c>
      <c r="I124" s="148">
        <v>51</v>
      </c>
      <c r="J124" s="36">
        <v>27</v>
      </c>
      <c r="K124" s="191">
        <v>817.46477493500004</v>
      </c>
      <c r="L124" s="189">
        <v>1595489.6029699999</v>
      </c>
      <c r="M124" s="183"/>
      <c r="N124" s="183" t="s">
        <v>245</v>
      </c>
      <c r="O124" s="193" t="s">
        <v>246</v>
      </c>
      <c r="P124" s="196">
        <v>44589</v>
      </c>
      <c r="Q124" s="195">
        <v>44589</v>
      </c>
      <c r="R124" s="196">
        <v>44589</v>
      </c>
      <c r="S124" s="82"/>
      <c r="T124" s="83"/>
      <c r="U124" s="184" t="str">
        <f>IF(Harm_prod_stolarnia_kliny[[#This Row],[Data wykonania]]&lt;&gt;0,"WYKONANE","NIEWYKONANE")</f>
        <v>NIEWYKONANE</v>
      </c>
      <c r="V124" s="36"/>
      <c r="W124" s="185"/>
    </row>
    <row r="125" spans="1:23" x14ac:dyDescent="0.25">
      <c r="A125" s="36">
        <v>124</v>
      </c>
      <c r="B125" s="187" t="s">
        <v>2267</v>
      </c>
      <c r="C125" s="186" t="s">
        <v>507</v>
      </c>
      <c r="D125" s="183">
        <v>1</v>
      </c>
      <c r="E125" s="148" t="s">
        <v>361</v>
      </c>
      <c r="F125" s="148">
        <v>3</v>
      </c>
      <c r="G125" s="183" t="s">
        <v>244</v>
      </c>
      <c r="H125" s="36">
        <v>50</v>
      </c>
      <c r="I125" s="148">
        <v>51</v>
      </c>
      <c r="J125" s="36">
        <v>25</v>
      </c>
      <c r="K125" s="191">
        <v>897.54847365800003</v>
      </c>
      <c r="L125" s="189">
        <v>1699035.4358699999</v>
      </c>
      <c r="M125" s="183"/>
      <c r="N125" s="183" t="s">
        <v>245</v>
      </c>
      <c r="O125" s="193" t="s">
        <v>246</v>
      </c>
      <c r="P125" s="196">
        <v>44589</v>
      </c>
      <c r="Q125" s="195">
        <v>44589</v>
      </c>
      <c r="R125" s="196">
        <v>44589</v>
      </c>
      <c r="S125" s="82"/>
      <c r="T125" s="83"/>
      <c r="U125" s="184" t="str">
        <f>IF(Harm_prod_stolarnia_kliny[[#This Row],[Data wykonania]]&lt;&gt;0,"WYKONANE","NIEWYKONANE")</f>
        <v>NIEWYKONANE</v>
      </c>
      <c r="V125" s="36"/>
      <c r="W125" s="185"/>
    </row>
    <row r="126" spans="1:23" x14ac:dyDescent="0.25">
      <c r="A126" s="36">
        <v>125</v>
      </c>
      <c r="B126" s="187" t="s">
        <v>2268</v>
      </c>
      <c r="C126" s="186" t="s">
        <v>507</v>
      </c>
      <c r="D126" s="183">
        <v>1</v>
      </c>
      <c r="E126" s="148" t="s">
        <v>337</v>
      </c>
      <c r="F126" s="148">
        <v>2</v>
      </c>
      <c r="G126" s="183" t="s">
        <v>244</v>
      </c>
      <c r="H126" s="36">
        <v>50</v>
      </c>
      <c r="I126" s="148">
        <v>51</v>
      </c>
      <c r="J126" s="36">
        <v>27</v>
      </c>
      <c r="K126" s="191">
        <v>817.46477493400005</v>
      </c>
      <c r="L126" s="189">
        <v>1595489.6029699999</v>
      </c>
      <c r="M126" s="183"/>
      <c r="N126" s="183" t="s">
        <v>245</v>
      </c>
      <c r="O126" s="193" t="s">
        <v>246</v>
      </c>
      <c r="P126" s="196">
        <v>44589</v>
      </c>
      <c r="Q126" s="195">
        <v>44589</v>
      </c>
      <c r="R126" s="196">
        <v>44589</v>
      </c>
      <c r="S126" s="82"/>
      <c r="T126" s="83"/>
      <c r="U126" s="184" t="str">
        <f>IF(Harm_prod_stolarnia_kliny[[#This Row],[Data wykonania]]&lt;&gt;0,"WYKONANE","NIEWYKONANE")</f>
        <v>NIEWYKONANE</v>
      </c>
      <c r="V126" s="36"/>
      <c r="W126" s="185"/>
    </row>
    <row r="127" spans="1:23" x14ac:dyDescent="0.25">
      <c r="A127" s="36">
        <v>126</v>
      </c>
      <c r="B127" s="187" t="s">
        <v>2268</v>
      </c>
      <c r="C127" s="186" t="s">
        <v>507</v>
      </c>
      <c r="D127" s="183">
        <v>1</v>
      </c>
      <c r="E127" s="148" t="s">
        <v>361</v>
      </c>
      <c r="F127" s="148">
        <v>3</v>
      </c>
      <c r="G127" s="183" t="s">
        <v>244</v>
      </c>
      <c r="H127" s="36">
        <v>50</v>
      </c>
      <c r="I127" s="148">
        <v>51</v>
      </c>
      <c r="J127" s="36">
        <v>25</v>
      </c>
      <c r="K127" s="191">
        <v>897.54847365800003</v>
      </c>
      <c r="L127" s="189">
        <v>1699035.4358699999</v>
      </c>
      <c r="M127" s="183"/>
      <c r="N127" s="183" t="s">
        <v>245</v>
      </c>
      <c r="O127" s="193" t="s">
        <v>246</v>
      </c>
      <c r="P127" s="196">
        <v>44589</v>
      </c>
      <c r="Q127" s="195">
        <v>44589</v>
      </c>
      <c r="R127" s="196">
        <v>44589</v>
      </c>
      <c r="S127" s="82"/>
      <c r="T127" s="83"/>
      <c r="U127" s="184" t="str">
        <f>IF(Harm_prod_stolarnia_kliny[[#This Row],[Data wykonania]]&lt;&gt;0,"WYKONANE","NIEWYKONANE")</f>
        <v>NIEWYKONANE</v>
      </c>
      <c r="V127" s="36"/>
      <c r="W127" s="185"/>
    </row>
    <row r="128" spans="1:23" x14ac:dyDescent="0.25">
      <c r="A128" s="36">
        <v>127</v>
      </c>
      <c r="B128" s="187" t="s">
        <v>2269</v>
      </c>
      <c r="C128" s="186" t="s">
        <v>507</v>
      </c>
      <c r="D128" s="183">
        <v>1</v>
      </c>
      <c r="E128" s="148" t="s">
        <v>337</v>
      </c>
      <c r="F128" s="148">
        <v>2</v>
      </c>
      <c r="G128" s="183" t="s">
        <v>244</v>
      </c>
      <c r="H128" s="36">
        <v>50</v>
      </c>
      <c r="I128" s="148">
        <v>51</v>
      </c>
      <c r="J128" s="36">
        <v>27</v>
      </c>
      <c r="K128" s="191">
        <v>817.46477493400005</v>
      </c>
      <c r="L128" s="189">
        <v>1595489.6029699999</v>
      </c>
      <c r="M128" s="183"/>
      <c r="N128" s="183" t="s">
        <v>245</v>
      </c>
      <c r="O128" s="193" t="s">
        <v>246</v>
      </c>
      <c r="P128" s="196">
        <v>44589</v>
      </c>
      <c r="Q128" s="195">
        <v>44589</v>
      </c>
      <c r="R128" s="196">
        <v>44589</v>
      </c>
      <c r="S128" s="82"/>
      <c r="T128" s="83"/>
      <c r="U128" s="184" t="str">
        <f>IF(Harm_prod_stolarnia_kliny[[#This Row],[Data wykonania]]&lt;&gt;0,"WYKONANE","NIEWYKONANE")</f>
        <v>NIEWYKONANE</v>
      </c>
      <c r="V128" s="36"/>
      <c r="W128" s="185"/>
    </row>
    <row r="129" spans="1:23" x14ac:dyDescent="0.25">
      <c r="A129" s="36">
        <v>128</v>
      </c>
      <c r="B129" s="187" t="s">
        <v>2269</v>
      </c>
      <c r="C129" s="186" t="s">
        <v>507</v>
      </c>
      <c r="D129" s="183">
        <v>1</v>
      </c>
      <c r="E129" s="148" t="s">
        <v>361</v>
      </c>
      <c r="F129" s="148">
        <v>3</v>
      </c>
      <c r="G129" s="183" t="s">
        <v>244</v>
      </c>
      <c r="H129" s="36">
        <v>50</v>
      </c>
      <c r="I129" s="148">
        <v>51</v>
      </c>
      <c r="J129" s="36">
        <v>25</v>
      </c>
      <c r="K129" s="191">
        <v>897.54847365800003</v>
      </c>
      <c r="L129" s="189">
        <v>1699035.4358699999</v>
      </c>
      <c r="M129" s="183"/>
      <c r="N129" s="183" t="s">
        <v>245</v>
      </c>
      <c r="O129" s="193" t="s">
        <v>246</v>
      </c>
      <c r="P129" s="196">
        <v>44589</v>
      </c>
      <c r="Q129" s="195">
        <v>44589</v>
      </c>
      <c r="R129" s="196">
        <v>44589</v>
      </c>
      <c r="S129" s="82"/>
      <c r="T129" s="83"/>
      <c r="U129" s="184" t="str">
        <f>IF(Harm_prod_stolarnia_kliny[[#This Row],[Data wykonania]]&lt;&gt;0,"WYKONANE","NIEWYKONANE")</f>
        <v>NIEWYKONANE</v>
      </c>
      <c r="V129" s="36"/>
      <c r="W129" s="185"/>
    </row>
    <row r="130" spans="1:23" x14ac:dyDescent="0.25">
      <c r="A130" s="36">
        <v>129</v>
      </c>
      <c r="B130" s="187" t="s">
        <v>2270</v>
      </c>
      <c r="C130" s="186" t="s">
        <v>507</v>
      </c>
      <c r="D130" s="183">
        <v>1</v>
      </c>
      <c r="E130" s="148" t="s">
        <v>337</v>
      </c>
      <c r="F130" s="148">
        <v>2</v>
      </c>
      <c r="G130" s="183" t="s">
        <v>244</v>
      </c>
      <c r="H130" s="36">
        <v>50</v>
      </c>
      <c r="I130" s="148">
        <v>51</v>
      </c>
      <c r="J130" s="36">
        <v>27</v>
      </c>
      <c r="K130" s="191">
        <v>817.46477493400005</v>
      </c>
      <c r="L130" s="189">
        <v>1595489.6029699999</v>
      </c>
      <c r="M130" s="183"/>
      <c r="N130" s="183" t="s">
        <v>245</v>
      </c>
      <c r="O130" s="193" t="s">
        <v>246</v>
      </c>
      <c r="P130" s="196">
        <v>44589</v>
      </c>
      <c r="Q130" s="195">
        <v>44589</v>
      </c>
      <c r="R130" s="196">
        <v>44589</v>
      </c>
      <c r="S130" s="82"/>
      <c r="T130" s="83"/>
      <c r="U130" s="184" t="str">
        <f>IF(Harm_prod_stolarnia_kliny[[#This Row],[Data wykonania]]&lt;&gt;0,"WYKONANE","NIEWYKONANE")</f>
        <v>NIEWYKONANE</v>
      </c>
      <c r="V130" s="36"/>
      <c r="W130" s="185"/>
    </row>
    <row r="131" spans="1:23" x14ac:dyDescent="0.25">
      <c r="A131" s="36">
        <v>130</v>
      </c>
      <c r="B131" s="187" t="s">
        <v>2270</v>
      </c>
      <c r="C131" s="186" t="s">
        <v>507</v>
      </c>
      <c r="D131" s="183">
        <v>1</v>
      </c>
      <c r="E131" s="148" t="s">
        <v>361</v>
      </c>
      <c r="F131" s="148">
        <v>3</v>
      </c>
      <c r="G131" s="183" t="s">
        <v>244</v>
      </c>
      <c r="H131" s="36">
        <v>50</v>
      </c>
      <c r="I131" s="148">
        <v>51</v>
      </c>
      <c r="J131" s="36">
        <v>25</v>
      </c>
      <c r="K131" s="191">
        <v>897.54847365800003</v>
      </c>
      <c r="L131" s="189">
        <v>1699035.4358600001</v>
      </c>
      <c r="M131" s="183"/>
      <c r="N131" s="183" t="s">
        <v>245</v>
      </c>
      <c r="O131" s="193" t="s">
        <v>246</v>
      </c>
      <c r="P131" s="196">
        <v>44589</v>
      </c>
      <c r="Q131" s="195">
        <v>44589</v>
      </c>
      <c r="R131" s="196">
        <v>44589</v>
      </c>
      <c r="S131" s="82"/>
      <c r="T131" s="83"/>
      <c r="U131" s="184" t="str">
        <f>IF(Harm_prod_stolarnia_kliny[[#This Row],[Data wykonania]]&lt;&gt;0,"WYKONANE","NIEWYKONANE")</f>
        <v>NIEWYKONANE</v>
      </c>
      <c r="V131" s="36"/>
      <c r="W131" s="185"/>
    </row>
    <row r="132" spans="1:23" x14ac:dyDescent="0.25">
      <c r="A132" s="36">
        <v>131</v>
      </c>
      <c r="B132" s="187" t="s">
        <v>2271</v>
      </c>
      <c r="C132" s="186" t="s">
        <v>507</v>
      </c>
      <c r="D132" s="183">
        <v>1</v>
      </c>
      <c r="E132" s="148" t="s">
        <v>337</v>
      </c>
      <c r="F132" s="148">
        <v>2</v>
      </c>
      <c r="G132" s="183" t="s">
        <v>244</v>
      </c>
      <c r="H132" s="36">
        <v>50</v>
      </c>
      <c r="I132" s="148">
        <v>51</v>
      </c>
      <c r="J132" s="36">
        <v>27</v>
      </c>
      <c r="K132" s="191">
        <v>817.46477493400005</v>
      </c>
      <c r="L132" s="189">
        <v>1595489.6029699999</v>
      </c>
      <c r="M132" s="183"/>
      <c r="N132" s="183" t="s">
        <v>245</v>
      </c>
      <c r="O132" s="193" t="s">
        <v>246</v>
      </c>
      <c r="P132" s="196">
        <v>44589</v>
      </c>
      <c r="Q132" s="195">
        <v>44589</v>
      </c>
      <c r="R132" s="196">
        <v>44589</v>
      </c>
      <c r="S132" s="82"/>
      <c r="T132" s="83"/>
      <c r="U132" s="184" t="str">
        <f>IF(Harm_prod_stolarnia_kliny[[#This Row],[Data wykonania]]&lt;&gt;0,"WYKONANE","NIEWYKONANE")</f>
        <v>NIEWYKONANE</v>
      </c>
      <c r="V132" s="36"/>
      <c r="W132" s="185"/>
    </row>
    <row r="133" spans="1:23" x14ac:dyDescent="0.25">
      <c r="A133" s="36">
        <v>132</v>
      </c>
      <c r="B133" s="187" t="s">
        <v>2271</v>
      </c>
      <c r="C133" s="186" t="s">
        <v>507</v>
      </c>
      <c r="D133" s="183">
        <v>1</v>
      </c>
      <c r="E133" s="148" t="s">
        <v>361</v>
      </c>
      <c r="F133" s="148">
        <v>3</v>
      </c>
      <c r="G133" s="183" t="s">
        <v>244</v>
      </c>
      <c r="H133" s="36">
        <v>50</v>
      </c>
      <c r="I133" s="148">
        <v>51</v>
      </c>
      <c r="J133" s="36">
        <v>25</v>
      </c>
      <c r="K133" s="191">
        <v>897.54847365800003</v>
      </c>
      <c r="L133" s="189">
        <v>1699035.4358699999</v>
      </c>
      <c r="M133" s="183"/>
      <c r="N133" s="183" t="s">
        <v>245</v>
      </c>
      <c r="O133" s="193" t="s">
        <v>246</v>
      </c>
      <c r="P133" s="196">
        <v>44589</v>
      </c>
      <c r="Q133" s="195">
        <v>44589</v>
      </c>
      <c r="R133" s="196">
        <v>44589</v>
      </c>
      <c r="S133" s="82"/>
      <c r="T133" s="83"/>
      <c r="U133" s="184" t="str">
        <f>IF(Harm_prod_stolarnia_kliny[[#This Row],[Data wykonania]]&lt;&gt;0,"WYKONANE","NIEWYKONANE")</f>
        <v>NIEWYKONANE</v>
      </c>
      <c r="V133" s="36"/>
      <c r="W133" s="185"/>
    </row>
    <row r="134" spans="1:23" x14ac:dyDescent="0.25">
      <c r="A134" s="36">
        <v>133</v>
      </c>
      <c r="B134" s="187" t="s">
        <v>2272</v>
      </c>
      <c r="C134" s="186" t="s">
        <v>507</v>
      </c>
      <c r="D134" s="183">
        <v>1</v>
      </c>
      <c r="E134" s="148" t="s">
        <v>337</v>
      </c>
      <c r="F134" s="148">
        <v>2</v>
      </c>
      <c r="G134" s="183" t="s">
        <v>244</v>
      </c>
      <c r="H134" s="36">
        <v>50</v>
      </c>
      <c r="I134" s="148">
        <v>51</v>
      </c>
      <c r="J134" s="36">
        <v>27</v>
      </c>
      <c r="K134" s="191">
        <v>817.46477493400005</v>
      </c>
      <c r="L134" s="189">
        <v>1595489.6029699999</v>
      </c>
      <c r="M134" s="183"/>
      <c r="N134" s="183" t="s">
        <v>245</v>
      </c>
      <c r="O134" s="193" t="s">
        <v>246</v>
      </c>
      <c r="P134" s="196">
        <v>44589</v>
      </c>
      <c r="Q134" s="195">
        <v>44589</v>
      </c>
      <c r="R134" s="196">
        <v>44589</v>
      </c>
      <c r="S134" s="82"/>
      <c r="T134" s="83"/>
      <c r="U134" s="184" t="str">
        <f>IF(Harm_prod_stolarnia_kliny[[#This Row],[Data wykonania]]&lt;&gt;0,"WYKONANE","NIEWYKONANE")</f>
        <v>NIEWYKONANE</v>
      </c>
      <c r="V134" s="36"/>
      <c r="W134" s="185"/>
    </row>
    <row r="135" spans="1:23" x14ac:dyDescent="0.25">
      <c r="A135" s="36">
        <v>134</v>
      </c>
      <c r="B135" s="187" t="s">
        <v>2272</v>
      </c>
      <c r="C135" s="186" t="s">
        <v>507</v>
      </c>
      <c r="D135" s="183">
        <v>1</v>
      </c>
      <c r="E135" s="148" t="s">
        <v>361</v>
      </c>
      <c r="F135" s="148">
        <v>3</v>
      </c>
      <c r="G135" s="183" t="s">
        <v>244</v>
      </c>
      <c r="H135" s="36">
        <v>50</v>
      </c>
      <c r="I135" s="148">
        <v>51</v>
      </c>
      <c r="J135" s="36">
        <v>25</v>
      </c>
      <c r="K135" s="191">
        <v>897.54847365800003</v>
      </c>
      <c r="L135" s="189">
        <v>1699035.4358600001</v>
      </c>
      <c r="M135" s="183"/>
      <c r="N135" s="183" t="s">
        <v>245</v>
      </c>
      <c r="O135" s="193" t="s">
        <v>246</v>
      </c>
      <c r="P135" s="196">
        <v>44589</v>
      </c>
      <c r="Q135" s="195">
        <v>44589</v>
      </c>
      <c r="R135" s="196">
        <v>44589</v>
      </c>
      <c r="S135" s="82"/>
      <c r="T135" s="83"/>
      <c r="U135" s="184" t="str">
        <f>IF(Harm_prod_stolarnia_kliny[[#This Row],[Data wykonania]]&lt;&gt;0,"WYKONANE","NIEWYKONANE")</f>
        <v>NIEWYKONANE</v>
      </c>
      <c r="V135" s="36"/>
      <c r="W135" s="185"/>
    </row>
    <row r="136" spans="1:23" x14ac:dyDescent="0.25">
      <c r="A136" s="36">
        <v>135</v>
      </c>
      <c r="B136" s="187" t="s">
        <v>2273</v>
      </c>
      <c r="C136" s="186" t="s">
        <v>507</v>
      </c>
      <c r="D136" s="183">
        <v>1</v>
      </c>
      <c r="E136" s="148" t="s">
        <v>337</v>
      </c>
      <c r="F136" s="148">
        <v>2</v>
      </c>
      <c r="G136" s="183" t="s">
        <v>244</v>
      </c>
      <c r="H136" s="36">
        <v>50</v>
      </c>
      <c r="I136" s="148">
        <v>51</v>
      </c>
      <c r="J136" s="36">
        <v>27</v>
      </c>
      <c r="K136" s="191">
        <v>817.46477493400005</v>
      </c>
      <c r="L136" s="189">
        <v>1595489.6029699999</v>
      </c>
      <c r="M136" s="183"/>
      <c r="N136" s="183" t="s">
        <v>245</v>
      </c>
      <c r="O136" s="193" t="s">
        <v>246</v>
      </c>
      <c r="P136" s="196">
        <v>44589</v>
      </c>
      <c r="Q136" s="195">
        <v>44589</v>
      </c>
      <c r="R136" s="196">
        <v>44589</v>
      </c>
      <c r="S136" s="82"/>
      <c r="T136" s="83"/>
      <c r="U136" s="184" t="str">
        <f>IF(Harm_prod_stolarnia_kliny[[#This Row],[Data wykonania]]&lt;&gt;0,"WYKONANE","NIEWYKONANE")</f>
        <v>NIEWYKONANE</v>
      </c>
      <c r="V136" s="36"/>
      <c r="W136" s="185"/>
    </row>
    <row r="137" spans="1:23" x14ac:dyDescent="0.25">
      <c r="A137" s="36">
        <v>136</v>
      </c>
      <c r="B137" s="187" t="s">
        <v>2273</v>
      </c>
      <c r="C137" s="186" t="s">
        <v>507</v>
      </c>
      <c r="D137" s="183">
        <v>1</v>
      </c>
      <c r="E137" s="148" t="s">
        <v>361</v>
      </c>
      <c r="F137" s="148">
        <v>3</v>
      </c>
      <c r="G137" s="183" t="s">
        <v>244</v>
      </c>
      <c r="H137" s="36">
        <v>50</v>
      </c>
      <c r="I137" s="148">
        <v>51</v>
      </c>
      <c r="J137" s="36">
        <v>25</v>
      </c>
      <c r="K137" s="191">
        <v>897.54847365800003</v>
      </c>
      <c r="L137" s="189">
        <v>1699035.4358699999</v>
      </c>
      <c r="M137" s="183"/>
      <c r="N137" s="183" t="s">
        <v>245</v>
      </c>
      <c r="O137" s="193" t="s">
        <v>246</v>
      </c>
      <c r="P137" s="196">
        <v>44589</v>
      </c>
      <c r="Q137" s="195">
        <v>44589</v>
      </c>
      <c r="R137" s="196">
        <v>44589</v>
      </c>
      <c r="S137" s="82"/>
      <c r="T137" s="83"/>
      <c r="U137" s="184" t="str">
        <f>IF(Harm_prod_stolarnia_kliny[[#This Row],[Data wykonania]]&lt;&gt;0,"WYKONANE","NIEWYKONANE")</f>
        <v>NIEWYKONANE</v>
      </c>
      <c r="V137" s="36"/>
      <c r="W137" s="185"/>
    </row>
    <row r="138" spans="1:23" x14ac:dyDescent="0.25">
      <c r="A138" s="36">
        <v>137</v>
      </c>
      <c r="B138" s="187" t="s">
        <v>2274</v>
      </c>
      <c r="C138" s="186" t="s">
        <v>507</v>
      </c>
      <c r="D138" s="183">
        <v>1</v>
      </c>
      <c r="E138" s="148" t="s">
        <v>337</v>
      </c>
      <c r="F138" s="148">
        <v>2</v>
      </c>
      <c r="G138" s="183" t="s">
        <v>244</v>
      </c>
      <c r="H138" s="36">
        <v>50</v>
      </c>
      <c r="I138" s="148">
        <v>51</v>
      </c>
      <c r="J138" s="36">
        <v>27</v>
      </c>
      <c r="K138" s="191">
        <v>817.46477493400005</v>
      </c>
      <c r="L138" s="189">
        <v>1595489.6029699999</v>
      </c>
      <c r="M138" s="183"/>
      <c r="N138" s="183" t="s">
        <v>245</v>
      </c>
      <c r="O138" s="193" t="s">
        <v>246</v>
      </c>
      <c r="P138" s="196">
        <v>44589</v>
      </c>
      <c r="Q138" s="195">
        <v>44589</v>
      </c>
      <c r="R138" s="196">
        <v>44589</v>
      </c>
      <c r="S138" s="82"/>
      <c r="T138" s="83"/>
      <c r="U138" s="184" t="str">
        <f>IF(Harm_prod_stolarnia_kliny[[#This Row],[Data wykonania]]&lt;&gt;0,"WYKONANE","NIEWYKONANE")</f>
        <v>NIEWYKONANE</v>
      </c>
      <c r="V138" s="36"/>
      <c r="W138" s="185"/>
    </row>
    <row r="139" spans="1:23" x14ac:dyDescent="0.25">
      <c r="A139" s="36">
        <v>138</v>
      </c>
      <c r="B139" s="187" t="s">
        <v>2274</v>
      </c>
      <c r="C139" s="186" t="s">
        <v>507</v>
      </c>
      <c r="D139" s="183">
        <v>1</v>
      </c>
      <c r="E139" s="148" t="s">
        <v>361</v>
      </c>
      <c r="F139" s="148">
        <v>3</v>
      </c>
      <c r="G139" s="183" t="s">
        <v>244</v>
      </c>
      <c r="H139" s="36">
        <v>50</v>
      </c>
      <c r="I139" s="148">
        <v>51</v>
      </c>
      <c r="J139" s="36">
        <v>25</v>
      </c>
      <c r="K139" s="191">
        <v>897.54847365800003</v>
      </c>
      <c r="L139" s="189">
        <v>1699035.4358600001</v>
      </c>
      <c r="M139" s="183"/>
      <c r="N139" s="183" t="s">
        <v>245</v>
      </c>
      <c r="O139" s="193" t="s">
        <v>246</v>
      </c>
      <c r="P139" s="196">
        <v>44589</v>
      </c>
      <c r="Q139" s="195">
        <v>44589</v>
      </c>
      <c r="R139" s="196">
        <v>44589</v>
      </c>
      <c r="S139" s="82"/>
      <c r="T139" s="83"/>
      <c r="U139" s="184" t="str">
        <f>IF(Harm_prod_stolarnia_kliny[[#This Row],[Data wykonania]]&lt;&gt;0,"WYKONANE","NIEWYKONANE")</f>
        <v>NIEWYKONANE</v>
      </c>
      <c r="V139" s="36"/>
      <c r="W139" s="185"/>
    </row>
    <row r="140" spans="1:23" x14ac:dyDescent="0.25">
      <c r="A140" s="36">
        <v>139</v>
      </c>
      <c r="B140" s="187" t="s">
        <v>2275</v>
      </c>
      <c r="C140" s="186" t="s">
        <v>507</v>
      </c>
      <c r="D140" s="183">
        <v>1</v>
      </c>
      <c r="E140" s="148" t="s">
        <v>337</v>
      </c>
      <c r="F140" s="148">
        <v>2</v>
      </c>
      <c r="G140" s="183" t="s">
        <v>244</v>
      </c>
      <c r="H140" s="36">
        <v>50</v>
      </c>
      <c r="I140" s="148">
        <v>51</v>
      </c>
      <c r="J140" s="36">
        <v>27</v>
      </c>
      <c r="K140" s="191">
        <v>817.46477493400005</v>
      </c>
      <c r="L140" s="189">
        <v>1595489.6029699999</v>
      </c>
      <c r="M140" s="183"/>
      <c r="N140" s="183" t="s">
        <v>245</v>
      </c>
      <c r="O140" s="193" t="s">
        <v>246</v>
      </c>
      <c r="P140" s="196">
        <v>44589</v>
      </c>
      <c r="Q140" s="195">
        <v>44589</v>
      </c>
      <c r="R140" s="196">
        <v>44589</v>
      </c>
      <c r="S140" s="82"/>
      <c r="T140" s="83"/>
      <c r="U140" s="184" t="str">
        <f>IF(Harm_prod_stolarnia_kliny[[#This Row],[Data wykonania]]&lt;&gt;0,"WYKONANE","NIEWYKONANE")</f>
        <v>NIEWYKONANE</v>
      </c>
      <c r="V140" s="36"/>
      <c r="W140" s="185"/>
    </row>
    <row r="141" spans="1:23" x14ac:dyDescent="0.25">
      <c r="A141" s="36">
        <v>140</v>
      </c>
      <c r="B141" s="187" t="s">
        <v>2275</v>
      </c>
      <c r="C141" s="186" t="s">
        <v>507</v>
      </c>
      <c r="D141" s="183">
        <v>1</v>
      </c>
      <c r="E141" s="148" t="s">
        <v>361</v>
      </c>
      <c r="F141" s="148">
        <v>3</v>
      </c>
      <c r="G141" s="183" t="s">
        <v>244</v>
      </c>
      <c r="H141" s="36">
        <v>50</v>
      </c>
      <c r="I141" s="148">
        <v>51</v>
      </c>
      <c r="J141" s="36">
        <v>25</v>
      </c>
      <c r="K141" s="191">
        <v>897.54847365800003</v>
      </c>
      <c r="L141" s="189">
        <v>1699035.4358699999</v>
      </c>
      <c r="M141" s="183"/>
      <c r="N141" s="183" t="s">
        <v>245</v>
      </c>
      <c r="O141" s="193" t="s">
        <v>246</v>
      </c>
      <c r="P141" s="196">
        <v>44589</v>
      </c>
      <c r="Q141" s="195">
        <v>44589</v>
      </c>
      <c r="R141" s="196">
        <v>44589</v>
      </c>
      <c r="S141" s="82"/>
      <c r="T141" s="83"/>
      <c r="U141" s="184" t="str">
        <f>IF(Harm_prod_stolarnia_kliny[[#This Row],[Data wykonania]]&lt;&gt;0,"WYKONANE","NIEWYKONANE")</f>
        <v>NIEWYKONANE</v>
      </c>
      <c r="V141" s="36"/>
      <c r="W141" s="185"/>
    </row>
    <row r="142" spans="1:23" x14ac:dyDescent="0.25">
      <c r="A142" s="36">
        <v>141</v>
      </c>
      <c r="B142" s="187" t="s">
        <v>2276</v>
      </c>
      <c r="C142" s="186" t="s">
        <v>507</v>
      </c>
      <c r="D142" s="183">
        <v>1</v>
      </c>
      <c r="E142" s="148" t="s">
        <v>337</v>
      </c>
      <c r="F142" s="148">
        <v>2</v>
      </c>
      <c r="G142" s="183" t="s">
        <v>244</v>
      </c>
      <c r="H142" s="36">
        <v>50</v>
      </c>
      <c r="I142" s="148">
        <v>51</v>
      </c>
      <c r="J142" s="36">
        <v>27</v>
      </c>
      <c r="K142" s="191">
        <v>817.46477493500004</v>
      </c>
      <c r="L142" s="189">
        <v>1595489.6029699999</v>
      </c>
      <c r="M142" s="183"/>
      <c r="N142" s="183" t="s">
        <v>245</v>
      </c>
      <c r="O142" s="193" t="s">
        <v>246</v>
      </c>
      <c r="P142" s="196">
        <v>44589</v>
      </c>
      <c r="Q142" s="195">
        <v>44589</v>
      </c>
      <c r="R142" s="196">
        <v>44589</v>
      </c>
      <c r="S142" s="82"/>
      <c r="T142" s="83"/>
      <c r="U142" s="184" t="str">
        <f>IF(Harm_prod_stolarnia_kliny[[#This Row],[Data wykonania]]&lt;&gt;0,"WYKONANE","NIEWYKONANE")</f>
        <v>NIEWYKONANE</v>
      </c>
      <c r="V142" s="36"/>
      <c r="W142" s="185"/>
    </row>
    <row r="143" spans="1:23" x14ac:dyDescent="0.25">
      <c r="A143" s="36">
        <v>142</v>
      </c>
      <c r="B143" s="187" t="s">
        <v>2276</v>
      </c>
      <c r="C143" s="186" t="s">
        <v>507</v>
      </c>
      <c r="D143" s="183">
        <v>1</v>
      </c>
      <c r="E143" s="148" t="s">
        <v>361</v>
      </c>
      <c r="F143" s="148">
        <v>3</v>
      </c>
      <c r="G143" s="183" t="s">
        <v>244</v>
      </c>
      <c r="H143" s="36">
        <v>50</v>
      </c>
      <c r="I143" s="148">
        <v>51</v>
      </c>
      <c r="J143" s="36">
        <v>25</v>
      </c>
      <c r="K143" s="191">
        <v>897.54847365800003</v>
      </c>
      <c r="L143" s="189">
        <v>1699035.4358699999</v>
      </c>
      <c r="M143" s="183"/>
      <c r="N143" s="183" t="s">
        <v>245</v>
      </c>
      <c r="O143" s="193" t="s">
        <v>246</v>
      </c>
      <c r="P143" s="196">
        <v>44589</v>
      </c>
      <c r="Q143" s="195">
        <v>44589</v>
      </c>
      <c r="R143" s="196">
        <v>44589</v>
      </c>
      <c r="S143" s="82"/>
      <c r="T143" s="83"/>
      <c r="U143" s="184" t="str">
        <f>IF(Harm_prod_stolarnia_kliny[[#This Row],[Data wykonania]]&lt;&gt;0,"WYKONANE","NIEWYKONANE")</f>
        <v>NIEWYKONANE</v>
      </c>
      <c r="V143" s="36"/>
      <c r="W143" s="185"/>
    </row>
    <row r="144" spans="1:23" x14ac:dyDescent="0.25">
      <c r="A144" s="36">
        <v>143</v>
      </c>
      <c r="B144" s="187" t="s">
        <v>2277</v>
      </c>
      <c r="C144" s="186" t="s">
        <v>507</v>
      </c>
      <c r="D144" s="183">
        <v>1</v>
      </c>
      <c r="E144" s="148" t="s">
        <v>337</v>
      </c>
      <c r="F144" s="148">
        <v>2</v>
      </c>
      <c r="G144" s="183" t="s">
        <v>244</v>
      </c>
      <c r="H144" s="36">
        <v>50</v>
      </c>
      <c r="I144" s="148">
        <v>51</v>
      </c>
      <c r="J144" s="36">
        <v>27</v>
      </c>
      <c r="K144" s="191">
        <v>817.46477493500004</v>
      </c>
      <c r="L144" s="189">
        <v>1595489.6029699999</v>
      </c>
      <c r="M144" s="183"/>
      <c r="N144" s="183" t="s">
        <v>245</v>
      </c>
      <c r="O144" s="193" t="s">
        <v>246</v>
      </c>
      <c r="P144" s="196">
        <v>44589</v>
      </c>
      <c r="Q144" s="195">
        <v>44589</v>
      </c>
      <c r="R144" s="196">
        <v>44589</v>
      </c>
      <c r="S144" s="82"/>
      <c r="T144" s="83"/>
      <c r="U144" s="184" t="str">
        <f>IF(Harm_prod_stolarnia_kliny[[#This Row],[Data wykonania]]&lt;&gt;0,"WYKONANE","NIEWYKONANE")</f>
        <v>NIEWYKONANE</v>
      </c>
      <c r="V144" s="36"/>
      <c r="W144" s="185"/>
    </row>
    <row r="145" spans="1:23" x14ac:dyDescent="0.25">
      <c r="A145" s="36">
        <v>144</v>
      </c>
      <c r="B145" s="187" t="s">
        <v>2277</v>
      </c>
      <c r="C145" s="186" t="s">
        <v>507</v>
      </c>
      <c r="D145" s="183">
        <v>1</v>
      </c>
      <c r="E145" s="148" t="s">
        <v>361</v>
      </c>
      <c r="F145" s="148">
        <v>3</v>
      </c>
      <c r="G145" s="183" t="s">
        <v>244</v>
      </c>
      <c r="H145" s="36">
        <v>50</v>
      </c>
      <c r="I145" s="148">
        <v>51</v>
      </c>
      <c r="J145" s="36">
        <v>25</v>
      </c>
      <c r="K145" s="191">
        <v>897.54847365800003</v>
      </c>
      <c r="L145" s="189">
        <v>1699035.4358699999</v>
      </c>
      <c r="M145" s="183"/>
      <c r="N145" s="183" t="s">
        <v>245</v>
      </c>
      <c r="O145" s="193" t="s">
        <v>246</v>
      </c>
      <c r="P145" s="196">
        <v>44589</v>
      </c>
      <c r="Q145" s="195">
        <v>44589</v>
      </c>
      <c r="R145" s="196">
        <v>44589</v>
      </c>
      <c r="S145" s="82"/>
      <c r="T145" s="83"/>
      <c r="U145" s="184" t="str">
        <f>IF(Harm_prod_stolarnia_kliny[[#This Row],[Data wykonania]]&lt;&gt;0,"WYKONANE","NIEWYKONANE")</f>
        <v>NIEWYKONANE</v>
      </c>
      <c r="V145" s="36"/>
      <c r="W145" s="185"/>
    </row>
    <row r="146" spans="1:23" x14ac:dyDescent="0.25">
      <c r="A146" s="36">
        <v>145</v>
      </c>
      <c r="B146" s="187" t="s">
        <v>2278</v>
      </c>
      <c r="C146" s="186" t="s">
        <v>507</v>
      </c>
      <c r="D146" s="183">
        <v>1</v>
      </c>
      <c r="E146" s="148" t="s">
        <v>337</v>
      </c>
      <c r="F146" s="148">
        <v>2</v>
      </c>
      <c r="G146" s="183" t="s">
        <v>244</v>
      </c>
      <c r="H146" s="36">
        <v>50</v>
      </c>
      <c r="I146" s="148">
        <v>51</v>
      </c>
      <c r="J146" s="36">
        <v>27</v>
      </c>
      <c r="K146" s="191">
        <v>817.46477493400005</v>
      </c>
      <c r="L146" s="189">
        <v>1595489.6029699999</v>
      </c>
      <c r="M146" s="183"/>
      <c r="N146" s="183" t="s">
        <v>245</v>
      </c>
      <c r="O146" s="193" t="s">
        <v>246</v>
      </c>
      <c r="P146" s="196">
        <v>44589</v>
      </c>
      <c r="Q146" s="195">
        <v>44589</v>
      </c>
      <c r="R146" s="196">
        <v>44589</v>
      </c>
      <c r="S146" s="82"/>
      <c r="T146" s="83"/>
      <c r="U146" s="184" t="str">
        <f>IF(Harm_prod_stolarnia_kliny[[#This Row],[Data wykonania]]&lt;&gt;0,"WYKONANE","NIEWYKONANE")</f>
        <v>NIEWYKONANE</v>
      </c>
      <c r="V146" s="36"/>
      <c r="W146" s="185"/>
    </row>
    <row r="147" spans="1:23" x14ac:dyDescent="0.25">
      <c r="A147" s="36">
        <v>146</v>
      </c>
      <c r="B147" s="187" t="s">
        <v>2278</v>
      </c>
      <c r="C147" s="186" t="s">
        <v>507</v>
      </c>
      <c r="D147" s="183">
        <v>1</v>
      </c>
      <c r="E147" s="148" t="s">
        <v>361</v>
      </c>
      <c r="F147" s="148">
        <v>3</v>
      </c>
      <c r="G147" s="183" t="s">
        <v>244</v>
      </c>
      <c r="H147" s="36">
        <v>50</v>
      </c>
      <c r="I147" s="148">
        <v>51</v>
      </c>
      <c r="J147" s="36">
        <v>25</v>
      </c>
      <c r="K147" s="191">
        <v>897.54847365800003</v>
      </c>
      <c r="L147" s="189">
        <v>1699035.4358699999</v>
      </c>
      <c r="M147" s="183"/>
      <c r="N147" s="183" t="s">
        <v>245</v>
      </c>
      <c r="O147" s="193" t="s">
        <v>246</v>
      </c>
      <c r="P147" s="196">
        <v>44589</v>
      </c>
      <c r="Q147" s="195">
        <v>44589</v>
      </c>
      <c r="R147" s="196">
        <v>44589</v>
      </c>
      <c r="S147" s="82"/>
      <c r="T147" s="83"/>
      <c r="U147" s="184" t="str">
        <f>IF(Harm_prod_stolarnia_kliny[[#This Row],[Data wykonania]]&lt;&gt;0,"WYKONANE","NIEWYKONANE")</f>
        <v>NIEWYKONANE</v>
      </c>
      <c r="V147" s="36"/>
      <c r="W147" s="185"/>
    </row>
    <row r="148" spans="1:23" x14ac:dyDescent="0.25">
      <c r="A148" s="36">
        <v>147</v>
      </c>
      <c r="B148" s="187" t="s">
        <v>2279</v>
      </c>
      <c r="C148" s="186" t="s">
        <v>507</v>
      </c>
      <c r="D148" s="183">
        <v>1</v>
      </c>
      <c r="E148" s="148" t="s">
        <v>337</v>
      </c>
      <c r="F148" s="148">
        <v>2</v>
      </c>
      <c r="G148" s="183" t="s">
        <v>244</v>
      </c>
      <c r="H148" s="36">
        <v>50</v>
      </c>
      <c r="I148" s="148">
        <v>51</v>
      </c>
      <c r="J148" s="36">
        <v>27</v>
      </c>
      <c r="K148" s="191">
        <v>817.46477493400005</v>
      </c>
      <c r="L148" s="189">
        <v>1595489.6029699999</v>
      </c>
      <c r="M148" s="183"/>
      <c r="N148" s="183" t="s">
        <v>245</v>
      </c>
      <c r="O148" s="193" t="s">
        <v>246</v>
      </c>
      <c r="P148" s="196">
        <v>44589</v>
      </c>
      <c r="Q148" s="195">
        <v>44589</v>
      </c>
      <c r="R148" s="196">
        <v>44589</v>
      </c>
      <c r="S148" s="82"/>
      <c r="T148" s="83"/>
      <c r="U148" s="184" t="str">
        <f>IF(Harm_prod_stolarnia_kliny[[#This Row],[Data wykonania]]&lt;&gt;0,"WYKONANE","NIEWYKONANE")</f>
        <v>NIEWYKONANE</v>
      </c>
      <c r="V148" s="36"/>
      <c r="W148" s="185"/>
    </row>
    <row r="149" spans="1:23" x14ac:dyDescent="0.25">
      <c r="A149" s="36">
        <v>148</v>
      </c>
      <c r="B149" s="187" t="s">
        <v>2279</v>
      </c>
      <c r="C149" s="186" t="s">
        <v>507</v>
      </c>
      <c r="D149" s="183">
        <v>1</v>
      </c>
      <c r="E149" s="148" t="s">
        <v>361</v>
      </c>
      <c r="F149" s="148">
        <v>3</v>
      </c>
      <c r="G149" s="183" t="s">
        <v>244</v>
      </c>
      <c r="H149" s="36">
        <v>50</v>
      </c>
      <c r="I149" s="148">
        <v>51</v>
      </c>
      <c r="J149" s="36">
        <v>25</v>
      </c>
      <c r="K149" s="191">
        <v>897.54847365800003</v>
      </c>
      <c r="L149" s="189">
        <v>1699035.4358699999</v>
      </c>
      <c r="M149" s="183"/>
      <c r="N149" s="183" t="s">
        <v>245</v>
      </c>
      <c r="O149" s="193" t="s">
        <v>246</v>
      </c>
      <c r="P149" s="196">
        <v>44589</v>
      </c>
      <c r="Q149" s="195">
        <v>44589</v>
      </c>
      <c r="R149" s="196">
        <v>44589</v>
      </c>
      <c r="S149" s="82"/>
      <c r="T149" s="83"/>
      <c r="U149" s="184" t="str">
        <f>IF(Harm_prod_stolarnia_kliny[[#This Row],[Data wykonania]]&lt;&gt;0,"WYKONANE","NIEWYKONANE")</f>
        <v>NIEWYKONANE</v>
      </c>
      <c r="V149" s="36"/>
      <c r="W149" s="185"/>
    </row>
    <row r="150" spans="1:23" x14ac:dyDescent="0.25">
      <c r="A150" s="36">
        <v>149</v>
      </c>
      <c r="B150" s="187" t="s">
        <v>2280</v>
      </c>
      <c r="C150" s="186" t="s">
        <v>507</v>
      </c>
      <c r="D150" s="183">
        <v>1</v>
      </c>
      <c r="E150" s="148" t="s">
        <v>337</v>
      </c>
      <c r="F150" s="148">
        <v>2</v>
      </c>
      <c r="G150" s="183" t="s">
        <v>244</v>
      </c>
      <c r="H150" s="36">
        <v>50</v>
      </c>
      <c r="I150" s="148">
        <v>51</v>
      </c>
      <c r="J150" s="36">
        <v>27</v>
      </c>
      <c r="K150" s="191">
        <v>817.46477493400005</v>
      </c>
      <c r="L150" s="189">
        <v>1595489.6029699999</v>
      </c>
      <c r="M150" s="183"/>
      <c r="N150" s="183" t="s">
        <v>245</v>
      </c>
      <c r="O150" s="193" t="s">
        <v>246</v>
      </c>
      <c r="P150" s="196">
        <v>44589</v>
      </c>
      <c r="Q150" s="195">
        <v>44589</v>
      </c>
      <c r="R150" s="196">
        <v>44589</v>
      </c>
      <c r="S150" s="82"/>
      <c r="T150" s="83"/>
      <c r="U150" s="184" t="str">
        <f>IF(Harm_prod_stolarnia_kliny[[#This Row],[Data wykonania]]&lt;&gt;0,"WYKONANE","NIEWYKONANE")</f>
        <v>NIEWYKONANE</v>
      </c>
      <c r="V150" s="36"/>
      <c r="W150" s="185"/>
    </row>
    <row r="151" spans="1:23" x14ac:dyDescent="0.25">
      <c r="A151" s="36">
        <v>150</v>
      </c>
      <c r="B151" s="187" t="s">
        <v>2280</v>
      </c>
      <c r="C151" s="186" t="s">
        <v>507</v>
      </c>
      <c r="D151" s="183">
        <v>1</v>
      </c>
      <c r="E151" s="148" t="s">
        <v>361</v>
      </c>
      <c r="F151" s="148">
        <v>3</v>
      </c>
      <c r="G151" s="183" t="s">
        <v>244</v>
      </c>
      <c r="H151" s="36">
        <v>50</v>
      </c>
      <c r="I151" s="148">
        <v>51</v>
      </c>
      <c r="J151" s="36">
        <v>25</v>
      </c>
      <c r="K151" s="191">
        <v>897.54847365800003</v>
      </c>
      <c r="L151" s="189">
        <v>1699035.4358600001</v>
      </c>
      <c r="M151" s="183"/>
      <c r="N151" s="183" t="s">
        <v>245</v>
      </c>
      <c r="O151" s="193" t="s">
        <v>246</v>
      </c>
      <c r="P151" s="196">
        <v>44589</v>
      </c>
      <c r="Q151" s="195">
        <v>44589</v>
      </c>
      <c r="R151" s="196">
        <v>44589</v>
      </c>
      <c r="S151" s="82"/>
      <c r="T151" s="83"/>
      <c r="U151" s="184" t="str">
        <f>IF(Harm_prod_stolarnia_kliny[[#This Row],[Data wykonania]]&lt;&gt;0,"WYKONANE","NIEWYKONANE")</f>
        <v>NIEWYKONANE</v>
      </c>
      <c r="V151" s="36"/>
      <c r="W151" s="185"/>
    </row>
    <row r="152" spans="1:23" x14ac:dyDescent="0.25">
      <c r="A152" s="36">
        <v>151</v>
      </c>
      <c r="B152" s="187" t="s">
        <v>2281</v>
      </c>
      <c r="C152" s="186" t="s">
        <v>507</v>
      </c>
      <c r="D152" s="183">
        <v>1</v>
      </c>
      <c r="E152" s="148" t="s">
        <v>337</v>
      </c>
      <c r="F152" s="148">
        <v>2</v>
      </c>
      <c r="G152" s="183" t="s">
        <v>244</v>
      </c>
      <c r="H152" s="36">
        <v>50</v>
      </c>
      <c r="I152" s="148">
        <v>51</v>
      </c>
      <c r="J152" s="36">
        <v>27</v>
      </c>
      <c r="K152" s="191">
        <v>817.46477493400005</v>
      </c>
      <c r="L152" s="189">
        <v>1595489.6029699999</v>
      </c>
      <c r="M152" s="183"/>
      <c r="N152" s="183" t="s">
        <v>245</v>
      </c>
      <c r="O152" s="193" t="s">
        <v>246</v>
      </c>
      <c r="P152" s="196">
        <v>44589</v>
      </c>
      <c r="Q152" s="195">
        <v>44589</v>
      </c>
      <c r="R152" s="196">
        <v>44589</v>
      </c>
      <c r="S152" s="82"/>
      <c r="T152" s="83"/>
      <c r="U152" s="184" t="str">
        <f>IF(Harm_prod_stolarnia_kliny[[#This Row],[Data wykonania]]&lt;&gt;0,"WYKONANE","NIEWYKONANE")</f>
        <v>NIEWYKONANE</v>
      </c>
      <c r="V152" s="36"/>
      <c r="W152" s="185"/>
    </row>
    <row r="153" spans="1:23" x14ac:dyDescent="0.25">
      <c r="A153" s="36">
        <v>152</v>
      </c>
      <c r="B153" s="187" t="s">
        <v>2281</v>
      </c>
      <c r="C153" s="186" t="s">
        <v>507</v>
      </c>
      <c r="D153" s="183">
        <v>1</v>
      </c>
      <c r="E153" s="148" t="s">
        <v>361</v>
      </c>
      <c r="F153" s="148">
        <v>3</v>
      </c>
      <c r="G153" s="183" t="s">
        <v>244</v>
      </c>
      <c r="H153" s="36">
        <v>50</v>
      </c>
      <c r="I153" s="148">
        <v>51</v>
      </c>
      <c r="J153" s="36">
        <v>25</v>
      </c>
      <c r="K153" s="191">
        <v>897.54847365800003</v>
      </c>
      <c r="L153" s="189">
        <v>1699035.4358699999</v>
      </c>
      <c r="M153" s="183"/>
      <c r="N153" s="183" t="s">
        <v>245</v>
      </c>
      <c r="O153" s="193" t="s">
        <v>246</v>
      </c>
      <c r="P153" s="196">
        <v>44589</v>
      </c>
      <c r="Q153" s="195">
        <v>44589</v>
      </c>
      <c r="R153" s="196">
        <v>44589</v>
      </c>
      <c r="S153" s="82"/>
      <c r="T153" s="83"/>
      <c r="U153" s="184" t="str">
        <f>IF(Harm_prod_stolarnia_kliny[[#This Row],[Data wykonania]]&lt;&gt;0,"WYKONANE","NIEWYKONANE")</f>
        <v>NIEWYKONANE</v>
      </c>
      <c r="V153" s="36"/>
      <c r="W153" s="185"/>
    </row>
    <row r="154" spans="1:23" x14ac:dyDescent="0.25">
      <c r="A154" s="36">
        <v>153</v>
      </c>
      <c r="B154" s="187" t="s">
        <v>2282</v>
      </c>
      <c r="C154" s="186" t="s">
        <v>507</v>
      </c>
      <c r="D154" s="183">
        <v>1</v>
      </c>
      <c r="E154" s="148" t="s">
        <v>337</v>
      </c>
      <c r="F154" s="148">
        <v>2</v>
      </c>
      <c r="G154" s="183" t="s">
        <v>244</v>
      </c>
      <c r="H154" s="36">
        <v>50</v>
      </c>
      <c r="I154" s="148">
        <v>51</v>
      </c>
      <c r="J154" s="36">
        <v>27</v>
      </c>
      <c r="K154" s="191">
        <v>817.46477493400005</v>
      </c>
      <c r="L154" s="189">
        <v>1595489.6029699999</v>
      </c>
      <c r="M154" s="183"/>
      <c r="N154" s="183" t="s">
        <v>245</v>
      </c>
      <c r="O154" s="193" t="s">
        <v>246</v>
      </c>
      <c r="P154" s="196">
        <v>44589</v>
      </c>
      <c r="Q154" s="195">
        <v>44589</v>
      </c>
      <c r="R154" s="196">
        <v>44589</v>
      </c>
      <c r="S154" s="82"/>
      <c r="T154" s="83"/>
      <c r="U154" s="184" t="str">
        <f>IF(Harm_prod_stolarnia_kliny[[#This Row],[Data wykonania]]&lt;&gt;0,"WYKONANE","NIEWYKONANE")</f>
        <v>NIEWYKONANE</v>
      </c>
      <c r="V154" s="36"/>
      <c r="W154" s="185"/>
    </row>
    <row r="155" spans="1:23" x14ac:dyDescent="0.25">
      <c r="A155" s="36">
        <v>154</v>
      </c>
      <c r="B155" s="187" t="s">
        <v>2282</v>
      </c>
      <c r="C155" s="186" t="s">
        <v>507</v>
      </c>
      <c r="D155" s="183">
        <v>1</v>
      </c>
      <c r="E155" s="148" t="s">
        <v>361</v>
      </c>
      <c r="F155" s="148">
        <v>3</v>
      </c>
      <c r="G155" s="183" t="s">
        <v>244</v>
      </c>
      <c r="H155" s="36">
        <v>50</v>
      </c>
      <c r="I155" s="148">
        <v>51</v>
      </c>
      <c r="J155" s="36">
        <v>25</v>
      </c>
      <c r="K155" s="191">
        <v>897.54847365800003</v>
      </c>
      <c r="L155" s="189">
        <v>1699035.4358600001</v>
      </c>
      <c r="M155" s="183"/>
      <c r="N155" s="183" t="s">
        <v>245</v>
      </c>
      <c r="O155" s="193" t="s">
        <v>246</v>
      </c>
      <c r="P155" s="196">
        <v>44589</v>
      </c>
      <c r="Q155" s="195">
        <v>44589</v>
      </c>
      <c r="R155" s="196">
        <v>44589</v>
      </c>
      <c r="S155" s="82"/>
      <c r="T155" s="83"/>
      <c r="U155" s="184" t="str">
        <f>IF(Harm_prod_stolarnia_kliny[[#This Row],[Data wykonania]]&lt;&gt;0,"WYKONANE","NIEWYKONANE")</f>
        <v>NIEWYKONANE</v>
      </c>
      <c r="V155" s="36"/>
      <c r="W155" s="185"/>
    </row>
    <row r="156" spans="1:23" x14ac:dyDescent="0.25">
      <c r="A156" s="36">
        <v>155</v>
      </c>
      <c r="B156" s="187" t="s">
        <v>2283</v>
      </c>
      <c r="C156" s="186" t="s">
        <v>507</v>
      </c>
      <c r="D156" s="183">
        <v>1</v>
      </c>
      <c r="E156" s="148" t="s">
        <v>337</v>
      </c>
      <c r="F156" s="148">
        <v>2</v>
      </c>
      <c r="G156" s="183" t="s">
        <v>244</v>
      </c>
      <c r="H156" s="36">
        <v>50</v>
      </c>
      <c r="I156" s="148">
        <v>51</v>
      </c>
      <c r="J156" s="36">
        <v>27</v>
      </c>
      <c r="K156" s="191">
        <v>817.46477493400005</v>
      </c>
      <c r="L156" s="189">
        <v>1595489.6029699999</v>
      </c>
      <c r="M156" s="183"/>
      <c r="N156" s="183" t="s">
        <v>245</v>
      </c>
      <c r="O156" s="193" t="s">
        <v>246</v>
      </c>
      <c r="P156" s="196">
        <v>44589</v>
      </c>
      <c r="Q156" s="195">
        <v>44589</v>
      </c>
      <c r="R156" s="196">
        <v>44589</v>
      </c>
      <c r="S156" s="82"/>
      <c r="T156" s="83"/>
      <c r="U156" s="184" t="str">
        <f>IF(Harm_prod_stolarnia_kliny[[#This Row],[Data wykonania]]&lt;&gt;0,"WYKONANE","NIEWYKONANE")</f>
        <v>NIEWYKONANE</v>
      </c>
      <c r="V156" s="36"/>
      <c r="W156" s="185"/>
    </row>
    <row r="157" spans="1:23" x14ac:dyDescent="0.25">
      <c r="A157" s="36">
        <v>156</v>
      </c>
      <c r="B157" s="187" t="s">
        <v>2283</v>
      </c>
      <c r="C157" s="186" t="s">
        <v>507</v>
      </c>
      <c r="D157" s="183">
        <v>1</v>
      </c>
      <c r="E157" s="148" t="s">
        <v>361</v>
      </c>
      <c r="F157" s="148">
        <v>3</v>
      </c>
      <c r="G157" s="183" t="s">
        <v>244</v>
      </c>
      <c r="H157" s="36">
        <v>50</v>
      </c>
      <c r="I157" s="148">
        <v>51</v>
      </c>
      <c r="J157" s="36">
        <v>25</v>
      </c>
      <c r="K157" s="191">
        <v>897.54847365800003</v>
      </c>
      <c r="L157" s="189">
        <v>1699035.4358600001</v>
      </c>
      <c r="M157" s="183"/>
      <c r="N157" s="183" t="s">
        <v>245</v>
      </c>
      <c r="O157" s="193" t="s">
        <v>246</v>
      </c>
      <c r="P157" s="196">
        <v>44589</v>
      </c>
      <c r="Q157" s="195">
        <v>44589</v>
      </c>
      <c r="R157" s="196">
        <v>44589</v>
      </c>
      <c r="S157" s="82"/>
      <c r="T157" s="83"/>
      <c r="U157" s="184" t="str">
        <f>IF(Harm_prod_stolarnia_kliny[[#This Row],[Data wykonania]]&lt;&gt;0,"WYKONANE","NIEWYKONANE")</f>
        <v>NIEWYKONANE</v>
      </c>
      <c r="V157" s="36"/>
      <c r="W157" s="185"/>
    </row>
    <row r="158" spans="1:23" x14ac:dyDescent="0.25">
      <c r="A158" s="36">
        <v>157</v>
      </c>
      <c r="B158" s="187" t="s">
        <v>2284</v>
      </c>
      <c r="C158" s="186" t="s">
        <v>507</v>
      </c>
      <c r="D158" s="183">
        <v>1</v>
      </c>
      <c r="E158" s="148" t="s">
        <v>337</v>
      </c>
      <c r="F158" s="148">
        <v>2</v>
      </c>
      <c r="G158" s="183" t="s">
        <v>244</v>
      </c>
      <c r="H158" s="36">
        <v>50</v>
      </c>
      <c r="I158" s="148">
        <v>51</v>
      </c>
      <c r="J158" s="36">
        <v>27</v>
      </c>
      <c r="K158" s="191">
        <v>817.46477493400005</v>
      </c>
      <c r="L158" s="189">
        <v>1595489.6029699999</v>
      </c>
      <c r="M158" s="183"/>
      <c r="N158" s="183" t="s">
        <v>245</v>
      </c>
      <c r="O158" s="193" t="s">
        <v>246</v>
      </c>
      <c r="P158" s="196">
        <v>44589</v>
      </c>
      <c r="Q158" s="195">
        <v>44589</v>
      </c>
      <c r="R158" s="196">
        <v>44589</v>
      </c>
      <c r="S158" s="82"/>
      <c r="T158" s="83"/>
      <c r="U158" s="184" t="str">
        <f>IF(Harm_prod_stolarnia_kliny[[#This Row],[Data wykonania]]&lt;&gt;0,"WYKONANE","NIEWYKONANE")</f>
        <v>NIEWYKONANE</v>
      </c>
      <c r="V158" s="36"/>
      <c r="W158" s="185"/>
    </row>
    <row r="159" spans="1:23" x14ac:dyDescent="0.25">
      <c r="A159" s="36">
        <v>158</v>
      </c>
      <c r="B159" s="187" t="s">
        <v>2284</v>
      </c>
      <c r="C159" s="186" t="s">
        <v>507</v>
      </c>
      <c r="D159" s="183">
        <v>1</v>
      </c>
      <c r="E159" s="148" t="s">
        <v>361</v>
      </c>
      <c r="F159" s="148">
        <v>3</v>
      </c>
      <c r="G159" s="183" t="s">
        <v>244</v>
      </c>
      <c r="H159" s="36">
        <v>50</v>
      </c>
      <c r="I159" s="148">
        <v>51</v>
      </c>
      <c r="J159" s="36">
        <v>25</v>
      </c>
      <c r="K159" s="191">
        <v>897.54847365800003</v>
      </c>
      <c r="L159" s="189">
        <v>1699035.4358600001</v>
      </c>
      <c r="M159" s="183"/>
      <c r="N159" s="183" t="s">
        <v>245</v>
      </c>
      <c r="O159" s="193" t="s">
        <v>246</v>
      </c>
      <c r="P159" s="196">
        <v>44589</v>
      </c>
      <c r="Q159" s="195">
        <v>44589</v>
      </c>
      <c r="R159" s="196">
        <v>44589</v>
      </c>
      <c r="S159" s="82"/>
      <c r="T159" s="83"/>
      <c r="U159" s="184" t="str">
        <f>IF(Harm_prod_stolarnia_kliny[[#This Row],[Data wykonania]]&lt;&gt;0,"WYKONANE","NIEWYKONANE")</f>
        <v>NIEWYKONANE</v>
      </c>
      <c r="V159" s="36"/>
      <c r="W159" s="185"/>
    </row>
    <row r="160" spans="1:23" x14ac:dyDescent="0.25">
      <c r="A160" s="36">
        <v>159</v>
      </c>
      <c r="B160" s="187" t="s">
        <v>2285</v>
      </c>
      <c r="C160" s="186" t="s">
        <v>507</v>
      </c>
      <c r="D160" s="183">
        <v>1</v>
      </c>
      <c r="E160" s="148" t="s">
        <v>337</v>
      </c>
      <c r="F160" s="148">
        <v>2</v>
      </c>
      <c r="G160" s="183" t="s">
        <v>244</v>
      </c>
      <c r="H160" s="36">
        <v>50</v>
      </c>
      <c r="I160" s="148">
        <v>51</v>
      </c>
      <c r="J160" s="36">
        <v>27</v>
      </c>
      <c r="K160" s="191">
        <v>817.46477493400005</v>
      </c>
      <c r="L160" s="189">
        <v>1595489.6029699999</v>
      </c>
      <c r="M160" s="183"/>
      <c r="N160" s="183" t="s">
        <v>245</v>
      </c>
      <c r="O160" s="193" t="s">
        <v>246</v>
      </c>
      <c r="P160" s="196">
        <v>44589</v>
      </c>
      <c r="Q160" s="195">
        <v>44589</v>
      </c>
      <c r="R160" s="196">
        <v>44589</v>
      </c>
      <c r="S160" s="82"/>
      <c r="T160" s="83"/>
      <c r="U160" s="184" t="str">
        <f>IF(Harm_prod_stolarnia_kliny[[#This Row],[Data wykonania]]&lt;&gt;0,"WYKONANE","NIEWYKONANE")</f>
        <v>NIEWYKONANE</v>
      </c>
      <c r="V160" s="36"/>
      <c r="W160" s="185"/>
    </row>
    <row r="161" spans="1:23" x14ac:dyDescent="0.25">
      <c r="A161" s="36">
        <v>160</v>
      </c>
      <c r="B161" s="187" t="s">
        <v>2285</v>
      </c>
      <c r="C161" s="186" t="s">
        <v>507</v>
      </c>
      <c r="D161" s="183">
        <v>1</v>
      </c>
      <c r="E161" s="148" t="s">
        <v>361</v>
      </c>
      <c r="F161" s="148">
        <v>3</v>
      </c>
      <c r="G161" s="183" t="s">
        <v>244</v>
      </c>
      <c r="H161" s="36">
        <v>50</v>
      </c>
      <c r="I161" s="148">
        <v>51</v>
      </c>
      <c r="J161" s="36">
        <v>25</v>
      </c>
      <c r="K161" s="191">
        <v>897.54847365800003</v>
      </c>
      <c r="L161" s="189">
        <v>1699035.4358600001</v>
      </c>
      <c r="M161" s="183"/>
      <c r="N161" s="183" t="s">
        <v>245</v>
      </c>
      <c r="O161" s="193" t="s">
        <v>246</v>
      </c>
      <c r="P161" s="196">
        <v>44589</v>
      </c>
      <c r="Q161" s="195">
        <v>44589</v>
      </c>
      <c r="R161" s="196">
        <v>44589</v>
      </c>
      <c r="S161" s="82"/>
      <c r="T161" s="83"/>
      <c r="U161" s="184" t="str">
        <f>IF(Harm_prod_stolarnia_kliny[[#This Row],[Data wykonania]]&lt;&gt;0,"WYKONANE","NIEWYKONANE")</f>
        <v>NIEWYKONANE</v>
      </c>
      <c r="V161" s="36"/>
      <c r="W161" s="185"/>
    </row>
    <row r="162" spans="1:23" x14ac:dyDescent="0.25">
      <c r="A162" s="36">
        <v>161</v>
      </c>
      <c r="B162" s="187" t="s">
        <v>2286</v>
      </c>
      <c r="C162" s="186" t="s">
        <v>507</v>
      </c>
      <c r="D162" s="183">
        <v>1</v>
      </c>
      <c r="E162" s="148" t="s">
        <v>337</v>
      </c>
      <c r="F162" s="148">
        <v>2</v>
      </c>
      <c r="G162" s="183" t="s">
        <v>244</v>
      </c>
      <c r="H162" s="36">
        <v>50</v>
      </c>
      <c r="I162" s="148">
        <v>51</v>
      </c>
      <c r="J162" s="36">
        <v>27</v>
      </c>
      <c r="K162" s="191">
        <v>817.46477493500004</v>
      </c>
      <c r="L162" s="189">
        <v>1595489.6029699999</v>
      </c>
      <c r="M162" s="183"/>
      <c r="N162" s="183" t="s">
        <v>245</v>
      </c>
      <c r="O162" s="193" t="s">
        <v>246</v>
      </c>
      <c r="P162" s="196">
        <v>44589</v>
      </c>
      <c r="Q162" s="195">
        <v>44589</v>
      </c>
      <c r="R162" s="196">
        <v>44589</v>
      </c>
      <c r="S162" s="82"/>
      <c r="T162" s="83"/>
      <c r="U162" s="184" t="str">
        <f>IF(Harm_prod_stolarnia_kliny[[#This Row],[Data wykonania]]&lt;&gt;0,"WYKONANE","NIEWYKONANE")</f>
        <v>NIEWYKONANE</v>
      </c>
      <c r="V162" s="36"/>
      <c r="W162" s="185"/>
    </row>
    <row r="163" spans="1:23" x14ac:dyDescent="0.25">
      <c r="A163" s="36">
        <v>162</v>
      </c>
      <c r="B163" s="187" t="s">
        <v>2286</v>
      </c>
      <c r="C163" s="186" t="s">
        <v>507</v>
      </c>
      <c r="D163" s="183">
        <v>1</v>
      </c>
      <c r="E163" s="148" t="s">
        <v>361</v>
      </c>
      <c r="F163" s="148">
        <v>3</v>
      </c>
      <c r="G163" s="183" t="s">
        <v>244</v>
      </c>
      <c r="H163" s="36">
        <v>50</v>
      </c>
      <c r="I163" s="148">
        <v>51</v>
      </c>
      <c r="J163" s="36">
        <v>25</v>
      </c>
      <c r="K163" s="191">
        <v>897.54847365800003</v>
      </c>
      <c r="L163" s="189">
        <v>1699035.4358699999</v>
      </c>
      <c r="M163" s="183"/>
      <c r="N163" s="183" t="s">
        <v>245</v>
      </c>
      <c r="O163" s="193" t="s">
        <v>246</v>
      </c>
      <c r="P163" s="196">
        <v>44589</v>
      </c>
      <c r="Q163" s="195">
        <v>44589</v>
      </c>
      <c r="R163" s="196">
        <v>44589</v>
      </c>
      <c r="S163" s="82"/>
      <c r="T163" s="83"/>
      <c r="U163" s="184" t="str">
        <f>IF(Harm_prod_stolarnia_kliny[[#This Row],[Data wykonania]]&lt;&gt;0,"WYKONANE","NIEWYKONANE")</f>
        <v>NIEWYKONANE</v>
      </c>
      <c r="V163" s="36"/>
      <c r="W163" s="185"/>
    </row>
    <row r="164" spans="1:23" x14ac:dyDescent="0.25">
      <c r="A164" s="36">
        <v>163</v>
      </c>
      <c r="B164" s="187" t="s">
        <v>2287</v>
      </c>
      <c r="C164" s="186" t="s">
        <v>507</v>
      </c>
      <c r="D164" s="183">
        <v>1</v>
      </c>
      <c r="E164" s="148" t="s">
        <v>337</v>
      </c>
      <c r="F164" s="148">
        <v>2</v>
      </c>
      <c r="G164" s="183" t="s">
        <v>244</v>
      </c>
      <c r="H164" s="36">
        <v>50</v>
      </c>
      <c r="I164" s="148">
        <v>51</v>
      </c>
      <c r="J164" s="36">
        <v>27</v>
      </c>
      <c r="K164" s="191">
        <v>817.46477493500004</v>
      </c>
      <c r="L164" s="189">
        <v>1595489.6029699999</v>
      </c>
      <c r="M164" s="183"/>
      <c r="N164" s="183" t="s">
        <v>245</v>
      </c>
      <c r="O164" s="193" t="s">
        <v>246</v>
      </c>
      <c r="P164" s="196">
        <v>44589</v>
      </c>
      <c r="Q164" s="195">
        <v>44589</v>
      </c>
      <c r="R164" s="196">
        <v>44589</v>
      </c>
      <c r="S164" s="82"/>
      <c r="T164" s="83"/>
      <c r="U164" s="184" t="str">
        <f>IF(Harm_prod_stolarnia_kliny[[#This Row],[Data wykonania]]&lt;&gt;0,"WYKONANE","NIEWYKONANE")</f>
        <v>NIEWYKONANE</v>
      </c>
      <c r="V164" s="36"/>
      <c r="W164" s="185"/>
    </row>
    <row r="165" spans="1:23" x14ac:dyDescent="0.25">
      <c r="A165" s="36">
        <v>164</v>
      </c>
      <c r="B165" s="187" t="s">
        <v>2287</v>
      </c>
      <c r="C165" s="186" t="s">
        <v>507</v>
      </c>
      <c r="D165" s="183">
        <v>1</v>
      </c>
      <c r="E165" s="148" t="s">
        <v>361</v>
      </c>
      <c r="F165" s="148">
        <v>3</v>
      </c>
      <c r="G165" s="183" t="s">
        <v>244</v>
      </c>
      <c r="H165" s="36">
        <v>50</v>
      </c>
      <c r="I165" s="148">
        <v>51</v>
      </c>
      <c r="J165" s="36">
        <v>25</v>
      </c>
      <c r="K165" s="191">
        <v>897.54847365800003</v>
      </c>
      <c r="L165" s="189">
        <v>1699035.4358600001</v>
      </c>
      <c r="M165" s="183"/>
      <c r="N165" s="183" t="s">
        <v>245</v>
      </c>
      <c r="O165" s="193" t="s">
        <v>246</v>
      </c>
      <c r="P165" s="196">
        <v>44589</v>
      </c>
      <c r="Q165" s="195">
        <v>44589</v>
      </c>
      <c r="R165" s="196">
        <v>44589</v>
      </c>
      <c r="S165" s="82"/>
      <c r="T165" s="83"/>
      <c r="U165" s="184" t="str">
        <f>IF(Harm_prod_stolarnia_kliny[[#This Row],[Data wykonania]]&lt;&gt;0,"WYKONANE","NIEWYKONANE")</f>
        <v>NIEWYKONANE</v>
      </c>
      <c r="V165" s="36"/>
      <c r="W165" s="185"/>
    </row>
    <row r="166" spans="1:23" x14ac:dyDescent="0.25">
      <c r="A166" s="36">
        <v>165</v>
      </c>
      <c r="B166" s="187" t="s">
        <v>2288</v>
      </c>
      <c r="C166" s="186" t="s">
        <v>507</v>
      </c>
      <c r="D166" s="183">
        <v>1</v>
      </c>
      <c r="E166" s="148" t="s">
        <v>337</v>
      </c>
      <c r="F166" s="148">
        <v>2</v>
      </c>
      <c r="G166" s="183" t="s">
        <v>244</v>
      </c>
      <c r="H166" s="36">
        <v>50</v>
      </c>
      <c r="I166" s="148">
        <v>51</v>
      </c>
      <c r="J166" s="36">
        <v>27</v>
      </c>
      <c r="K166" s="191">
        <v>817.46477493400005</v>
      </c>
      <c r="L166" s="189">
        <v>1595489.6029699999</v>
      </c>
      <c r="M166" s="183"/>
      <c r="N166" s="183" t="s">
        <v>245</v>
      </c>
      <c r="O166" s="193" t="s">
        <v>246</v>
      </c>
      <c r="P166" s="196">
        <v>44589</v>
      </c>
      <c r="Q166" s="195">
        <v>44589</v>
      </c>
      <c r="R166" s="196">
        <v>44589</v>
      </c>
      <c r="S166" s="82"/>
      <c r="T166" s="83"/>
      <c r="U166" s="184" t="str">
        <f>IF(Harm_prod_stolarnia_kliny[[#This Row],[Data wykonania]]&lt;&gt;0,"WYKONANE","NIEWYKONANE")</f>
        <v>NIEWYKONANE</v>
      </c>
      <c r="V166" s="36"/>
      <c r="W166" s="185"/>
    </row>
    <row r="167" spans="1:23" x14ac:dyDescent="0.25">
      <c r="A167" s="36">
        <v>166</v>
      </c>
      <c r="B167" s="187" t="s">
        <v>2288</v>
      </c>
      <c r="C167" s="186" t="s">
        <v>507</v>
      </c>
      <c r="D167" s="183">
        <v>1</v>
      </c>
      <c r="E167" s="148" t="s">
        <v>361</v>
      </c>
      <c r="F167" s="148">
        <v>3</v>
      </c>
      <c r="G167" s="183" t="s">
        <v>244</v>
      </c>
      <c r="H167" s="36">
        <v>50</v>
      </c>
      <c r="I167" s="148">
        <v>51</v>
      </c>
      <c r="J167" s="36">
        <v>25</v>
      </c>
      <c r="K167" s="191">
        <v>897.54847365800003</v>
      </c>
      <c r="L167" s="189">
        <v>1699035.4358699999</v>
      </c>
      <c r="M167" s="183"/>
      <c r="N167" s="183" t="s">
        <v>245</v>
      </c>
      <c r="O167" s="193" t="s">
        <v>246</v>
      </c>
      <c r="P167" s="196">
        <v>44589</v>
      </c>
      <c r="Q167" s="195">
        <v>44589</v>
      </c>
      <c r="R167" s="196">
        <v>44589</v>
      </c>
      <c r="S167" s="82"/>
      <c r="T167" s="83"/>
      <c r="U167" s="184" t="str">
        <f>IF(Harm_prod_stolarnia_kliny[[#This Row],[Data wykonania]]&lt;&gt;0,"WYKONANE","NIEWYKONANE")</f>
        <v>NIEWYKONANE</v>
      </c>
      <c r="V167" s="36"/>
      <c r="W167" s="185"/>
    </row>
    <row r="168" spans="1:23" x14ac:dyDescent="0.25">
      <c r="A168" s="36">
        <v>167</v>
      </c>
      <c r="B168" s="187" t="s">
        <v>2289</v>
      </c>
      <c r="C168" s="186" t="s">
        <v>507</v>
      </c>
      <c r="D168" s="183">
        <v>1</v>
      </c>
      <c r="E168" s="148" t="s">
        <v>337</v>
      </c>
      <c r="F168" s="148">
        <v>2</v>
      </c>
      <c r="G168" s="183" t="s">
        <v>244</v>
      </c>
      <c r="H168" s="36">
        <v>50</v>
      </c>
      <c r="I168" s="148">
        <v>51</v>
      </c>
      <c r="J168" s="36">
        <v>27</v>
      </c>
      <c r="K168" s="191">
        <v>817.46477493400005</v>
      </c>
      <c r="L168" s="189">
        <v>1595489.6029699999</v>
      </c>
      <c r="M168" s="183"/>
      <c r="N168" s="183" t="s">
        <v>245</v>
      </c>
      <c r="O168" s="193" t="s">
        <v>246</v>
      </c>
      <c r="P168" s="196">
        <v>44589</v>
      </c>
      <c r="Q168" s="195">
        <v>44589</v>
      </c>
      <c r="R168" s="196">
        <v>44589</v>
      </c>
      <c r="S168" s="82"/>
      <c r="T168" s="83"/>
      <c r="U168" s="184" t="str">
        <f>IF(Harm_prod_stolarnia_kliny[[#This Row],[Data wykonania]]&lt;&gt;0,"WYKONANE","NIEWYKONANE")</f>
        <v>NIEWYKONANE</v>
      </c>
      <c r="V168" s="36"/>
      <c r="W168" s="185"/>
    </row>
    <row r="169" spans="1:23" x14ac:dyDescent="0.25">
      <c r="A169" s="36">
        <v>168</v>
      </c>
      <c r="B169" s="187" t="s">
        <v>2289</v>
      </c>
      <c r="C169" s="186" t="s">
        <v>507</v>
      </c>
      <c r="D169" s="183">
        <v>1</v>
      </c>
      <c r="E169" s="148" t="s">
        <v>361</v>
      </c>
      <c r="F169" s="148">
        <v>3</v>
      </c>
      <c r="G169" s="183" t="s">
        <v>244</v>
      </c>
      <c r="H169" s="36">
        <v>50</v>
      </c>
      <c r="I169" s="148">
        <v>51</v>
      </c>
      <c r="J169" s="36">
        <v>25</v>
      </c>
      <c r="K169" s="191">
        <v>897.54847365800003</v>
      </c>
      <c r="L169" s="189">
        <v>1699035.4358699999</v>
      </c>
      <c r="M169" s="183"/>
      <c r="N169" s="183" t="s">
        <v>245</v>
      </c>
      <c r="O169" s="193" t="s">
        <v>246</v>
      </c>
      <c r="P169" s="196">
        <v>44589</v>
      </c>
      <c r="Q169" s="195">
        <v>44589</v>
      </c>
      <c r="R169" s="196">
        <v>44589</v>
      </c>
      <c r="S169" s="82"/>
      <c r="T169" s="83"/>
      <c r="U169" s="184" t="str">
        <f>IF(Harm_prod_stolarnia_kliny[[#This Row],[Data wykonania]]&lt;&gt;0,"WYKONANE","NIEWYKONANE")</f>
        <v>NIEWYKONANE</v>
      </c>
      <c r="V169" s="36"/>
      <c r="W169" s="185"/>
    </row>
    <row r="170" spans="1:23" x14ac:dyDescent="0.25">
      <c r="A170" s="36">
        <v>169</v>
      </c>
      <c r="B170" s="187" t="s">
        <v>2290</v>
      </c>
      <c r="C170" s="186" t="s">
        <v>507</v>
      </c>
      <c r="D170" s="183">
        <v>1</v>
      </c>
      <c r="E170" s="148" t="s">
        <v>337</v>
      </c>
      <c r="F170" s="148">
        <v>2</v>
      </c>
      <c r="G170" s="183" t="s">
        <v>244</v>
      </c>
      <c r="H170" s="36">
        <v>50</v>
      </c>
      <c r="I170" s="148">
        <v>51</v>
      </c>
      <c r="J170" s="36">
        <v>27</v>
      </c>
      <c r="K170" s="191">
        <v>817.46477493400005</v>
      </c>
      <c r="L170" s="189">
        <v>1595489.6029699999</v>
      </c>
      <c r="M170" s="183"/>
      <c r="N170" s="183" t="s">
        <v>245</v>
      </c>
      <c r="O170" s="193" t="s">
        <v>246</v>
      </c>
      <c r="P170" s="196">
        <v>44589</v>
      </c>
      <c r="Q170" s="195">
        <v>44589</v>
      </c>
      <c r="R170" s="196">
        <v>44589</v>
      </c>
      <c r="S170" s="82"/>
      <c r="T170" s="83"/>
      <c r="U170" s="184" t="str">
        <f>IF(Harm_prod_stolarnia_kliny[[#This Row],[Data wykonania]]&lt;&gt;0,"WYKONANE","NIEWYKONANE")</f>
        <v>NIEWYKONANE</v>
      </c>
      <c r="V170" s="36"/>
      <c r="W170" s="185"/>
    </row>
    <row r="171" spans="1:23" x14ac:dyDescent="0.25">
      <c r="A171" s="36">
        <v>170</v>
      </c>
      <c r="B171" s="187" t="s">
        <v>2290</v>
      </c>
      <c r="C171" s="186" t="s">
        <v>507</v>
      </c>
      <c r="D171" s="183">
        <v>1</v>
      </c>
      <c r="E171" s="148" t="s">
        <v>361</v>
      </c>
      <c r="F171" s="148">
        <v>3</v>
      </c>
      <c r="G171" s="183" t="s">
        <v>244</v>
      </c>
      <c r="H171" s="36">
        <v>50</v>
      </c>
      <c r="I171" s="148">
        <v>51</v>
      </c>
      <c r="J171" s="36">
        <v>25</v>
      </c>
      <c r="K171" s="191">
        <v>897.54847365800003</v>
      </c>
      <c r="L171" s="189">
        <v>1699035.4358600001</v>
      </c>
      <c r="M171" s="183"/>
      <c r="N171" s="183" t="s">
        <v>245</v>
      </c>
      <c r="O171" s="193" t="s">
        <v>246</v>
      </c>
      <c r="P171" s="196">
        <v>44589</v>
      </c>
      <c r="Q171" s="195">
        <v>44589</v>
      </c>
      <c r="R171" s="196">
        <v>44589</v>
      </c>
      <c r="S171" s="82"/>
      <c r="T171" s="83"/>
      <c r="U171" s="184" t="str">
        <f>IF(Harm_prod_stolarnia_kliny[[#This Row],[Data wykonania]]&lt;&gt;0,"WYKONANE","NIEWYKONANE")</f>
        <v>NIEWYKONANE</v>
      </c>
      <c r="V171" s="36"/>
      <c r="W171" s="185"/>
    </row>
    <row r="172" spans="1:23" x14ac:dyDescent="0.25">
      <c r="A172" s="36">
        <v>171</v>
      </c>
      <c r="B172" s="187" t="s">
        <v>2291</v>
      </c>
      <c r="C172" s="186" t="s">
        <v>507</v>
      </c>
      <c r="D172" s="183">
        <v>1</v>
      </c>
      <c r="E172" s="148" t="s">
        <v>337</v>
      </c>
      <c r="F172" s="148">
        <v>2</v>
      </c>
      <c r="G172" s="183" t="s">
        <v>244</v>
      </c>
      <c r="H172" s="36">
        <v>50</v>
      </c>
      <c r="I172" s="148">
        <v>51</v>
      </c>
      <c r="J172" s="36">
        <v>27</v>
      </c>
      <c r="K172" s="191">
        <v>817.46477493400005</v>
      </c>
      <c r="L172" s="189">
        <v>1595489.6029699999</v>
      </c>
      <c r="M172" s="183"/>
      <c r="N172" s="183" t="s">
        <v>245</v>
      </c>
      <c r="O172" s="193" t="s">
        <v>246</v>
      </c>
      <c r="P172" s="196">
        <v>44589</v>
      </c>
      <c r="Q172" s="195">
        <v>44589</v>
      </c>
      <c r="R172" s="196">
        <v>44589</v>
      </c>
      <c r="S172" s="82"/>
      <c r="T172" s="83"/>
      <c r="U172" s="184" t="str">
        <f>IF(Harm_prod_stolarnia_kliny[[#This Row],[Data wykonania]]&lt;&gt;0,"WYKONANE","NIEWYKONANE")</f>
        <v>NIEWYKONANE</v>
      </c>
      <c r="V172" s="36"/>
      <c r="W172" s="185"/>
    </row>
    <row r="173" spans="1:23" x14ac:dyDescent="0.25">
      <c r="A173" s="36">
        <v>172</v>
      </c>
      <c r="B173" s="187" t="s">
        <v>2291</v>
      </c>
      <c r="C173" s="186" t="s">
        <v>507</v>
      </c>
      <c r="D173" s="183">
        <v>1</v>
      </c>
      <c r="E173" s="148" t="s">
        <v>361</v>
      </c>
      <c r="F173" s="148">
        <v>3</v>
      </c>
      <c r="G173" s="183" t="s">
        <v>244</v>
      </c>
      <c r="H173" s="36">
        <v>50</v>
      </c>
      <c r="I173" s="148">
        <v>51</v>
      </c>
      <c r="J173" s="36">
        <v>25</v>
      </c>
      <c r="K173" s="191">
        <v>897.54847365800003</v>
      </c>
      <c r="L173" s="189">
        <v>1699035.4358699999</v>
      </c>
      <c r="M173" s="183"/>
      <c r="N173" s="183" t="s">
        <v>245</v>
      </c>
      <c r="O173" s="193" t="s">
        <v>246</v>
      </c>
      <c r="P173" s="196">
        <v>44589</v>
      </c>
      <c r="Q173" s="195">
        <v>44589</v>
      </c>
      <c r="R173" s="196">
        <v>44589</v>
      </c>
      <c r="S173" s="82"/>
      <c r="T173" s="83"/>
      <c r="U173" s="184" t="str">
        <f>IF(Harm_prod_stolarnia_kliny[[#This Row],[Data wykonania]]&lt;&gt;0,"WYKONANE","NIEWYKONANE")</f>
        <v>NIEWYKONANE</v>
      </c>
      <c r="V173" s="36"/>
      <c r="W173" s="185"/>
    </row>
    <row r="174" spans="1:23" x14ac:dyDescent="0.25">
      <c r="A174" s="36">
        <v>173</v>
      </c>
      <c r="B174" s="187" t="s">
        <v>2292</v>
      </c>
      <c r="C174" s="186" t="s">
        <v>507</v>
      </c>
      <c r="D174" s="183">
        <v>1</v>
      </c>
      <c r="E174" s="148" t="s">
        <v>337</v>
      </c>
      <c r="F174" s="148">
        <v>2</v>
      </c>
      <c r="G174" s="183" t="s">
        <v>244</v>
      </c>
      <c r="H174" s="36">
        <v>50</v>
      </c>
      <c r="I174" s="148">
        <v>51</v>
      </c>
      <c r="J174" s="36">
        <v>27</v>
      </c>
      <c r="K174" s="191">
        <v>817.46477493400005</v>
      </c>
      <c r="L174" s="189">
        <v>1595489.6029699999</v>
      </c>
      <c r="M174" s="183"/>
      <c r="N174" s="183" t="s">
        <v>245</v>
      </c>
      <c r="O174" s="193" t="s">
        <v>246</v>
      </c>
      <c r="P174" s="196">
        <v>44589</v>
      </c>
      <c r="Q174" s="195">
        <v>44589</v>
      </c>
      <c r="R174" s="196">
        <v>44589</v>
      </c>
      <c r="S174" s="82"/>
      <c r="T174" s="83"/>
      <c r="U174" s="184" t="str">
        <f>IF(Harm_prod_stolarnia_kliny[[#This Row],[Data wykonania]]&lt;&gt;0,"WYKONANE","NIEWYKONANE")</f>
        <v>NIEWYKONANE</v>
      </c>
      <c r="V174" s="36"/>
      <c r="W174" s="185"/>
    </row>
    <row r="175" spans="1:23" x14ac:dyDescent="0.25">
      <c r="A175" s="36">
        <v>174</v>
      </c>
      <c r="B175" s="187" t="s">
        <v>2292</v>
      </c>
      <c r="C175" s="186" t="s">
        <v>507</v>
      </c>
      <c r="D175" s="183">
        <v>1</v>
      </c>
      <c r="E175" s="148" t="s">
        <v>361</v>
      </c>
      <c r="F175" s="148">
        <v>3</v>
      </c>
      <c r="G175" s="183" t="s">
        <v>244</v>
      </c>
      <c r="H175" s="36">
        <v>50</v>
      </c>
      <c r="I175" s="148">
        <v>51</v>
      </c>
      <c r="J175" s="36">
        <v>25</v>
      </c>
      <c r="K175" s="191">
        <v>897.54847365800003</v>
      </c>
      <c r="L175" s="189">
        <v>1699035.4358699999</v>
      </c>
      <c r="M175" s="183"/>
      <c r="N175" s="183" t="s">
        <v>245</v>
      </c>
      <c r="O175" s="193" t="s">
        <v>246</v>
      </c>
      <c r="P175" s="196">
        <v>44589</v>
      </c>
      <c r="Q175" s="195">
        <v>44589</v>
      </c>
      <c r="R175" s="196">
        <v>44589</v>
      </c>
      <c r="S175" s="82"/>
      <c r="T175" s="83"/>
      <c r="U175" s="184" t="str">
        <f>IF(Harm_prod_stolarnia_kliny[[#This Row],[Data wykonania]]&lt;&gt;0,"WYKONANE","NIEWYKONANE")</f>
        <v>NIEWYKONANE</v>
      </c>
      <c r="V175" s="36"/>
      <c r="W175" s="185"/>
    </row>
    <row r="176" spans="1:23" x14ac:dyDescent="0.25">
      <c r="A176" s="36">
        <v>175</v>
      </c>
      <c r="B176" s="187" t="s">
        <v>2293</v>
      </c>
      <c r="C176" s="186" t="s">
        <v>507</v>
      </c>
      <c r="D176" s="183">
        <v>1</v>
      </c>
      <c r="E176" s="148" t="s">
        <v>337</v>
      </c>
      <c r="F176" s="148">
        <v>2</v>
      </c>
      <c r="G176" s="183" t="s">
        <v>244</v>
      </c>
      <c r="H176" s="36">
        <v>50</v>
      </c>
      <c r="I176" s="148">
        <v>51</v>
      </c>
      <c r="J176" s="36">
        <v>27</v>
      </c>
      <c r="K176" s="191">
        <v>817.46477493400005</v>
      </c>
      <c r="L176" s="189">
        <v>1595489.6029699999</v>
      </c>
      <c r="M176" s="183"/>
      <c r="N176" s="183" t="s">
        <v>245</v>
      </c>
      <c r="O176" s="193" t="s">
        <v>246</v>
      </c>
      <c r="P176" s="196">
        <v>44589</v>
      </c>
      <c r="Q176" s="195">
        <v>44589</v>
      </c>
      <c r="R176" s="196">
        <v>44589</v>
      </c>
      <c r="S176" s="82"/>
      <c r="T176" s="83"/>
      <c r="U176" s="184" t="str">
        <f>IF(Harm_prod_stolarnia_kliny[[#This Row],[Data wykonania]]&lt;&gt;0,"WYKONANE","NIEWYKONANE")</f>
        <v>NIEWYKONANE</v>
      </c>
      <c r="V176" s="36"/>
      <c r="W176" s="185"/>
    </row>
    <row r="177" spans="1:23" x14ac:dyDescent="0.25">
      <c r="A177" s="36">
        <v>176</v>
      </c>
      <c r="B177" s="187" t="s">
        <v>2293</v>
      </c>
      <c r="C177" s="186" t="s">
        <v>507</v>
      </c>
      <c r="D177" s="183">
        <v>1</v>
      </c>
      <c r="E177" s="148" t="s">
        <v>361</v>
      </c>
      <c r="F177" s="148">
        <v>3</v>
      </c>
      <c r="G177" s="183" t="s">
        <v>244</v>
      </c>
      <c r="H177" s="36">
        <v>50</v>
      </c>
      <c r="I177" s="148">
        <v>51</v>
      </c>
      <c r="J177" s="36">
        <v>25</v>
      </c>
      <c r="K177" s="191">
        <v>897.54847365800003</v>
      </c>
      <c r="L177" s="189">
        <v>1699035.4358699999</v>
      </c>
      <c r="M177" s="183"/>
      <c r="N177" s="183" t="s">
        <v>245</v>
      </c>
      <c r="O177" s="193" t="s">
        <v>246</v>
      </c>
      <c r="P177" s="196">
        <v>44589</v>
      </c>
      <c r="Q177" s="195">
        <v>44589</v>
      </c>
      <c r="R177" s="196">
        <v>44589</v>
      </c>
      <c r="S177" s="82"/>
      <c r="T177" s="83"/>
      <c r="U177" s="184" t="str">
        <f>IF(Harm_prod_stolarnia_kliny[[#This Row],[Data wykonania]]&lt;&gt;0,"WYKONANE","NIEWYKONANE")</f>
        <v>NIEWYKONANE</v>
      </c>
      <c r="V177" s="36"/>
      <c r="W177" s="185"/>
    </row>
    <row r="178" spans="1:23" x14ac:dyDescent="0.25">
      <c r="A178" s="36">
        <v>177</v>
      </c>
      <c r="B178" s="187" t="s">
        <v>2294</v>
      </c>
      <c r="C178" s="186" t="s">
        <v>507</v>
      </c>
      <c r="D178" s="183">
        <v>1</v>
      </c>
      <c r="E178" s="148" t="s">
        <v>337</v>
      </c>
      <c r="F178" s="148">
        <v>2</v>
      </c>
      <c r="G178" s="183" t="s">
        <v>244</v>
      </c>
      <c r="H178" s="36">
        <v>50</v>
      </c>
      <c r="I178" s="148">
        <v>51</v>
      </c>
      <c r="J178" s="36">
        <v>27</v>
      </c>
      <c r="K178" s="191">
        <v>817.46477493400005</v>
      </c>
      <c r="L178" s="189">
        <v>1595489.6029699999</v>
      </c>
      <c r="M178" s="183"/>
      <c r="N178" s="183" t="s">
        <v>245</v>
      </c>
      <c r="O178" s="193" t="s">
        <v>246</v>
      </c>
      <c r="P178" s="196">
        <v>44589</v>
      </c>
      <c r="Q178" s="195">
        <v>44589</v>
      </c>
      <c r="R178" s="196">
        <v>44589</v>
      </c>
      <c r="S178" s="82"/>
      <c r="T178" s="83"/>
      <c r="U178" s="184" t="str">
        <f>IF(Harm_prod_stolarnia_kliny[[#This Row],[Data wykonania]]&lt;&gt;0,"WYKONANE","NIEWYKONANE")</f>
        <v>NIEWYKONANE</v>
      </c>
      <c r="V178" s="36"/>
      <c r="W178" s="185"/>
    </row>
    <row r="179" spans="1:23" x14ac:dyDescent="0.25">
      <c r="A179" s="36">
        <v>178</v>
      </c>
      <c r="B179" s="187" t="s">
        <v>2294</v>
      </c>
      <c r="C179" s="186" t="s">
        <v>507</v>
      </c>
      <c r="D179" s="183">
        <v>1</v>
      </c>
      <c r="E179" s="148" t="s">
        <v>361</v>
      </c>
      <c r="F179" s="148">
        <v>3</v>
      </c>
      <c r="G179" s="183" t="s">
        <v>244</v>
      </c>
      <c r="H179" s="36">
        <v>50</v>
      </c>
      <c r="I179" s="148">
        <v>51</v>
      </c>
      <c r="J179" s="36">
        <v>25</v>
      </c>
      <c r="K179" s="191">
        <v>897.54847365800003</v>
      </c>
      <c r="L179" s="189">
        <v>1699035.4358600001</v>
      </c>
      <c r="M179" s="183"/>
      <c r="N179" s="183" t="s">
        <v>245</v>
      </c>
      <c r="O179" s="193" t="s">
        <v>246</v>
      </c>
      <c r="P179" s="196">
        <v>44589</v>
      </c>
      <c r="Q179" s="195">
        <v>44589</v>
      </c>
      <c r="R179" s="196">
        <v>44589</v>
      </c>
      <c r="S179" s="82"/>
      <c r="T179" s="83"/>
      <c r="U179" s="184" t="str">
        <f>IF(Harm_prod_stolarnia_kliny[[#This Row],[Data wykonania]]&lt;&gt;0,"WYKONANE","NIEWYKONANE")</f>
        <v>NIEWYKONANE</v>
      </c>
      <c r="V179" s="36"/>
      <c r="W179" s="185"/>
    </row>
    <row r="180" spans="1:23" x14ac:dyDescent="0.25">
      <c r="A180" s="36">
        <v>179</v>
      </c>
      <c r="B180" s="187" t="s">
        <v>2295</v>
      </c>
      <c r="C180" s="186" t="s">
        <v>507</v>
      </c>
      <c r="D180" s="183">
        <v>1</v>
      </c>
      <c r="E180" s="148" t="s">
        <v>337</v>
      </c>
      <c r="F180" s="148">
        <v>2</v>
      </c>
      <c r="G180" s="183" t="s">
        <v>244</v>
      </c>
      <c r="H180" s="36">
        <v>50</v>
      </c>
      <c r="I180" s="148">
        <v>51</v>
      </c>
      <c r="J180" s="36">
        <v>27</v>
      </c>
      <c r="K180" s="191">
        <v>817.46477493400005</v>
      </c>
      <c r="L180" s="189">
        <v>1595489.6029699999</v>
      </c>
      <c r="M180" s="183"/>
      <c r="N180" s="183" t="s">
        <v>245</v>
      </c>
      <c r="O180" s="193" t="s">
        <v>246</v>
      </c>
      <c r="P180" s="196">
        <v>44589</v>
      </c>
      <c r="Q180" s="195">
        <v>44589</v>
      </c>
      <c r="R180" s="196">
        <v>44589</v>
      </c>
      <c r="S180" s="82"/>
      <c r="T180" s="83"/>
      <c r="U180" s="184" t="str">
        <f>IF(Harm_prod_stolarnia_kliny[[#This Row],[Data wykonania]]&lt;&gt;0,"WYKONANE","NIEWYKONANE")</f>
        <v>NIEWYKONANE</v>
      </c>
      <c r="V180" s="36"/>
      <c r="W180" s="185"/>
    </row>
    <row r="181" spans="1:23" x14ac:dyDescent="0.25">
      <c r="A181" s="36">
        <v>180</v>
      </c>
      <c r="B181" s="187" t="s">
        <v>2295</v>
      </c>
      <c r="C181" s="186" t="s">
        <v>507</v>
      </c>
      <c r="D181" s="183">
        <v>1</v>
      </c>
      <c r="E181" s="148" t="s">
        <v>361</v>
      </c>
      <c r="F181" s="148">
        <v>3</v>
      </c>
      <c r="G181" s="183" t="s">
        <v>244</v>
      </c>
      <c r="H181" s="36">
        <v>50</v>
      </c>
      <c r="I181" s="148">
        <v>51</v>
      </c>
      <c r="J181" s="36">
        <v>25</v>
      </c>
      <c r="K181" s="191">
        <v>897.54847365800003</v>
      </c>
      <c r="L181" s="189">
        <v>1699035.4358699999</v>
      </c>
      <c r="M181" s="183"/>
      <c r="N181" s="183" t="s">
        <v>245</v>
      </c>
      <c r="O181" s="193" t="s">
        <v>246</v>
      </c>
      <c r="P181" s="196">
        <v>44589</v>
      </c>
      <c r="Q181" s="195">
        <v>44589</v>
      </c>
      <c r="R181" s="196">
        <v>44589</v>
      </c>
      <c r="S181" s="82"/>
      <c r="T181" s="83"/>
      <c r="U181" s="184" t="str">
        <f>IF(Harm_prod_stolarnia_kliny[[#This Row],[Data wykonania]]&lt;&gt;0,"WYKONANE","NIEWYKONANE")</f>
        <v>NIEWYKONANE</v>
      </c>
      <c r="V181" s="36"/>
      <c r="W181" s="185"/>
    </row>
  </sheetData>
  <conditionalFormatting sqref="U2:U181 W2:W181">
    <cfRule type="cellIs" dxfId="33" priority="1" operator="equal">
      <formula>"WYKONANE"</formula>
    </cfRule>
    <cfRule type="cellIs" dxfId="32" priority="2" operator="equal">
      <formula>"NIEWYKONANE"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Arkusz54"/>
  <dimension ref="A1:P181"/>
  <sheetViews>
    <sheetView workbookViewId="0">
      <selection activeCell="B1" sqref="B1:P181"/>
    </sheetView>
  </sheetViews>
  <sheetFormatPr defaultRowHeight="15" x14ac:dyDescent="0.25"/>
  <cols>
    <col min="2" max="2" width="9.140625" bestFit="1" customWidth="1"/>
    <col min="3" max="3" width="16" bestFit="1" customWidth="1"/>
    <col min="4" max="4" width="18.42578125" bestFit="1" customWidth="1"/>
    <col min="5" max="5" width="11" bestFit="1" customWidth="1"/>
    <col min="6" max="6" width="9.42578125" bestFit="1" customWidth="1"/>
    <col min="7" max="7" width="6.28515625" bestFit="1" customWidth="1"/>
    <col min="8" max="8" width="10.85546875" bestFit="1" customWidth="1"/>
    <col min="9" max="9" width="7.42578125" bestFit="1" customWidth="1"/>
    <col min="10" max="11" width="5.5703125" bestFit="1" customWidth="1"/>
    <col min="12" max="13" width="12" bestFit="1" customWidth="1"/>
    <col min="14" max="14" width="7.7109375" bestFit="1" customWidth="1"/>
    <col min="15" max="15" width="14.5703125" bestFit="1" customWidth="1"/>
    <col min="16" max="16" width="20.140625" bestFit="1" customWidth="1"/>
  </cols>
  <sheetData>
    <row r="1" spans="1:16" x14ac:dyDescent="0.25">
      <c r="A1" t="s">
        <v>2069</v>
      </c>
      <c r="B1" s="1" t="s">
        <v>19</v>
      </c>
      <c r="C1" s="1" t="s">
        <v>32</v>
      </c>
      <c r="D1" s="1" t="s">
        <v>61</v>
      </c>
      <c r="E1" s="1" t="s">
        <v>14</v>
      </c>
      <c r="F1" s="1" t="s">
        <v>46</v>
      </c>
      <c r="G1" s="1" t="s">
        <v>195</v>
      </c>
      <c r="H1" s="1" t="s">
        <v>196</v>
      </c>
      <c r="I1" s="1" t="s">
        <v>197</v>
      </c>
      <c r="J1" s="1" t="s">
        <v>198</v>
      </c>
      <c r="K1" s="1" t="s">
        <v>199</v>
      </c>
      <c r="L1" s="1" t="s">
        <v>200</v>
      </c>
      <c r="M1" s="1" t="s">
        <v>201</v>
      </c>
      <c r="N1" s="1" t="s">
        <v>202</v>
      </c>
      <c r="O1" s="1" t="s">
        <v>203</v>
      </c>
      <c r="P1" s="1" t="s">
        <v>204</v>
      </c>
    </row>
    <row r="2" spans="1:16" x14ac:dyDescent="0.25">
      <c r="B2" s="1">
        <v>1</v>
      </c>
      <c r="C2" s="1" t="s">
        <v>2318</v>
      </c>
      <c r="D2" s="1" t="s">
        <v>618</v>
      </c>
      <c r="E2" s="1" t="s">
        <v>2058</v>
      </c>
      <c r="F2" s="1" t="s">
        <v>362</v>
      </c>
      <c r="G2" s="1">
        <v>4</v>
      </c>
      <c r="H2" s="1" t="s">
        <v>244</v>
      </c>
      <c r="I2" s="1">
        <v>50</v>
      </c>
      <c r="J2" s="1">
        <v>38</v>
      </c>
      <c r="K2" s="1">
        <v>5</v>
      </c>
      <c r="L2" s="1">
        <v>828.98470463000001</v>
      </c>
      <c r="M2" s="1">
        <v>883651.690022</v>
      </c>
      <c r="N2" s="1"/>
      <c r="O2" s="1" t="s">
        <v>277</v>
      </c>
      <c r="P2" s="1" t="s">
        <v>246</v>
      </c>
    </row>
    <row r="3" spans="1:16" x14ac:dyDescent="0.25">
      <c r="B3" s="1">
        <v>2</v>
      </c>
      <c r="C3" s="1" t="s">
        <v>2318</v>
      </c>
      <c r="D3" s="1" t="s">
        <v>618</v>
      </c>
      <c r="E3" s="1" t="s">
        <v>2058</v>
      </c>
      <c r="F3" s="1" t="s">
        <v>356</v>
      </c>
      <c r="G3" s="1">
        <v>1</v>
      </c>
      <c r="H3" s="1" t="s">
        <v>244</v>
      </c>
      <c r="I3" s="1">
        <v>50</v>
      </c>
      <c r="J3" s="1">
        <v>38</v>
      </c>
      <c r="K3" s="1">
        <v>5</v>
      </c>
      <c r="L3" s="1">
        <v>828.98338078300003</v>
      </c>
      <c r="M3" s="1">
        <v>883651.35905700002</v>
      </c>
      <c r="N3" s="1"/>
      <c r="O3" s="1" t="s">
        <v>277</v>
      </c>
      <c r="P3" s="1" t="s">
        <v>246</v>
      </c>
    </row>
    <row r="4" spans="1:16" x14ac:dyDescent="0.25">
      <c r="B4" s="1">
        <v>3</v>
      </c>
      <c r="C4" s="1" t="s">
        <v>2317</v>
      </c>
      <c r="D4" s="1" t="s">
        <v>618</v>
      </c>
      <c r="E4" s="1" t="s">
        <v>2058</v>
      </c>
      <c r="F4" s="1" t="s">
        <v>362</v>
      </c>
      <c r="G4" s="1">
        <v>4</v>
      </c>
      <c r="H4" s="1" t="s">
        <v>244</v>
      </c>
      <c r="I4" s="1">
        <v>50</v>
      </c>
      <c r="J4" s="1">
        <v>38</v>
      </c>
      <c r="K4" s="1">
        <v>5</v>
      </c>
      <c r="L4" s="1">
        <v>828.98470463000001</v>
      </c>
      <c r="M4" s="1">
        <v>883651.690023</v>
      </c>
      <c r="N4" s="1"/>
      <c r="O4" s="1" t="s">
        <v>277</v>
      </c>
      <c r="P4" s="1" t="s">
        <v>246</v>
      </c>
    </row>
    <row r="5" spans="1:16" x14ac:dyDescent="0.25">
      <c r="B5" s="1">
        <v>4</v>
      </c>
      <c r="C5" s="1" t="s">
        <v>2317</v>
      </c>
      <c r="D5" s="1" t="s">
        <v>618</v>
      </c>
      <c r="E5" s="1" t="s">
        <v>2058</v>
      </c>
      <c r="F5" s="1" t="s">
        <v>356</v>
      </c>
      <c r="G5" s="1">
        <v>1</v>
      </c>
      <c r="H5" s="1" t="s">
        <v>244</v>
      </c>
      <c r="I5" s="1">
        <v>50</v>
      </c>
      <c r="J5" s="1">
        <v>38</v>
      </c>
      <c r="K5" s="1">
        <v>5</v>
      </c>
      <c r="L5" s="1">
        <v>828.98338078300003</v>
      </c>
      <c r="M5" s="1">
        <v>883651.35905700002</v>
      </c>
      <c r="N5" s="1"/>
      <c r="O5" s="1" t="s">
        <v>277</v>
      </c>
      <c r="P5" s="1" t="s">
        <v>246</v>
      </c>
    </row>
    <row r="6" spans="1:16" x14ac:dyDescent="0.25">
      <c r="B6" s="1">
        <v>5</v>
      </c>
      <c r="C6" s="1" t="s">
        <v>2298</v>
      </c>
      <c r="D6" s="1" t="s">
        <v>618</v>
      </c>
      <c r="E6" s="1" t="s">
        <v>2058</v>
      </c>
      <c r="F6" s="1" t="s">
        <v>362</v>
      </c>
      <c r="G6" s="1">
        <v>4</v>
      </c>
      <c r="H6" s="1" t="s">
        <v>244</v>
      </c>
      <c r="I6" s="1">
        <v>50</v>
      </c>
      <c r="J6" s="1">
        <v>38</v>
      </c>
      <c r="K6" s="1">
        <v>5</v>
      </c>
      <c r="L6" s="1">
        <v>828.984705437</v>
      </c>
      <c r="M6" s="1">
        <v>883651.69154200004</v>
      </c>
      <c r="N6" s="1"/>
      <c r="O6" s="1" t="s">
        <v>277</v>
      </c>
      <c r="P6" s="1" t="s">
        <v>246</v>
      </c>
    </row>
    <row r="7" spans="1:16" x14ac:dyDescent="0.25">
      <c r="B7" s="1">
        <v>6</v>
      </c>
      <c r="C7" s="1" t="s">
        <v>2298</v>
      </c>
      <c r="D7" s="1" t="s">
        <v>618</v>
      </c>
      <c r="E7" s="1" t="s">
        <v>2058</v>
      </c>
      <c r="F7" s="1" t="s">
        <v>356</v>
      </c>
      <c r="G7" s="1">
        <v>1</v>
      </c>
      <c r="H7" s="1" t="s">
        <v>244</v>
      </c>
      <c r="I7" s="1">
        <v>50</v>
      </c>
      <c r="J7" s="1">
        <v>38</v>
      </c>
      <c r="K7" s="1">
        <v>5</v>
      </c>
      <c r="L7" s="1">
        <v>828.98338158900003</v>
      </c>
      <c r="M7" s="1">
        <v>883651.36057699996</v>
      </c>
      <c r="N7" s="1"/>
      <c r="O7" s="1" t="s">
        <v>277</v>
      </c>
      <c r="P7" s="1" t="s">
        <v>246</v>
      </c>
    </row>
    <row r="8" spans="1:16" x14ac:dyDescent="0.25">
      <c r="B8" s="1">
        <v>7</v>
      </c>
      <c r="C8" s="1" t="s">
        <v>2297</v>
      </c>
      <c r="D8" s="1" t="s">
        <v>618</v>
      </c>
      <c r="E8" s="1" t="s">
        <v>2058</v>
      </c>
      <c r="F8" s="1" t="s">
        <v>362</v>
      </c>
      <c r="G8" s="1">
        <v>4</v>
      </c>
      <c r="H8" s="1" t="s">
        <v>244</v>
      </c>
      <c r="I8" s="1">
        <v>50</v>
      </c>
      <c r="J8" s="1">
        <v>38</v>
      </c>
      <c r="K8" s="1">
        <v>5</v>
      </c>
      <c r="L8" s="1">
        <v>828.984705437</v>
      </c>
      <c r="M8" s="1">
        <v>883651.69154200004</v>
      </c>
      <c r="N8" s="1"/>
      <c r="O8" s="1" t="s">
        <v>277</v>
      </c>
      <c r="P8" s="1" t="s">
        <v>246</v>
      </c>
    </row>
    <row r="9" spans="1:16" x14ac:dyDescent="0.25">
      <c r="B9" s="1">
        <v>8</v>
      </c>
      <c r="C9" s="1" t="s">
        <v>2297</v>
      </c>
      <c r="D9" s="1" t="s">
        <v>618</v>
      </c>
      <c r="E9" s="1" t="s">
        <v>2058</v>
      </c>
      <c r="F9" s="1" t="s">
        <v>356</v>
      </c>
      <c r="G9" s="1">
        <v>1</v>
      </c>
      <c r="H9" s="1" t="s">
        <v>244</v>
      </c>
      <c r="I9" s="1">
        <v>50</v>
      </c>
      <c r="J9" s="1">
        <v>38</v>
      </c>
      <c r="K9" s="1">
        <v>5</v>
      </c>
      <c r="L9" s="1">
        <v>828.98338158900003</v>
      </c>
      <c r="M9" s="1">
        <v>883651.36057699996</v>
      </c>
      <c r="N9" s="1"/>
      <c r="O9" s="1" t="s">
        <v>277</v>
      </c>
      <c r="P9" s="1" t="s">
        <v>246</v>
      </c>
    </row>
    <row r="10" spans="1:16" x14ac:dyDescent="0.25">
      <c r="B10" s="1">
        <v>9</v>
      </c>
      <c r="C10" s="1" t="s">
        <v>2308</v>
      </c>
      <c r="D10" s="1" t="s">
        <v>618</v>
      </c>
      <c r="E10" s="1" t="s">
        <v>2058</v>
      </c>
      <c r="F10" s="1" t="s">
        <v>362</v>
      </c>
      <c r="G10" s="1">
        <v>4</v>
      </c>
      <c r="H10" s="1" t="s">
        <v>244</v>
      </c>
      <c r="I10" s="1">
        <v>50</v>
      </c>
      <c r="J10" s="1">
        <v>38</v>
      </c>
      <c r="K10" s="1">
        <v>5</v>
      </c>
      <c r="L10" s="1">
        <v>828.98470543799999</v>
      </c>
      <c r="M10" s="1">
        <v>883651.69154300005</v>
      </c>
      <c r="N10" s="1"/>
      <c r="O10" s="1" t="s">
        <v>277</v>
      </c>
      <c r="P10" s="1" t="s">
        <v>246</v>
      </c>
    </row>
    <row r="11" spans="1:16" x14ac:dyDescent="0.25">
      <c r="B11" s="1">
        <v>10</v>
      </c>
      <c r="C11" s="1" t="s">
        <v>2308</v>
      </c>
      <c r="D11" s="1" t="s">
        <v>618</v>
      </c>
      <c r="E11" s="1" t="s">
        <v>2058</v>
      </c>
      <c r="F11" s="1" t="s">
        <v>356</v>
      </c>
      <c r="G11" s="1">
        <v>1</v>
      </c>
      <c r="H11" s="1" t="s">
        <v>244</v>
      </c>
      <c r="I11" s="1">
        <v>50</v>
      </c>
      <c r="J11" s="1">
        <v>38</v>
      </c>
      <c r="K11" s="1">
        <v>5</v>
      </c>
      <c r="L11" s="1">
        <v>828.98338159100001</v>
      </c>
      <c r="M11" s="1">
        <v>883651.36057999998</v>
      </c>
      <c r="N11" s="1"/>
      <c r="O11" s="1" t="s">
        <v>277</v>
      </c>
      <c r="P11" s="1" t="s">
        <v>246</v>
      </c>
    </row>
    <row r="12" spans="1:16" x14ac:dyDescent="0.25">
      <c r="B12" s="1">
        <v>11</v>
      </c>
      <c r="C12" s="1" t="s">
        <v>2307</v>
      </c>
      <c r="D12" s="1" t="s">
        <v>618</v>
      </c>
      <c r="E12" s="1" t="s">
        <v>2058</v>
      </c>
      <c r="F12" s="1" t="s">
        <v>362</v>
      </c>
      <c r="G12" s="1">
        <v>4</v>
      </c>
      <c r="H12" s="1" t="s">
        <v>244</v>
      </c>
      <c r="I12" s="1">
        <v>50</v>
      </c>
      <c r="J12" s="1">
        <v>38</v>
      </c>
      <c r="K12" s="1">
        <v>5</v>
      </c>
      <c r="L12" s="1">
        <v>828.98470543799999</v>
      </c>
      <c r="M12" s="1">
        <v>883651.69154200004</v>
      </c>
      <c r="N12" s="1"/>
      <c r="O12" s="1" t="s">
        <v>277</v>
      </c>
      <c r="P12" s="1" t="s">
        <v>246</v>
      </c>
    </row>
    <row r="13" spans="1:16" x14ac:dyDescent="0.25">
      <c r="B13" s="1">
        <v>12</v>
      </c>
      <c r="C13" s="1" t="s">
        <v>2307</v>
      </c>
      <c r="D13" s="1" t="s">
        <v>618</v>
      </c>
      <c r="E13" s="1" t="s">
        <v>2058</v>
      </c>
      <c r="F13" s="1" t="s">
        <v>356</v>
      </c>
      <c r="G13" s="1">
        <v>1</v>
      </c>
      <c r="H13" s="1" t="s">
        <v>244</v>
      </c>
      <c r="I13" s="1">
        <v>50</v>
      </c>
      <c r="J13" s="1">
        <v>38</v>
      </c>
      <c r="K13" s="1">
        <v>5</v>
      </c>
      <c r="L13" s="1">
        <v>828.98338159100001</v>
      </c>
      <c r="M13" s="1">
        <v>883651.36057999998</v>
      </c>
      <c r="N13" s="1"/>
      <c r="O13" s="1" t="s">
        <v>277</v>
      </c>
      <c r="P13" s="1" t="s">
        <v>246</v>
      </c>
    </row>
    <row r="14" spans="1:16" x14ac:dyDescent="0.25">
      <c r="B14">
        <v>13</v>
      </c>
      <c r="C14" s="1" t="s">
        <v>2323</v>
      </c>
      <c r="D14" s="1" t="s">
        <v>618</v>
      </c>
      <c r="E14" s="1" t="s">
        <v>2058</v>
      </c>
      <c r="F14" s="1" t="s">
        <v>362</v>
      </c>
      <c r="G14">
        <v>4</v>
      </c>
      <c r="H14" s="1" t="s">
        <v>244</v>
      </c>
      <c r="I14">
        <v>50</v>
      </c>
      <c r="J14">
        <v>38</v>
      </c>
      <c r="K14">
        <v>5</v>
      </c>
      <c r="L14">
        <v>828.98470544500003</v>
      </c>
      <c r="M14">
        <v>883651.69155600003</v>
      </c>
      <c r="O14" s="1" t="s">
        <v>277</v>
      </c>
      <c r="P14" t="s">
        <v>246</v>
      </c>
    </row>
    <row r="15" spans="1:16" x14ac:dyDescent="0.25">
      <c r="B15">
        <v>14</v>
      </c>
      <c r="C15" s="1" t="s">
        <v>2323</v>
      </c>
      <c r="D15" s="1" t="s">
        <v>618</v>
      </c>
      <c r="E15" s="1" t="s">
        <v>2058</v>
      </c>
      <c r="F15" s="1" t="s">
        <v>356</v>
      </c>
      <c r="G15">
        <v>1</v>
      </c>
      <c r="H15" s="1" t="s">
        <v>244</v>
      </c>
      <c r="I15">
        <v>50</v>
      </c>
      <c r="J15">
        <v>38</v>
      </c>
      <c r="K15">
        <v>5</v>
      </c>
      <c r="L15">
        <v>828.98338159699995</v>
      </c>
      <c r="M15">
        <v>883651.36059099995</v>
      </c>
      <c r="O15" s="1" t="s">
        <v>277</v>
      </c>
      <c r="P15" t="s">
        <v>246</v>
      </c>
    </row>
    <row r="16" spans="1:16" x14ac:dyDescent="0.25">
      <c r="B16">
        <v>15</v>
      </c>
      <c r="C16" s="1" t="s">
        <v>2321</v>
      </c>
      <c r="D16" s="1" t="s">
        <v>618</v>
      </c>
      <c r="E16" s="1" t="s">
        <v>2058</v>
      </c>
      <c r="F16" s="1" t="s">
        <v>362</v>
      </c>
      <c r="G16">
        <v>4</v>
      </c>
      <c r="H16" s="1" t="s">
        <v>244</v>
      </c>
      <c r="I16">
        <v>50</v>
      </c>
      <c r="J16">
        <v>38</v>
      </c>
      <c r="K16">
        <v>5</v>
      </c>
      <c r="L16">
        <v>828.98470544500003</v>
      </c>
      <c r="M16">
        <v>883651.69155500003</v>
      </c>
      <c r="O16" s="1" t="s">
        <v>277</v>
      </c>
      <c r="P16" t="s">
        <v>246</v>
      </c>
    </row>
    <row r="17" spans="2:16" x14ac:dyDescent="0.25">
      <c r="B17">
        <v>16</v>
      </c>
      <c r="C17" s="1" t="s">
        <v>2321</v>
      </c>
      <c r="D17" s="1" t="s">
        <v>618</v>
      </c>
      <c r="E17" s="1" t="s">
        <v>2058</v>
      </c>
      <c r="F17" s="1" t="s">
        <v>356</v>
      </c>
      <c r="G17">
        <v>1</v>
      </c>
      <c r="H17" s="1" t="s">
        <v>244</v>
      </c>
      <c r="I17">
        <v>50</v>
      </c>
      <c r="J17">
        <v>38</v>
      </c>
      <c r="K17">
        <v>5</v>
      </c>
      <c r="L17">
        <v>828.98338159699995</v>
      </c>
      <c r="M17">
        <v>883651.36059199995</v>
      </c>
      <c r="O17" s="1" t="s">
        <v>277</v>
      </c>
      <c r="P17" t="s">
        <v>246</v>
      </c>
    </row>
    <row r="18" spans="2:16" x14ac:dyDescent="0.25">
      <c r="B18">
        <v>17</v>
      </c>
      <c r="C18" s="1" t="s">
        <v>2320</v>
      </c>
      <c r="D18" s="1" t="s">
        <v>618</v>
      </c>
      <c r="E18" s="1" t="s">
        <v>2058</v>
      </c>
      <c r="F18" s="1" t="s">
        <v>362</v>
      </c>
      <c r="G18">
        <v>4</v>
      </c>
      <c r="H18" s="1" t="s">
        <v>244</v>
      </c>
      <c r="I18">
        <v>50</v>
      </c>
      <c r="J18">
        <v>38</v>
      </c>
      <c r="K18">
        <v>5</v>
      </c>
      <c r="L18">
        <v>828.98470544500003</v>
      </c>
      <c r="M18">
        <v>883651.69155500003</v>
      </c>
      <c r="O18" s="1" t="s">
        <v>277</v>
      </c>
      <c r="P18" t="s">
        <v>246</v>
      </c>
    </row>
    <row r="19" spans="2:16" x14ac:dyDescent="0.25">
      <c r="B19">
        <v>18</v>
      </c>
      <c r="C19" s="1" t="s">
        <v>2320</v>
      </c>
      <c r="D19" s="1" t="s">
        <v>618</v>
      </c>
      <c r="E19" s="1" t="s">
        <v>2058</v>
      </c>
      <c r="F19" s="1" t="s">
        <v>356</v>
      </c>
      <c r="G19">
        <v>1</v>
      </c>
      <c r="H19" s="1" t="s">
        <v>244</v>
      </c>
      <c r="I19">
        <v>50</v>
      </c>
      <c r="J19">
        <v>38</v>
      </c>
      <c r="K19">
        <v>5</v>
      </c>
      <c r="L19">
        <v>828.98338159699995</v>
      </c>
      <c r="M19">
        <v>883651.36059099995</v>
      </c>
      <c r="O19" s="1" t="s">
        <v>277</v>
      </c>
      <c r="P19" t="s">
        <v>246</v>
      </c>
    </row>
    <row r="20" spans="2:16" x14ac:dyDescent="0.25">
      <c r="B20">
        <v>19</v>
      </c>
      <c r="C20" s="1" t="s">
        <v>2319</v>
      </c>
      <c r="D20" s="1" t="s">
        <v>618</v>
      </c>
      <c r="E20" s="1" t="s">
        <v>2058</v>
      </c>
      <c r="F20" s="1" t="s">
        <v>362</v>
      </c>
      <c r="G20">
        <v>4</v>
      </c>
      <c r="H20" s="1" t="s">
        <v>244</v>
      </c>
      <c r="I20">
        <v>50</v>
      </c>
      <c r="J20">
        <v>38</v>
      </c>
      <c r="K20">
        <v>5</v>
      </c>
      <c r="L20">
        <v>828.98470544500003</v>
      </c>
      <c r="M20">
        <v>883651.69155400002</v>
      </c>
      <c r="O20" s="1" t="s">
        <v>277</v>
      </c>
      <c r="P20" t="s">
        <v>246</v>
      </c>
    </row>
    <row r="21" spans="2:16" x14ac:dyDescent="0.25">
      <c r="B21">
        <v>20</v>
      </c>
      <c r="C21" s="1" t="s">
        <v>2319</v>
      </c>
      <c r="D21" s="1" t="s">
        <v>618</v>
      </c>
      <c r="E21" s="1" t="s">
        <v>2058</v>
      </c>
      <c r="F21" s="1" t="s">
        <v>356</v>
      </c>
      <c r="G21">
        <v>1</v>
      </c>
      <c r="H21" s="1" t="s">
        <v>244</v>
      </c>
      <c r="I21">
        <v>50</v>
      </c>
      <c r="J21">
        <v>38</v>
      </c>
      <c r="K21">
        <v>5</v>
      </c>
      <c r="L21">
        <v>828.98338159699995</v>
      </c>
      <c r="M21">
        <v>883651.36059099995</v>
      </c>
      <c r="O21" s="1" t="s">
        <v>277</v>
      </c>
      <c r="P21" t="s">
        <v>246</v>
      </c>
    </row>
    <row r="22" spans="2:16" x14ac:dyDescent="0.25">
      <c r="B22">
        <v>21</v>
      </c>
      <c r="C22" s="1" t="s">
        <v>2325</v>
      </c>
      <c r="D22" s="1" t="s">
        <v>618</v>
      </c>
      <c r="E22" s="1" t="s">
        <v>2058</v>
      </c>
      <c r="F22" s="1" t="s">
        <v>347</v>
      </c>
      <c r="G22">
        <v>1</v>
      </c>
      <c r="H22" s="1" t="s">
        <v>244</v>
      </c>
      <c r="I22">
        <v>50</v>
      </c>
      <c r="J22">
        <v>38</v>
      </c>
      <c r="K22">
        <v>38</v>
      </c>
      <c r="L22">
        <v>2017.0956064699999</v>
      </c>
      <c r="M22">
        <v>3795949.9040299999</v>
      </c>
      <c r="O22" s="1" t="s">
        <v>277</v>
      </c>
      <c r="P22" t="s">
        <v>246</v>
      </c>
    </row>
    <row r="23" spans="2:16" x14ac:dyDescent="0.25">
      <c r="B23">
        <v>22</v>
      </c>
      <c r="C23" s="1" t="s">
        <v>2324</v>
      </c>
      <c r="D23" s="1" t="s">
        <v>618</v>
      </c>
      <c r="E23" s="1" t="s">
        <v>2058</v>
      </c>
      <c r="F23" s="1" t="s">
        <v>347</v>
      </c>
      <c r="G23">
        <v>1</v>
      </c>
      <c r="H23" s="1" t="s">
        <v>244</v>
      </c>
      <c r="I23">
        <v>50</v>
      </c>
      <c r="J23">
        <v>38</v>
      </c>
      <c r="K23">
        <v>38</v>
      </c>
      <c r="L23">
        <v>2017.0956064699999</v>
      </c>
      <c r="M23">
        <v>3795949.9040399999</v>
      </c>
      <c r="O23" s="1" t="s">
        <v>277</v>
      </c>
      <c r="P23" t="s">
        <v>246</v>
      </c>
    </row>
    <row r="24" spans="2:16" x14ac:dyDescent="0.25">
      <c r="B24">
        <v>23</v>
      </c>
      <c r="C24" s="1" t="s">
        <v>2323</v>
      </c>
      <c r="D24" s="1" t="s">
        <v>618</v>
      </c>
      <c r="E24" s="1" t="s">
        <v>2058</v>
      </c>
      <c r="F24" s="1" t="s">
        <v>347</v>
      </c>
      <c r="G24">
        <v>1</v>
      </c>
      <c r="H24" s="1" t="s">
        <v>244</v>
      </c>
      <c r="I24">
        <v>50</v>
      </c>
      <c r="J24">
        <v>38</v>
      </c>
      <c r="K24">
        <v>38</v>
      </c>
      <c r="L24">
        <v>2017.0956064699999</v>
      </c>
      <c r="M24">
        <v>3795949.9040399999</v>
      </c>
      <c r="O24" s="1" t="s">
        <v>277</v>
      </c>
      <c r="P24" t="s">
        <v>246</v>
      </c>
    </row>
    <row r="25" spans="2:16" x14ac:dyDescent="0.25">
      <c r="B25">
        <v>24</v>
      </c>
      <c r="C25" s="1" t="s">
        <v>2322</v>
      </c>
      <c r="D25" s="1" t="s">
        <v>618</v>
      </c>
      <c r="E25" s="1" t="s">
        <v>2058</v>
      </c>
      <c r="F25" s="1" t="s">
        <v>347</v>
      </c>
      <c r="G25">
        <v>1</v>
      </c>
      <c r="H25" s="1" t="s">
        <v>244</v>
      </c>
      <c r="I25">
        <v>50</v>
      </c>
      <c r="J25">
        <v>38</v>
      </c>
      <c r="K25">
        <v>38</v>
      </c>
      <c r="L25">
        <v>2017.0956064699999</v>
      </c>
      <c r="M25">
        <v>3795949.9040399999</v>
      </c>
      <c r="O25" s="1" t="s">
        <v>277</v>
      </c>
      <c r="P25" t="s">
        <v>246</v>
      </c>
    </row>
    <row r="26" spans="2:16" x14ac:dyDescent="0.25">
      <c r="B26">
        <v>25</v>
      </c>
      <c r="C26" s="1" t="s">
        <v>2321</v>
      </c>
      <c r="D26" s="1" t="s">
        <v>618</v>
      </c>
      <c r="E26" s="1" t="s">
        <v>2058</v>
      </c>
      <c r="F26" s="1" t="s">
        <v>347</v>
      </c>
      <c r="G26">
        <v>1</v>
      </c>
      <c r="H26" s="1" t="s">
        <v>244</v>
      </c>
      <c r="I26">
        <v>50</v>
      </c>
      <c r="J26">
        <v>38</v>
      </c>
      <c r="K26">
        <v>38</v>
      </c>
      <c r="L26">
        <v>2017.0956064699999</v>
      </c>
      <c r="M26">
        <v>3795949.9040399999</v>
      </c>
      <c r="O26" s="1" t="s">
        <v>277</v>
      </c>
      <c r="P26" t="s">
        <v>246</v>
      </c>
    </row>
    <row r="27" spans="2:16" x14ac:dyDescent="0.25">
      <c r="B27">
        <v>26</v>
      </c>
      <c r="C27" s="1" t="s">
        <v>2320</v>
      </c>
      <c r="D27" s="1" t="s">
        <v>618</v>
      </c>
      <c r="E27" s="1" t="s">
        <v>2058</v>
      </c>
      <c r="F27" s="1" t="s">
        <v>347</v>
      </c>
      <c r="G27">
        <v>1</v>
      </c>
      <c r="H27" s="1" t="s">
        <v>244</v>
      </c>
      <c r="I27">
        <v>50</v>
      </c>
      <c r="J27">
        <v>38</v>
      </c>
      <c r="K27">
        <v>38</v>
      </c>
      <c r="L27">
        <v>2017.0956064699999</v>
      </c>
      <c r="M27">
        <v>3795949.9040399999</v>
      </c>
      <c r="O27" s="1" t="s">
        <v>277</v>
      </c>
      <c r="P27" t="s">
        <v>246</v>
      </c>
    </row>
    <row r="28" spans="2:16" x14ac:dyDescent="0.25">
      <c r="B28">
        <v>27</v>
      </c>
      <c r="C28" s="1" t="s">
        <v>2319</v>
      </c>
      <c r="D28" s="1" t="s">
        <v>618</v>
      </c>
      <c r="E28" s="1" t="s">
        <v>2058</v>
      </c>
      <c r="F28" s="1" t="s">
        <v>347</v>
      </c>
      <c r="G28">
        <v>1</v>
      </c>
      <c r="H28" s="1" t="s">
        <v>244</v>
      </c>
      <c r="I28">
        <v>50</v>
      </c>
      <c r="J28">
        <v>38</v>
      </c>
      <c r="K28">
        <v>38</v>
      </c>
      <c r="L28">
        <v>2017.0956064699999</v>
      </c>
      <c r="M28">
        <v>3795949.9040399999</v>
      </c>
      <c r="O28" s="1" t="s">
        <v>277</v>
      </c>
      <c r="P28" t="s">
        <v>246</v>
      </c>
    </row>
    <row r="29" spans="2:16" x14ac:dyDescent="0.25">
      <c r="B29">
        <v>28</v>
      </c>
      <c r="C29" s="1" t="s">
        <v>2318</v>
      </c>
      <c r="D29" s="1" t="s">
        <v>618</v>
      </c>
      <c r="E29" s="1" t="s">
        <v>2058</v>
      </c>
      <c r="F29" s="1" t="s">
        <v>347</v>
      </c>
      <c r="G29">
        <v>1</v>
      </c>
      <c r="H29" s="1" t="s">
        <v>244</v>
      </c>
      <c r="I29">
        <v>50</v>
      </c>
      <c r="J29">
        <v>38</v>
      </c>
      <c r="K29">
        <v>38</v>
      </c>
      <c r="L29">
        <v>2017.0956064699999</v>
      </c>
      <c r="M29">
        <v>3795949.9040399999</v>
      </c>
      <c r="O29" s="1" t="s">
        <v>277</v>
      </c>
      <c r="P29" t="s">
        <v>246</v>
      </c>
    </row>
    <row r="30" spans="2:16" x14ac:dyDescent="0.25">
      <c r="B30">
        <v>29</v>
      </c>
      <c r="C30" s="1" t="s">
        <v>2317</v>
      </c>
      <c r="D30" s="1" t="s">
        <v>618</v>
      </c>
      <c r="E30" s="1" t="s">
        <v>2058</v>
      </c>
      <c r="F30" s="1" t="s">
        <v>347</v>
      </c>
      <c r="G30">
        <v>1</v>
      </c>
      <c r="H30" s="1" t="s">
        <v>244</v>
      </c>
      <c r="I30">
        <v>50</v>
      </c>
      <c r="J30">
        <v>38</v>
      </c>
      <c r="K30">
        <v>38</v>
      </c>
      <c r="L30">
        <v>2017.0956064699999</v>
      </c>
      <c r="M30">
        <v>3795949.9040399999</v>
      </c>
      <c r="O30" s="1" t="s">
        <v>277</v>
      </c>
      <c r="P30" t="s">
        <v>246</v>
      </c>
    </row>
    <row r="31" spans="2:16" x14ac:dyDescent="0.25">
      <c r="B31">
        <v>30</v>
      </c>
      <c r="C31" s="1" t="s">
        <v>2316</v>
      </c>
      <c r="D31" s="1" t="s">
        <v>618</v>
      </c>
      <c r="E31" s="1" t="s">
        <v>2058</v>
      </c>
      <c r="F31" s="1" t="s">
        <v>347</v>
      </c>
      <c r="G31">
        <v>1</v>
      </c>
      <c r="H31" s="1" t="s">
        <v>244</v>
      </c>
      <c r="I31">
        <v>50</v>
      </c>
      <c r="J31">
        <v>38</v>
      </c>
      <c r="K31">
        <v>38</v>
      </c>
      <c r="L31">
        <v>2017.0956064699999</v>
      </c>
      <c r="M31">
        <v>3795949.9040399999</v>
      </c>
      <c r="O31" s="1" t="s">
        <v>277</v>
      </c>
      <c r="P31" t="s">
        <v>246</v>
      </c>
    </row>
    <row r="32" spans="2:16" x14ac:dyDescent="0.25">
      <c r="B32">
        <v>31</v>
      </c>
      <c r="C32" s="1" t="s">
        <v>2315</v>
      </c>
      <c r="D32" s="1" t="s">
        <v>618</v>
      </c>
      <c r="E32" s="1" t="s">
        <v>2058</v>
      </c>
      <c r="F32" s="1" t="s">
        <v>347</v>
      </c>
      <c r="G32">
        <v>1</v>
      </c>
      <c r="H32" s="1" t="s">
        <v>244</v>
      </c>
      <c r="I32">
        <v>50</v>
      </c>
      <c r="J32">
        <v>38</v>
      </c>
      <c r="K32">
        <v>38</v>
      </c>
      <c r="L32">
        <v>2017.0956064699999</v>
      </c>
      <c r="M32">
        <v>3795949.9040399999</v>
      </c>
      <c r="O32" s="1" t="s">
        <v>277</v>
      </c>
      <c r="P32" t="s">
        <v>246</v>
      </c>
    </row>
    <row r="33" spans="2:16" x14ac:dyDescent="0.25">
      <c r="B33">
        <v>32</v>
      </c>
      <c r="C33" s="1" t="s">
        <v>2314</v>
      </c>
      <c r="D33" s="1" t="s">
        <v>618</v>
      </c>
      <c r="E33" s="1" t="s">
        <v>2058</v>
      </c>
      <c r="F33" s="1" t="s">
        <v>347</v>
      </c>
      <c r="G33">
        <v>1</v>
      </c>
      <c r="H33" s="1" t="s">
        <v>244</v>
      </c>
      <c r="I33">
        <v>50</v>
      </c>
      <c r="J33">
        <v>38</v>
      </c>
      <c r="K33">
        <v>38</v>
      </c>
      <c r="L33">
        <v>2017.0956064699999</v>
      </c>
      <c r="M33">
        <v>3795949.9040399999</v>
      </c>
      <c r="O33" s="1" t="s">
        <v>277</v>
      </c>
      <c r="P33" t="s">
        <v>246</v>
      </c>
    </row>
    <row r="34" spans="2:16" x14ac:dyDescent="0.25">
      <c r="B34">
        <v>33</v>
      </c>
      <c r="C34" s="1" t="s">
        <v>2313</v>
      </c>
      <c r="D34" s="1" t="s">
        <v>618</v>
      </c>
      <c r="E34" s="1" t="s">
        <v>2058</v>
      </c>
      <c r="F34" s="1" t="s">
        <v>347</v>
      </c>
      <c r="G34">
        <v>1</v>
      </c>
      <c r="H34" s="1" t="s">
        <v>244</v>
      </c>
      <c r="I34">
        <v>50</v>
      </c>
      <c r="J34">
        <v>38</v>
      </c>
      <c r="K34">
        <v>38</v>
      </c>
      <c r="L34">
        <v>2017.0956064699999</v>
      </c>
      <c r="M34">
        <v>3795949.9040399999</v>
      </c>
      <c r="O34" s="1" t="s">
        <v>277</v>
      </c>
      <c r="P34" t="s">
        <v>246</v>
      </c>
    </row>
    <row r="35" spans="2:16" x14ac:dyDescent="0.25">
      <c r="B35">
        <v>34</v>
      </c>
      <c r="C35" s="1" t="s">
        <v>2312</v>
      </c>
      <c r="D35" s="1" t="s">
        <v>618</v>
      </c>
      <c r="E35" s="1" t="s">
        <v>2058</v>
      </c>
      <c r="F35" s="1" t="s">
        <v>347</v>
      </c>
      <c r="G35">
        <v>1</v>
      </c>
      <c r="H35" s="1" t="s">
        <v>244</v>
      </c>
      <c r="I35">
        <v>50</v>
      </c>
      <c r="J35">
        <v>38</v>
      </c>
      <c r="K35">
        <v>38</v>
      </c>
      <c r="L35">
        <v>2017.0956064699999</v>
      </c>
      <c r="M35">
        <v>3795949.9040399999</v>
      </c>
      <c r="O35" s="1" t="s">
        <v>277</v>
      </c>
      <c r="P35" t="s">
        <v>246</v>
      </c>
    </row>
    <row r="36" spans="2:16" x14ac:dyDescent="0.25">
      <c r="B36">
        <v>35</v>
      </c>
      <c r="C36" s="1" t="s">
        <v>2311</v>
      </c>
      <c r="D36" s="1" t="s">
        <v>618</v>
      </c>
      <c r="E36" s="1" t="s">
        <v>2058</v>
      </c>
      <c r="F36" s="1" t="s">
        <v>347</v>
      </c>
      <c r="G36">
        <v>1</v>
      </c>
      <c r="H36" s="1" t="s">
        <v>244</v>
      </c>
      <c r="I36">
        <v>50</v>
      </c>
      <c r="J36">
        <v>38</v>
      </c>
      <c r="K36">
        <v>38</v>
      </c>
      <c r="L36">
        <v>2017.0956064699999</v>
      </c>
      <c r="M36">
        <v>3795949.9040399999</v>
      </c>
      <c r="O36" s="1" t="s">
        <v>277</v>
      </c>
      <c r="P36" t="s">
        <v>246</v>
      </c>
    </row>
    <row r="37" spans="2:16" x14ac:dyDescent="0.25">
      <c r="B37">
        <v>36</v>
      </c>
      <c r="C37" s="1" t="s">
        <v>2310</v>
      </c>
      <c r="D37" s="1" t="s">
        <v>618</v>
      </c>
      <c r="E37" s="1" t="s">
        <v>2058</v>
      </c>
      <c r="F37" s="1" t="s">
        <v>347</v>
      </c>
      <c r="G37">
        <v>1</v>
      </c>
      <c r="H37" s="1" t="s">
        <v>244</v>
      </c>
      <c r="I37">
        <v>50</v>
      </c>
      <c r="J37">
        <v>38</v>
      </c>
      <c r="K37">
        <v>38</v>
      </c>
      <c r="L37">
        <v>2017.0956064699999</v>
      </c>
      <c r="M37">
        <v>3795949.9040399999</v>
      </c>
      <c r="O37" s="1" t="s">
        <v>277</v>
      </c>
      <c r="P37" t="s">
        <v>246</v>
      </c>
    </row>
    <row r="38" spans="2:16" x14ac:dyDescent="0.25">
      <c r="B38">
        <v>37</v>
      </c>
      <c r="C38" s="1" t="s">
        <v>2309</v>
      </c>
      <c r="D38" s="1" t="s">
        <v>618</v>
      </c>
      <c r="E38" s="1" t="s">
        <v>2058</v>
      </c>
      <c r="F38" s="1" t="s">
        <v>347</v>
      </c>
      <c r="G38">
        <v>1</v>
      </c>
      <c r="H38" s="1" t="s">
        <v>244</v>
      </c>
      <c r="I38">
        <v>50</v>
      </c>
      <c r="J38">
        <v>38</v>
      </c>
      <c r="K38">
        <v>38</v>
      </c>
      <c r="L38">
        <v>2017.0956064699999</v>
      </c>
      <c r="M38">
        <v>3795949.9040399999</v>
      </c>
      <c r="O38" s="1" t="s">
        <v>277</v>
      </c>
      <c r="P38" t="s">
        <v>246</v>
      </c>
    </row>
    <row r="39" spans="2:16" x14ac:dyDescent="0.25">
      <c r="B39">
        <v>38</v>
      </c>
      <c r="C39" s="1" t="s">
        <v>2308</v>
      </c>
      <c r="D39" s="1" t="s">
        <v>618</v>
      </c>
      <c r="E39" s="1" t="s">
        <v>2058</v>
      </c>
      <c r="F39" s="1" t="s">
        <v>347</v>
      </c>
      <c r="G39">
        <v>1</v>
      </c>
      <c r="H39" s="1" t="s">
        <v>244</v>
      </c>
      <c r="I39">
        <v>50</v>
      </c>
      <c r="J39">
        <v>38</v>
      </c>
      <c r="K39">
        <v>38</v>
      </c>
      <c r="L39">
        <v>2017.0956064699999</v>
      </c>
      <c r="M39">
        <v>3795949.9040399999</v>
      </c>
      <c r="O39" s="1" t="s">
        <v>277</v>
      </c>
      <c r="P39" t="s">
        <v>246</v>
      </c>
    </row>
    <row r="40" spans="2:16" x14ac:dyDescent="0.25">
      <c r="B40">
        <v>39</v>
      </c>
      <c r="C40" s="1" t="s">
        <v>2307</v>
      </c>
      <c r="D40" s="1" t="s">
        <v>618</v>
      </c>
      <c r="E40" s="1" t="s">
        <v>2058</v>
      </c>
      <c r="F40" s="1" t="s">
        <v>347</v>
      </c>
      <c r="G40">
        <v>1</v>
      </c>
      <c r="H40" s="1" t="s">
        <v>244</v>
      </c>
      <c r="I40">
        <v>50</v>
      </c>
      <c r="J40">
        <v>38</v>
      </c>
      <c r="K40">
        <v>38</v>
      </c>
      <c r="L40">
        <v>2017.0956064699999</v>
      </c>
      <c r="M40">
        <v>3795949.9040399999</v>
      </c>
      <c r="O40" s="1" t="s">
        <v>277</v>
      </c>
      <c r="P40" t="s">
        <v>246</v>
      </c>
    </row>
    <row r="41" spans="2:16" x14ac:dyDescent="0.25">
      <c r="B41">
        <v>40</v>
      </c>
      <c r="C41" s="1" t="s">
        <v>2306</v>
      </c>
      <c r="D41" s="1" t="s">
        <v>618</v>
      </c>
      <c r="E41" s="1" t="s">
        <v>2058</v>
      </c>
      <c r="F41" s="1" t="s">
        <v>347</v>
      </c>
      <c r="G41">
        <v>1</v>
      </c>
      <c r="H41" s="1" t="s">
        <v>244</v>
      </c>
      <c r="I41">
        <v>50</v>
      </c>
      <c r="J41">
        <v>38</v>
      </c>
      <c r="K41">
        <v>38</v>
      </c>
      <c r="L41">
        <v>2017.0956064699999</v>
      </c>
      <c r="M41">
        <v>3795949.9040399999</v>
      </c>
      <c r="O41" s="1" t="s">
        <v>277</v>
      </c>
      <c r="P41" t="s">
        <v>246</v>
      </c>
    </row>
    <row r="42" spans="2:16" x14ac:dyDescent="0.25">
      <c r="B42">
        <v>41</v>
      </c>
      <c r="C42" s="1" t="s">
        <v>2305</v>
      </c>
      <c r="D42" s="1" t="s">
        <v>618</v>
      </c>
      <c r="E42" s="1" t="s">
        <v>2058</v>
      </c>
      <c r="F42" s="1" t="s">
        <v>347</v>
      </c>
      <c r="G42">
        <v>1</v>
      </c>
      <c r="H42" s="1" t="s">
        <v>244</v>
      </c>
      <c r="I42">
        <v>50</v>
      </c>
      <c r="J42">
        <v>38</v>
      </c>
      <c r="K42">
        <v>38</v>
      </c>
      <c r="L42">
        <v>2017.0956064699999</v>
      </c>
      <c r="M42">
        <v>3795949.9040399999</v>
      </c>
      <c r="O42" s="1" t="s">
        <v>277</v>
      </c>
      <c r="P42" t="s">
        <v>246</v>
      </c>
    </row>
    <row r="43" spans="2:16" x14ac:dyDescent="0.25">
      <c r="B43">
        <v>42</v>
      </c>
      <c r="C43" s="1" t="s">
        <v>2304</v>
      </c>
      <c r="D43" s="1" t="s">
        <v>618</v>
      </c>
      <c r="E43" s="1" t="s">
        <v>2058</v>
      </c>
      <c r="F43" s="1" t="s">
        <v>347</v>
      </c>
      <c r="G43">
        <v>1</v>
      </c>
      <c r="H43" s="1" t="s">
        <v>244</v>
      </c>
      <c r="I43">
        <v>50</v>
      </c>
      <c r="J43">
        <v>38</v>
      </c>
      <c r="K43">
        <v>38</v>
      </c>
      <c r="L43">
        <v>2017.0956064699999</v>
      </c>
      <c r="M43">
        <v>3795949.9040399999</v>
      </c>
      <c r="O43" s="1" t="s">
        <v>277</v>
      </c>
      <c r="P43" t="s">
        <v>246</v>
      </c>
    </row>
    <row r="44" spans="2:16" x14ac:dyDescent="0.25">
      <c r="B44">
        <v>43</v>
      </c>
      <c r="C44" s="1" t="s">
        <v>2303</v>
      </c>
      <c r="D44" s="1" t="s">
        <v>618</v>
      </c>
      <c r="E44" s="1" t="s">
        <v>2058</v>
      </c>
      <c r="F44" s="1" t="s">
        <v>347</v>
      </c>
      <c r="G44">
        <v>1</v>
      </c>
      <c r="H44" s="1" t="s">
        <v>244</v>
      </c>
      <c r="I44">
        <v>50</v>
      </c>
      <c r="J44">
        <v>38</v>
      </c>
      <c r="K44">
        <v>38</v>
      </c>
      <c r="L44">
        <v>2017.0956064699999</v>
      </c>
      <c r="M44">
        <v>3795949.9040399999</v>
      </c>
      <c r="O44" s="1" t="s">
        <v>277</v>
      </c>
      <c r="P44" t="s">
        <v>246</v>
      </c>
    </row>
    <row r="45" spans="2:16" x14ac:dyDescent="0.25">
      <c r="B45">
        <v>44</v>
      </c>
      <c r="C45" s="1" t="s">
        <v>2302</v>
      </c>
      <c r="D45" s="1" t="s">
        <v>618</v>
      </c>
      <c r="E45" s="1" t="s">
        <v>2058</v>
      </c>
      <c r="F45" s="1" t="s">
        <v>347</v>
      </c>
      <c r="G45">
        <v>1</v>
      </c>
      <c r="H45" s="1" t="s">
        <v>244</v>
      </c>
      <c r="I45">
        <v>50</v>
      </c>
      <c r="J45">
        <v>38</v>
      </c>
      <c r="K45">
        <v>38</v>
      </c>
      <c r="L45">
        <v>2017.0956064699999</v>
      </c>
      <c r="M45">
        <v>3795949.9040399999</v>
      </c>
      <c r="O45" s="1" t="s">
        <v>277</v>
      </c>
      <c r="P45" t="s">
        <v>246</v>
      </c>
    </row>
    <row r="46" spans="2:16" x14ac:dyDescent="0.25">
      <c r="B46">
        <v>45</v>
      </c>
      <c r="C46" s="1" t="s">
        <v>2301</v>
      </c>
      <c r="D46" s="1" t="s">
        <v>618</v>
      </c>
      <c r="E46" s="1" t="s">
        <v>2058</v>
      </c>
      <c r="F46" s="1" t="s">
        <v>347</v>
      </c>
      <c r="G46">
        <v>1</v>
      </c>
      <c r="H46" s="1" t="s">
        <v>244</v>
      </c>
      <c r="I46">
        <v>50</v>
      </c>
      <c r="J46">
        <v>38</v>
      </c>
      <c r="K46">
        <v>38</v>
      </c>
      <c r="L46">
        <v>2017.0956064699999</v>
      </c>
      <c r="M46">
        <v>3795949.9040399999</v>
      </c>
      <c r="O46" s="1" t="s">
        <v>277</v>
      </c>
      <c r="P46" t="s">
        <v>246</v>
      </c>
    </row>
    <row r="47" spans="2:16" x14ac:dyDescent="0.25">
      <c r="B47">
        <v>46</v>
      </c>
      <c r="C47" s="1" t="s">
        <v>2300</v>
      </c>
      <c r="D47" s="1" t="s">
        <v>618</v>
      </c>
      <c r="E47" s="1" t="s">
        <v>2058</v>
      </c>
      <c r="F47" s="1" t="s">
        <v>347</v>
      </c>
      <c r="G47">
        <v>1</v>
      </c>
      <c r="H47" s="1" t="s">
        <v>244</v>
      </c>
      <c r="I47">
        <v>50</v>
      </c>
      <c r="J47">
        <v>38</v>
      </c>
      <c r="K47">
        <v>38</v>
      </c>
      <c r="L47">
        <v>2017.0956064699999</v>
      </c>
      <c r="M47">
        <v>3795949.9040399999</v>
      </c>
      <c r="O47" s="1" t="s">
        <v>277</v>
      </c>
      <c r="P47" t="s">
        <v>246</v>
      </c>
    </row>
    <row r="48" spans="2:16" x14ac:dyDescent="0.25">
      <c r="B48">
        <v>47</v>
      </c>
      <c r="C48" s="1" t="s">
        <v>2299</v>
      </c>
      <c r="D48" s="1" t="s">
        <v>618</v>
      </c>
      <c r="E48" s="1" t="s">
        <v>2058</v>
      </c>
      <c r="F48" s="1" t="s">
        <v>347</v>
      </c>
      <c r="G48">
        <v>1</v>
      </c>
      <c r="H48" s="1" t="s">
        <v>244</v>
      </c>
      <c r="I48">
        <v>50</v>
      </c>
      <c r="J48">
        <v>38</v>
      </c>
      <c r="K48">
        <v>38</v>
      </c>
      <c r="L48">
        <v>2017.0956064699999</v>
      </c>
      <c r="M48">
        <v>3795949.9040399999</v>
      </c>
      <c r="O48" s="1" t="s">
        <v>277</v>
      </c>
      <c r="P48" t="s">
        <v>246</v>
      </c>
    </row>
    <row r="49" spans="2:16" x14ac:dyDescent="0.25">
      <c r="B49">
        <v>48</v>
      </c>
      <c r="C49" s="1" t="s">
        <v>2298</v>
      </c>
      <c r="D49" s="1" t="s">
        <v>618</v>
      </c>
      <c r="E49" s="1" t="s">
        <v>2058</v>
      </c>
      <c r="F49" s="1" t="s">
        <v>347</v>
      </c>
      <c r="G49">
        <v>1</v>
      </c>
      <c r="H49" s="1" t="s">
        <v>244</v>
      </c>
      <c r="I49">
        <v>50</v>
      </c>
      <c r="J49">
        <v>38</v>
      </c>
      <c r="K49">
        <v>38</v>
      </c>
      <c r="L49">
        <v>2017.0956064699999</v>
      </c>
      <c r="M49">
        <v>3795949.9040399999</v>
      </c>
      <c r="O49" s="1" t="s">
        <v>277</v>
      </c>
      <c r="P49" t="s">
        <v>246</v>
      </c>
    </row>
    <row r="50" spans="2:16" x14ac:dyDescent="0.25">
      <c r="B50">
        <v>49</v>
      </c>
      <c r="C50" s="1" t="s">
        <v>2297</v>
      </c>
      <c r="D50" s="1" t="s">
        <v>618</v>
      </c>
      <c r="E50" s="1" t="s">
        <v>2058</v>
      </c>
      <c r="F50" s="1" t="s">
        <v>347</v>
      </c>
      <c r="G50">
        <v>1</v>
      </c>
      <c r="H50" s="1" t="s">
        <v>244</v>
      </c>
      <c r="I50">
        <v>50</v>
      </c>
      <c r="J50">
        <v>38</v>
      </c>
      <c r="K50">
        <v>38</v>
      </c>
      <c r="L50">
        <v>2017.0956064699999</v>
      </c>
      <c r="M50">
        <v>3795949.9040399999</v>
      </c>
      <c r="O50" s="1" t="s">
        <v>277</v>
      </c>
      <c r="P50" t="s">
        <v>246</v>
      </c>
    </row>
    <row r="51" spans="2:16" x14ac:dyDescent="0.25">
      <c r="B51">
        <v>50</v>
      </c>
      <c r="C51" s="1" t="s">
        <v>2296</v>
      </c>
      <c r="D51" s="1" t="s">
        <v>618</v>
      </c>
      <c r="E51" s="1" t="s">
        <v>2058</v>
      </c>
      <c r="F51" s="1" t="s">
        <v>347</v>
      </c>
      <c r="G51">
        <v>1</v>
      </c>
      <c r="H51" s="1" t="s">
        <v>244</v>
      </c>
      <c r="I51">
        <v>50</v>
      </c>
      <c r="J51">
        <v>38</v>
      </c>
      <c r="K51">
        <v>38</v>
      </c>
      <c r="L51">
        <v>2017.0956064699999</v>
      </c>
      <c r="M51">
        <v>3795949.9040399999</v>
      </c>
      <c r="O51" s="1" t="s">
        <v>277</v>
      </c>
      <c r="P51" t="s">
        <v>246</v>
      </c>
    </row>
    <row r="52" spans="2:16" x14ac:dyDescent="0.25">
      <c r="B52">
        <v>51</v>
      </c>
      <c r="C52" s="1" t="s">
        <v>2325</v>
      </c>
      <c r="D52" s="1" t="s">
        <v>618</v>
      </c>
      <c r="E52" s="1" t="s">
        <v>2058</v>
      </c>
      <c r="F52" s="1" t="s">
        <v>362</v>
      </c>
      <c r="G52">
        <v>4</v>
      </c>
      <c r="H52" s="1" t="s">
        <v>244</v>
      </c>
      <c r="I52">
        <v>50</v>
      </c>
      <c r="J52">
        <v>38</v>
      </c>
      <c r="K52">
        <v>5</v>
      </c>
      <c r="L52">
        <v>828.98470544600002</v>
      </c>
      <c r="M52">
        <v>883651.69155700004</v>
      </c>
      <c r="O52" s="1" t="s">
        <v>277</v>
      </c>
      <c r="P52" t="s">
        <v>246</v>
      </c>
    </row>
    <row r="53" spans="2:16" x14ac:dyDescent="0.25">
      <c r="B53">
        <v>52</v>
      </c>
      <c r="C53" s="1" t="s">
        <v>2325</v>
      </c>
      <c r="D53" s="1" t="s">
        <v>618</v>
      </c>
      <c r="E53" s="1" t="s">
        <v>2058</v>
      </c>
      <c r="F53" s="1" t="s">
        <v>356</v>
      </c>
      <c r="G53">
        <v>1</v>
      </c>
      <c r="H53" s="1" t="s">
        <v>244</v>
      </c>
      <c r="I53">
        <v>50</v>
      </c>
      <c r="J53">
        <v>38</v>
      </c>
      <c r="K53">
        <v>5</v>
      </c>
      <c r="L53">
        <v>828.98338159800005</v>
      </c>
      <c r="M53">
        <v>883651.36059299996</v>
      </c>
      <c r="O53" s="1" t="s">
        <v>277</v>
      </c>
      <c r="P53" t="s">
        <v>246</v>
      </c>
    </row>
    <row r="54" spans="2:16" x14ac:dyDescent="0.25">
      <c r="B54">
        <v>53</v>
      </c>
      <c r="C54" s="1" t="s">
        <v>2324</v>
      </c>
      <c r="D54" s="1" t="s">
        <v>618</v>
      </c>
      <c r="E54" s="1" t="s">
        <v>2058</v>
      </c>
      <c r="F54" s="1" t="s">
        <v>362</v>
      </c>
      <c r="G54">
        <v>4</v>
      </c>
      <c r="H54" s="1" t="s">
        <v>244</v>
      </c>
      <c r="I54">
        <v>50</v>
      </c>
      <c r="J54">
        <v>38</v>
      </c>
      <c r="K54">
        <v>5</v>
      </c>
      <c r="L54">
        <v>828.98470544600002</v>
      </c>
      <c r="M54">
        <v>883651.69155700004</v>
      </c>
      <c r="O54" s="1" t="s">
        <v>277</v>
      </c>
      <c r="P54" t="s">
        <v>246</v>
      </c>
    </row>
    <row r="55" spans="2:16" x14ac:dyDescent="0.25">
      <c r="B55">
        <v>54</v>
      </c>
      <c r="C55" s="1" t="s">
        <v>2324</v>
      </c>
      <c r="D55" s="1" t="s">
        <v>618</v>
      </c>
      <c r="E55" s="1" t="s">
        <v>2058</v>
      </c>
      <c r="F55" s="1" t="s">
        <v>356</v>
      </c>
      <c r="G55">
        <v>1</v>
      </c>
      <c r="H55" s="1" t="s">
        <v>244</v>
      </c>
      <c r="I55">
        <v>50</v>
      </c>
      <c r="J55">
        <v>38</v>
      </c>
      <c r="K55">
        <v>5</v>
      </c>
      <c r="L55">
        <v>828.98338159800005</v>
      </c>
      <c r="M55">
        <v>883651.36059299996</v>
      </c>
      <c r="O55" s="1" t="s">
        <v>277</v>
      </c>
      <c r="P55" t="s">
        <v>246</v>
      </c>
    </row>
    <row r="56" spans="2:16" x14ac:dyDescent="0.25">
      <c r="B56">
        <v>55</v>
      </c>
      <c r="C56" s="1" t="s">
        <v>2322</v>
      </c>
      <c r="D56" s="1" t="s">
        <v>618</v>
      </c>
      <c r="E56" s="1" t="s">
        <v>2058</v>
      </c>
      <c r="F56" s="1" t="s">
        <v>362</v>
      </c>
      <c r="G56">
        <v>4</v>
      </c>
      <c r="H56" s="1" t="s">
        <v>244</v>
      </c>
      <c r="I56">
        <v>50</v>
      </c>
      <c r="J56">
        <v>38</v>
      </c>
      <c r="K56">
        <v>5</v>
      </c>
      <c r="L56">
        <v>828.98470544600002</v>
      </c>
      <c r="M56">
        <v>883651.69155800005</v>
      </c>
      <c r="O56" s="1" t="s">
        <v>277</v>
      </c>
      <c r="P56" t="s">
        <v>246</v>
      </c>
    </row>
    <row r="57" spans="2:16" x14ac:dyDescent="0.25">
      <c r="B57">
        <v>56</v>
      </c>
      <c r="C57" s="1" t="s">
        <v>2322</v>
      </c>
      <c r="D57" s="1" t="s">
        <v>618</v>
      </c>
      <c r="E57" s="1" t="s">
        <v>2058</v>
      </c>
      <c r="F57" s="1" t="s">
        <v>356</v>
      </c>
      <c r="G57">
        <v>1</v>
      </c>
      <c r="H57" s="1" t="s">
        <v>244</v>
      </c>
      <c r="I57">
        <v>50</v>
      </c>
      <c r="J57">
        <v>38</v>
      </c>
      <c r="K57">
        <v>5</v>
      </c>
      <c r="L57">
        <v>828.98338159800005</v>
      </c>
      <c r="M57">
        <v>883651.36059299996</v>
      </c>
      <c r="O57" s="1" t="s">
        <v>277</v>
      </c>
      <c r="P57" t="s">
        <v>246</v>
      </c>
    </row>
    <row r="58" spans="2:16" x14ac:dyDescent="0.25">
      <c r="B58">
        <v>57</v>
      </c>
      <c r="C58" s="1" t="s">
        <v>2316</v>
      </c>
      <c r="D58" s="1" t="s">
        <v>618</v>
      </c>
      <c r="E58" s="1" t="s">
        <v>2058</v>
      </c>
      <c r="F58" s="1" t="s">
        <v>362</v>
      </c>
      <c r="G58">
        <v>4</v>
      </c>
      <c r="H58" s="1" t="s">
        <v>244</v>
      </c>
      <c r="I58">
        <v>50</v>
      </c>
      <c r="J58">
        <v>38</v>
      </c>
      <c r="K58">
        <v>5</v>
      </c>
      <c r="L58">
        <v>828.98470544700001</v>
      </c>
      <c r="M58">
        <v>883651.69155900006</v>
      </c>
      <c r="O58" s="1" t="s">
        <v>277</v>
      </c>
      <c r="P58" t="s">
        <v>246</v>
      </c>
    </row>
    <row r="59" spans="2:16" x14ac:dyDescent="0.25">
      <c r="B59">
        <v>58</v>
      </c>
      <c r="C59" s="1" t="s">
        <v>2316</v>
      </c>
      <c r="D59" s="1" t="s">
        <v>618</v>
      </c>
      <c r="E59" s="1" t="s">
        <v>2058</v>
      </c>
      <c r="F59" s="1" t="s">
        <v>356</v>
      </c>
      <c r="G59">
        <v>1</v>
      </c>
      <c r="H59" s="1" t="s">
        <v>244</v>
      </c>
      <c r="I59">
        <v>50</v>
      </c>
      <c r="J59">
        <v>38</v>
      </c>
      <c r="K59">
        <v>5</v>
      </c>
      <c r="L59">
        <v>828.98338159900004</v>
      </c>
      <c r="M59">
        <v>883651.36059599998</v>
      </c>
      <c r="O59" s="1" t="s">
        <v>277</v>
      </c>
      <c r="P59" t="s">
        <v>246</v>
      </c>
    </row>
    <row r="60" spans="2:16" x14ac:dyDescent="0.25">
      <c r="B60">
        <v>59</v>
      </c>
      <c r="C60" s="1" t="s">
        <v>2315</v>
      </c>
      <c r="D60" s="1" t="s">
        <v>618</v>
      </c>
      <c r="E60" s="1" t="s">
        <v>2058</v>
      </c>
      <c r="F60" s="1" t="s">
        <v>362</v>
      </c>
      <c r="G60">
        <v>4</v>
      </c>
      <c r="H60" s="1" t="s">
        <v>244</v>
      </c>
      <c r="I60">
        <v>50</v>
      </c>
      <c r="J60">
        <v>38</v>
      </c>
      <c r="K60">
        <v>5</v>
      </c>
      <c r="L60">
        <v>828.98470544600002</v>
      </c>
      <c r="M60">
        <v>883651.69155800005</v>
      </c>
      <c r="O60" s="1" t="s">
        <v>277</v>
      </c>
      <c r="P60" t="s">
        <v>246</v>
      </c>
    </row>
    <row r="61" spans="2:16" x14ac:dyDescent="0.25">
      <c r="B61">
        <v>60</v>
      </c>
      <c r="C61" s="1" t="s">
        <v>2315</v>
      </c>
      <c r="D61" s="1" t="s">
        <v>618</v>
      </c>
      <c r="E61" s="1" t="s">
        <v>2058</v>
      </c>
      <c r="F61" s="1" t="s">
        <v>356</v>
      </c>
      <c r="G61">
        <v>1</v>
      </c>
      <c r="H61" s="1" t="s">
        <v>244</v>
      </c>
      <c r="I61">
        <v>50</v>
      </c>
      <c r="J61">
        <v>38</v>
      </c>
      <c r="K61">
        <v>5</v>
      </c>
      <c r="L61">
        <v>828.98338159900004</v>
      </c>
      <c r="M61">
        <v>883651.36059399997</v>
      </c>
      <c r="O61" s="1" t="s">
        <v>277</v>
      </c>
      <c r="P61" t="s">
        <v>246</v>
      </c>
    </row>
    <row r="62" spans="2:16" x14ac:dyDescent="0.25">
      <c r="B62">
        <v>61</v>
      </c>
      <c r="C62" s="1" t="s">
        <v>2314</v>
      </c>
      <c r="D62" s="1" t="s">
        <v>618</v>
      </c>
      <c r="E62" s="1" t="s">
        <v>2058</v>
      </c>
      <c r="F62" s="1" t="s">
        <v>362</v>
      </c>
      <c r="G62">
        <v>4</v>
      </c>
      <c r="H62" s="1" t="s">
        <v>244</v>
      </c>
      <c r="I62">
        <v>50</v>
      </c>
      <c r="J62">
        <v>38</v>
      </c>
      <c r="K62">
        <v>5</v>
      </c>
      <c r="L62">
        <v>828.98470544600002</v>
      </c>
      <c r="M62">
        <v>883651.69155800005</v>
      </c>
      <c r="O62" s="1" t="s">
        <v>277</v>
      </c>
      <c r="P62" t="s">
        <v>246</v>
      </c>
    </row>
    <row r="63" spans="2:16" x14ac:dyDescent="0.25">
      <c r="B63">
        <v>62</v>
      </c>
      <c r="C63" s="1" t="s">
        <v>2314</v>
      </c>
      <c r="D63" s="1" t="s">
        <v>618</v>
      </c>
      <c r="E63" s="1" t="s">
        <v>2058</v>
      </c>
      <c r="F63" s="1" t="s">
        <v>356</v>
      </c>
      <c r="G63">
        <v>1</v>
      </c>
      <c r="H63" s="1" t="s">
        <v>244</v>
      </c>
      <c r="I63">
        <v>50</v>
      </c>
      <c r="J63">
        <v>38</v>
      </c>
      <c r="K63">
        <v>5</v>
      </c>
      <c r="L63">
        <v>828.98338159900004</v>
      </c>
      <c r="M63">
        <v>883651.36059399997</v>
      </c>
      <c r="O63" s="1" t="s">
        <v>277</v>
      </c>
      <c r="P63" t="s">
        <v>246</v>
      </c>
    </row>
    <row r="64" spans="2:16" x14ac:dyDescent="0.25">
      <c r="B64">
        <v>63</v>
      </c>
      <c r="C64" s="1" t="s">
        <v>2306</v>
      </c>
      <c r="D64" s="1" t="s">
        <v>618</v>
      </c>
      <c r="E64" s="1" t="s">
        <v>2058</v>
      </c>
      <c r="F64" s="1" t="s">
        <v>362</v>
      </c>
      <c r="G64">
        <v>4</v>
      </c>
      <c r="H64" s="1" t="s">
        <v>244</v>
      </c>
      <c r="I64">
        <v>50</v>
      </c>
      <c r="J64">
        <v>38</v>
      </c>
      <c r="K64">
        <v>5</v>
      </c>
      <c r="L64">
        <v>828.98470544600002</v>
      </c>
      <c r="M64">
        <v>883651.69155700004</v>
      </c>
      <c r="O64" s="1" t="s">
        <v>277</v>
      </c>
      <c r="P64" t="s">
        <v>246</v>
      </c>
    </row>
    <row r="65" spans="2:16" x14ac:dyDescent="0.25">
      <c r="B65">
        <v>64</v>
      </c>
      <c r="C65" s="1" t="s">
        <v>2306</v>
      </c>
      <c r="D65" s="1" t="s">
        <v>618</v>
      </c>
      <c r="E65" s="1" t="s">
        <v>2058</v>
      </c>
      <c r="F65" s="1" t="s">
        <v>356</v>
      </c>
      <c r="G65">
        <v>1</v>
      </c>
      <c r="H65" s="1" t="s">
        <v>244</v>
      </c>
      <c r="I65">
        <v>50</v>
      </c>
      <c r="J65">
        <v>38</v>
      </c>
      <c r="K65">
        <v>5</v>
      </c>
      <c r="L65">
        <v>828.98338159800005</v>
      </c>
      <c r="M65">
        <v>883651.36059399997</v>
      </c>
      <c r="O65" s="1" t="s">
        <v>277</v>
      </c>
      <c r="P65" t="s">
        <v>246</v>
      </c>
    </row>
    <row r="66" spans="2:16" x14ac:dyDescent="0.25">
      <c r="B66">
        <v>65</v>
      </c>
      <c r="C66" s="1" t="s">
        <v>2296</v>
      </c>
      <c r="D66" s="1" t="s">
        <v>618</v>
      </c>
      <c r="E66" s="1" t="s">
        <v>2058</v>
      </c>
      <c r="F66" s="1" t="s">
        <v>362</v>
      </c>
      <c r="G66">
        <v>4</v>
      </c>
      <c r="H66" s="1" t="s">
        <v>244</v>
      </c>
      <c r="I66">
        <v>50</v>
      </c>
      <c r="J66">
        <v>38</v>
      </c>
      <c r="K66">
        <v>5</v>
      </c>
      <c r="L66">
        <v>828.98470544700001</v>
      </c>
      <c r="M66">
        <v>883651.69155900006</v>
      </c>
      <c r="O66" s="1" t="s">
        <v>277</v>
      </c>
      <c r="P66" t="s">
        <v>246</v>
      </c>
    </row>
    <row r="67" spans="2:16" x14ac:dyDescent="0.25">
      <c r="B67">
        <v>66</v>
      </c>
      <c r="C67" s="1" t="s">
        <v>2296</v>
      </c>
      <c r="D67" s="1" t="s">
        <v>618</v>
      </c>
      <c r="E67" s="1" t="s">
        <v>2058</v>
      </c>
      <c r="F67" s="1" t="s">
        <v>356</v>
      </c>
      <c r="G67">
        <v>1</v>
      </c>
      <c r="H67" s="1" t="s">
        <v>244</v>
      </c>
      <c r="I67">
        <v>50</v>
      </c>
      <c r="J67">
        <v>38</v>
      </c>
      <c r="K67">
        <v>5</v>
      </c>
      <c r="L67">
        <v>828.98338159900004</v>
      </c>
      <c r="M67">
        <v>883651.36059499998</v>
      </c>
      <c r="O67" s="1" t="s">
        <v>277</v>
      </c>
      <c r="P67" t="s">
        <v>246</v>
      </c>
    </row>
    <row r="68" spans="2:16" x14ac:dyDescent="0.25">
      <c r="B68">
        <v>67</v>
      </c>
      <c r="C68" s="1" t="s">
        <v>2313</v>
      </c>
      <c r="D68" s="1" t="s">
        <v>618</v>
      </c>
      <c r="E68" s="1" t="s">
        <v>2058</v>
      </c>
      <c r="F68" s="1" t="s">
        <v>328</v>
      </c>
      <c r="G68">
        <v>4</v>
      </c>
      <c r="H68" s="1" t="s">
        <v>244</v>
      </c>
      <c r="I68">
        <v>50</v>
      </c>
      <c r="J68">
        <v>38</v>
      </c>
      <c r="K68">
        <v>5</v>
      </c>
      <c r="L68">
        <v>829.00085081600002</v>
      </c>
      <c r="M68">
        <v>883682.07560800004</v>
      </c>
      <c r="O68" s="1" t="s">
        <v>277</v>
      </c>
      <c r="P68" t="s">
        <v>246</v>
      </c>
    </row>
    <row r="69" spans="2:16" x14ac:dyDescent="0.25">
      <c r="B69">
        <v>68</v>
      </c>
      <c r="C69" s="1" t="s">
        <v>2313</v>
      </c>
      <c r="D69" s="1" t="s">
        <v>618</v>
      </c>
      <c r="E69" s="1" t="s">
        <v>2058</v>
      </c>
      <c r="F69" s="1" t="s">
        <v>375</v>
      </c>
      <c r="G69">
        <v>1</v>
      </c>
      <c r="H69" s="1" t="s">
        <v>244</v>
      </c>
      <c r="I69">
        <v>50</v>
      </c>
      <c r="J69">
        <v>38</v>
      </c>
      <c r="K69">
        <v>5</v>
      </c>
      <c r="L69">
        <v>828.99952696900004</v>
      </c>
      <c r="M69">
        <v>883681.74464399996</v>
      </c>
      <c r="O69" s="1" t="s">
        <v>277</v>
      </c>
      <c r="P69" t="s">
        <v>246</v>
      </c>
    </row>
    <row r="70" spans="2:16" x14ac:dyDescent="0.25">
      <c r="B70">
        <v>69</v>
      </c>
      <c r="C70" s="1" t="s">
        <v>2312</v>
      </c>
      <c r="D70" s="1" t="s">
        <v>618</v>
      </c>
      <c r="E70" s="1" t="s">
        <v>2058</v>
      </c>
      <c r="F70" s="1" t="s">
        <v>328</v>
      </c>
      <c r="G70">
        <v>4</v>
      </c>
      <c r="H70" s="1" t="s">
        <v>244</v>
      </c>
      <c r="I70">
        <v>50</v>
      </c>
      <c r="J70">
        <v>38</v>
      </c>
      <c r="K70">
        <v>5</v>
      </c>
      <c r="L70">
        <v>829.00085081700001</v>
      </c>
      <c r="M70">
        <v>883682.07560800004</v>
      </c>
      <c r="O70" s="1" t="s">
        <v>277</v>
      </c>
      <c r="P70" t="s">
        <v>246</v>
      </c>
    </row>
    <row r="71" spans="2:16" x14ac:dyDescent="0.25">
      <c r="B71">
        <v>70</v>
      </c>
      <c r="C71" s="1" t="s">
        <v>2312</v>
      </c>
      <c r="D71" s="1" t="s">
        <v>618</v>
      </c>
      <c r="E71" s="1" t="s">
        <v>2058</v>
      </c>
      <c r="F71" s="1" t="s">
        <v>375</v>
      </c>
      <c r="G71">
        <v>1</v>
      </c>
      <c r="H71" s="1" t="s">
        <v>244</v>
      </c>
      <c r="I71">
        <v>50</v>
      </c>
      <c r="J71">
        <v>38</v>
      </c>
      <c r="K71">
        <v>5</v>
      </c>
      <c r="L71">
        <v>828.99952697000003</v>
      </c>
      <c r="M71">
        <v>883681.74464599998</v>
      </c>
      <c r="O71" s="1" t="s">
        <v>277</v>
      </c>
      <c r="P71" t="s">
        <v>246</v>
      </c>
    </row>
    <row r="72" spans="2:16" x14ac:dyDescent="0.25">
      <c r="B72">
        <v>71</v>
      </c>
      <c r="C72" s="1" t="s">
        <v>2311</v>
      </c>
      <c r="D72" s="1" t="s">
        <v>618</v>
      </c>
      <c r="E72" s="1" t="s">
        <v>2058</v>
      </c>
      <c r="F72" s="1" t="s">
        <v>328</v>
      </c>
      <c r="G72">
        <v>4</v>
      </c>
      <c r="H72" s="1" t="s">
        <v>244</v>
      </c>
      <c r="I72">
        <v>50</v>
      </c>
      <c r="J72">
        <v>38</v>
      </c>
      <c r="K72">
        <v>5</v>
      </c>
      <c r="L72">
        <v>829.00085081600002</v>
      </c>
      <c r="M72">
        <v>883682.07560800004</v>
      </c>
      <c r="O72" s="1" t="s">
        <v>277</v>
      </c>
      <c r="P72" t="s">
        <v>246</v>
      </c>
    </row>
    <row r="73" spans="2:16" x14ac:dyDescent="0.25">
      <c r="B73">
        <v>72</v>
      </c>
      <c r="C73" s="1" t="s">
        <v>2311</v>
      </c>
      <c r="D73" s="1" t="s">
        <v>618</v>
      </c>
      <c r="E73" s="1" t="s">
        <v>2058</v>
      </c>
      <c r="F73" s="1" t="s">
        <v>375</v>
      </c>
      <c r="G73">
        <v>1</v>
      </c>
      <c r="H73" s="1" t="s">
        <v>244</v>
      </c>
      <c r="I73">
        <v>50</v>
      </c>
      <c r="J73">
        <v>38</v>
      </c>
      <c r="K73">
        <v>5</v>
      </c>
      <c r="L73">
        <v>828.99952696900004</v>
      </c>
      <c r="M73">
        <v>883681.74464399996</v>
      </c>
      <c r="O73" s="1" t="s">
        <v>277</v>
      </c>
      <c r="P73" t="s">
        <v>246</v>
      </c>
    </row>
    <row r="74" spans="2:16" x14ac:dyDescent="0.25">
      <c r="B74">
        <v>73</v>
      </c>
      <c r="C74" s="1" t="s">
        <v>2310</v>
      </c>
      <c r="D74" s="1" t="s">
        <v>618</v>
      </c>
      <c r="E74" s="1" t="s">
        <v>2058</v>
      </c>
      <c r="F74" s="1" t="s">
        <v>328</v>
      </c>
      <c r="G74">
        <v>4</v>
      </c>
      <c r="H74" s="1" t="s">
        <v>244</v>
      </c>
      <c r="I74">
        <v>50</v>
      </c>
      <c r="J74">
        <v>38</v>
      </c>
      <c r="K74">
        <v>5</v>
      </c>
      <c r="L74">
        <v>829.00085081600002</v>
      </c>
      <c r="M74">
        <v>883682.07560800004</v>
      </c>
      <c r="O74" s="1" t="s">
        <v>277</v>
      </c>
      <c r="P74" t="s">
        <v>246</v>
      </c>
    </row>
    <row r="75" spans="2:16" x14ac:dyDescent="0.25">
      <c r="B75">
        <v>74</v>
      </c>
      <c r="C75" s="1" t="s">
        <v>2310</v>
      </c>
      <c r="D75" s="1" t="s">
        <v>618</v>
      </c>
      <c r="E75" s="1" t="s">
        <v>2058</v>
      </c>
      <c r="F75" s="1" t="s">
        <v>375</v>
      </c>
      <c r="G75">
        <v>1</v>
      </c>
      <c r="H75" s="1" t="s">
        <v>244</v>
      </c>
      <c r="I75">
        <v>50</v>
      </c>
      <c r="J75">
        <v>38</v>
      </c>
      <c r="K75">
        <v>5</v>
      </c>
      <c r="L75">
        <v>828.99952696900004</v>
      </c>
      <c r="M75">
        <v>883681.74464399996</v>
      </c>
      <c r="O75" s="1" t="s">
        <v>277</v>
      </c>
      <c r="P75" t="s">
        <v>246</v>
      </c>
    </row>
    <row r="76" spans="2:16" x14ac:dyDescent="0.25">
      <c r="B76">
        <v>75</v>
      </c>
      <c r="C76" s="1" t="s">
        <v>2309</v>
      </c>
      <c r="D76" s="1" t="s">
        <v>618</v>
      </c>
      <c r="E76" s="1" t="s">
        <v>2058</v>
      </c>
      <c r="F76" s="1" t="s">
        <v>328</v>
      </c>
      <c r="G76">
        <v>4</v>
      </c>
      <c r="H76" s="1" t="s">
        <v>244</v>
      </c>
      <c r="I76">
        <v>50</v>
      </c>
      <c r="J76">
        <v>38</v>
      </c>
      <c r="K76">
        <v>5</v>
      </c>
      <c r="L76">
        <v>829.00085081600002</v>
      </c>
      <c r="M76">
        <v>883682.07560800004</v>
      </c>
      <c r="O76" s="1" t="s">
        <v>277</v>
      </c>
      <c r="P76" t="s">
        <v>246</v>
      </c>
    </row>
    <row r="77" spans="2:16" x14ac:dyDescent="0.25">
      <c r="B77">
        <v>76</v>
      </c>
      <c r="C77" s="1" t="s">
        <v>2309</v>
      </c>
      <c r="D77" s="1" t="s">
        <v>618</v>
      </c>
      <c r="E77" s="1" t="s">
        <v>2058</v>
      </c>
      <c r="F77" s="1" t="s">
        <v>375</v>
      </c>
      <c r="G77">
        <v>1</v>
      </c>
      <c r="H77" s="1" t="s">
        <v>244</v>
      </c>
      <c r="I77">
        <v>50</v>
      </c>
      <c r="J77">
        <v>38</v>
      </c>
      <c r="K77">
        <v>5</v>
      </c>
      <c r="L77">
        <v>828.99952696900004</v>
      </c>
      <c r="M77">
        <v>883681.74464199995</v>
      </c>
      <c r="O77" s="1" t="s">
        <v>277</v>
      </c>
      <c r="P77" t="s">
        <v>246</v>
      </c>
    </row>
    <row r="78" spans="2:16" x14ac:dyDescent="0.25">
      <c r="B78">
        <v>77</v>
      </c>
      <c r="C78" s="1" t="s">
        <v>2303</v>
      </c>
      <c r="D78" s="1" t="s">
        <v>618</v>
      </c>
      <c r="E78" s="1" t="s">
        <v>2058</v>
      </c>
      <c r="F78" s="1" t="s">
        <v>328</v>
      </c>
      <c r="G78">
        <v>4</v>
      </c>
      <c r="H78" s="1" t="s">
        <v>244</v>
      </c>
      <c r="I78">
        <v>50</v>
      </c>
      <c r="J78">
        <v>38</v>
      </c>
      <c r="K78">
        <v>5</v>
      </c>
      <c r="L78">
        <v>829.00085081600002</v>
      </c>
      <c r="M78">
        <v>883682.07560800004</v>
      </c>
      <c r="O78" s="1" t="s">
        <v>277</v>
      </c>
      <c r="P78" t="s">
        <v>246</v>
      </c>
    </row>
    <row r="79" spans="2:16" x14ac:dyDescent="0.25">
      <c r="B79">
        <v>78</v>
      </c>
      <c r="C79" s="1" t="s">
        <v>2303</v>
      </c>
      <c r="D79" s="1" t="s">
        <v>618</v>
      </c>
      <c r="E79" s="1" t="s">
        <v>2058</v>
      </c>
      <c r="F79" s="1" t="s">
        <v>375</v>
      </c>
      <c r="G79">
        <v>1</v>
      </c>
      <c r="H79" s="1" t="s">
        <v>244</v>
      </c>
      <c r="I79">
        <v>50</v>
      </c>
      <c r="J79">
        <v>38</v>
      </c>
      <c r="K79">
        <v>5</v>
      </c>
      <c r="L79">
        <v>828.99952696900004</v>
      </c>
      <c r="M79">
        <v>883681.74464399996</v>
      </c>
      <c r="O79" s="1" t="s">
        <v>277</v>
      </c>
      <c r="P79" t="s">
        <v>246</v>
      </c>
    </row>
    <row r="80" spans="2:16" x14ac:dyDescent="0.25">
      <c r="B80">
        <v>79</v>
      </c>
      <c r="C80" s="1" t="s">
        <v>2302</v>
      </c>
      <c r="D80" s="1" t="s">
        <v>618</v>
      </c>
      <c r="E80" s="1" t="s">
        <v>2058</v>
      </c>
      <c r="F80" s="1" t="s">
        <v>328</v>
      </c>
      <c r="G80">
        <v>4</v>
      </c>
      <c r="H80" s="1" t="s">
        <v>244</v>
      </c>
      <c r="I80">
        <v>50</v>
      </c>
      <c r="J80">
        <v>38</v>
      </c>
      <c r="K80">
        <v>5</v>
      </c>
      <c r="L80">
        <v>829.00085081700001</v>
      </c>
      <c r="M80">
        <v>883682.07561000006</v>
      </c>
      <c r="O80" s="1" t="s">
        <v>277</v>
      </c>
      <c r="P80" t="s">
        <v>246</v>
      </c>
    </row>
    <row r="81" spans="2:16" x14ac:dyDescent="0.25">
      <c r="B81">
        <v>80</v>
      </c>
      <c r="C81" s="1" t="s">
        <v>2302</v>
      </c>
      <c r="D81" s="1" t="s">
        <v>618</v>
      </c>
      <c r="E81" s="1" t="s">
        <v>2058</v>
      </c>
      <c r="F81" s="1" t="s">
        <v>375</v>
      </c>
      <c r="G81">
        <v>1</v>
      </c>
      <c r="H81" s="1" t="s">
        <v>244</v>
      </c>
      <c r="I81">
        <v>50</v>
      </c>
      <c r="J81">
        <v>38</v>
      </c>
      <c r="K81">
        <v>5</v>
      </c>
      <c r="L81">
        <v>828.99952697000003</v>
      </c>
      <c r="M81">
        <v>883681.74464499997</v>
      </c>
      <c r="O81" s="1" t="s">
        <v>277</v>
      </c>
      <c r="P81" t="s">
        <v>246</v>
      </c>
    </row>
    <row r="82" spans="2:16" x14ac:dyDescent="0.25">
      <c r="B82">
        <v>81</v>
      </c>
      <c r="C82" s="1" t="s">
        <v>2301</v>
      </c>
      <c r="D82" s="1" t="s">
        <v>618</v>
      </c>
      <c r="E82" s="1" t="s">
        <v>2058</v>
      </c>
      <c r="F82" s="1" t="s">
        <v>328</v>
      </c>
      <c r="G82">
        <v>4</v>
      </c>
      <c r="H82" s="1" t="s">
        <v>244</v>
      </c>
      <c r="I82">
        <v>50</v>
      </c>
      <c r="J82">
        <v>38</v>
      </c>
      <c r="K82">
        <v>5</v>
      </c>
      <c r="L82">
        <v>829.00085081600002</v>
      </c>
      <c r="M82">
        <v>883682.07560800004</v>
      </c>
      <c r="O82" s="1" t="s">
        <v>277</v>
      </c>
      <c r="P82" t="s">
        <v>246</v>
      </c>
    </row>
    <row r="83" spans="2:16" x14ac:dyDescent="0.25">
      <c r="B83">
        <v>82</v>
      </c>
      <c r="C83" s="1" t="s">
        <v>2301</v>
      </c>
      <c r="D83" s="1" t="s">
        <v>618</v>
      </c>
      <c r="E83" s="1" t="s">
        <v>2058</v>
      </c>
      <c r="F83" s="1" t="s">
        <v>375</v>
      </c>
      <c r="G83">
        <v>1</v>
      </c>
      <c r="H83" s="1" t="s">
        <v>244</v>
      </c>
      <c r="I83">
        <v>50</v>
      </c>
      <c r="J83">
        <v>38</v>
      </c>
      <c r="K83">
        <v>5</v>
      </c>
      <c r="L83">
        <v>828.99952696900004</v>
      </c>
      <c r="M83">
        <v>883681.74464499997</v>
      </c>
      <c r="O83" s="1" t="s">
        <v>277</v>
      </c>
      <c r="P83" t="s">
        <v>246</v>
      </c>
    </row>
    <row r="84" spans="2:16" x14ac:dyDescent="0.25">
      <c r="B84">
        <v>83</v>
      </c>
      <c r="C84" s="1" t="s">
        <v>2300</v>
      </c>
      <c r="D84" s="1" t="s">
        <v>618</v>
      </c>
      <c r="E84" s="1" t="s">
        <v>2058</v>
      </c>
      <c r="F84" s="1" t="s">
        <v>328</v>
      </c>
      <c r="G84">
        <v>4</v>
      </c>
      <c r="H84" s="1" t="s">
        <v>244</v>
      </c>
      <c r="I84">
        <v>50</v>
      </c>
      <c r="J84">
        <v>38</v>
      </c>
      <c r="K84">
        <v>5</v>
      </c>
      <c r="L84">
        <v>829.00085081600002</v>
      </c>
      <c r="M84">
        <v>883682.07560800004</v>
      </c>
      <c r="O84" s="1" t="s">
        <v>277</v>
      </c>
      <c r="P84" t="s">
        <v>246</v>
      </c>
    </row>
    <row r="85" spans="2:16" x14ac:dyDescent="0.25">
      <c r="B85">
        <v>84</v>
      </c>
      <c r="C85" s="1" t="s">
        <v>2300</v>
      </c>
      <c r="D85" s="1" t="s">
        <v>618</v>
      </c>
      <c r="E85" s="1" t="s">
        <v>2058</v>
      </c>
      <c r="F85" s="1" t="s">
        <v>375</v>
      </c>
      <c r="G85">
        <v>1</v>
      </c>
      <c r="H85" s="1" t="s">
        <v>244</v>
      </c>
      <c r="I85">
        <v>50</v>
      </c>
      <c r="J85">
        <v>38</v>
      </c>
      <c r="K85">
        <v>5</v>
      </c>
      <c r="L85">
        <v>828.99952696900004</v>
      </c>
      <c r="M85">
        <v>883681.74464299995</v>
      </c>
      <c r="O85" s="1" t="s">
        <v>277</v>
      </c>
      <c r="P85" t="s">
        <v>246</v>
      </c>
    </row>
    <row r="86" spans="2:16" x14ac:dyDescent="0.25">
      <c r="B86">
        <v>85</v>
      </c>
      <c r="C86" s="1" t="s">
        <v>2299</v>
      </c>
      <c r="D86" s="1" t="s">
        <v>618</v>
      </c>
      <c r="E86" s="1" t="s">
        <v>2058</v>
      </c>
      <c r="F86" s="1" t="s">
        <v>328</v>
      </c>
      <c r="G86">
        <v>4</v>
      </c>
      <c r="H86" s="1" t="s">
        <v>244</v>
      </c>
      <c r="I86">
        <v>50</v>
      </c>
      <c r="J86">
        <v>38</v>
      </c>
      <c r="K86">
        <v>5</v>
      </c>
      <c r="L86">
        <v>829.00085081600002</v>
      </c>
      <c r="M86">
        <v>883682.07560800004</v>
      </c>
      <c r="O86" s="1" t="s">
        <v>277</v>
      </c>
      <c r="P86" t="s">
        <v>246</v>
      </c>
    </row>
    <row r="87" spans="2:16" x14ac:dyDescent="0.25">
      <c r="B87">
        <v>86</v>
      </c>
      <c r="C87" s="1" t="s">
        <v>2299</v>
      </c>
      <c r="D87" s="1" t="s">
        <v>618</v>
      </c>
      <c r="E87" s="1" t="s">
        <v>2058</v>
      </c>
      <c r="F87" s="1" t="s">
        <v>375</v>
      </c>
      <c r="G87">
        <v>1</v>
      </c>
      <c r="H87" s="1" t="s">
        <v>244</v>
      </c>
      <c r="I87">
        <v>50</v>
      </c>
      <c r="J87">
        <v>38</v>
      </c>
      <c r="K87">
        <v>5</v>
      </c>
      <c r="L87">
        <v>828.99952696900004</v>
      </c>
      <c r="M87">
        <v>883681.74464399996</v>
      </c>
      <c r="O87" s="1" t="s">
        <v>277</v>
      </c>
      <c r="P87" t="s">
        <v>246</v>
      </c>
    </row>
    <row r="88" spans="2:16" x14ac:dyDescent="0.25">
      <c r="B88">
        <v>87</v>
      </c>
      <c r="C88" s="1" t="s">
        <v>2305</v>
      </c>
      <c r="D88" s="1" t="s">
        <v>618</v>
      </c>
      <c r="E88" s="1" t="s">
        <v>2058</v>
      </c>
      <c r="F88" s="1" t="s">
        <v>367</v>
      </c>
      <c r="G88">
        <v>4</v>
      </c>
      <c r="H88" s="1" t="s">
        <v>244</v>
      </c>
      <c r="I88">
        <v>50</v>
      </c>
      <c r="J88">
        <v>38</v>
      </c>
      <c r="K88">
        <v>5</v>
      </c>
      <c r="L88">
        <v>829.01699625399999</v>
      </c>
      <c r="M88">
        <v>883712.46029800002</v>
      </c>
      <c r="O88" s="1" t="s">
        <v>277</v>
      </c>
      <c r="P88" t="s">
        <v>246</v>
      </c>
    </row>
    <row r="89" spans="2:16" x14ac:dyDescent="0.25">
      <c r="B89">
        <v>88</v>
      </c>
      <c r="C89" s="1" t="s">
        <v>2305</v>
      </c>
      <c r="D89" s="1" t="s">
        <v>618</v>
      </c>
      <c r="E89" s="1" t="s">
        <v>2058</v>
      </c>
      <c r="F89" s="1" t="s">
        <v>345</v>
      </c>
      <c r="G89">
        <v>1</v>
      </c>
      <c r="H89" s="1" t="s">
        <v>244</v>
      </c>
      <c r="I89">
        <v>50</v>
      </c>
      <c r="J89">
        <v>38</v>
      </c>
      <c r="K89">
        <v>5</v>
      </c>
      <c r="L89">
        <v>829.01567240600002</v>
      </c>
      <c r="M89">
        <v>883712.12933400006</v>
      </c>
      <c r="O89" s="1" t="s">
        <v>277</v>
      </c>
      <c r="P89" t="s">
        <v>246</v>
      </c>
    </row>
    <row r="90" spans="2:16" x14ac:dyDescent="0.25">
      <c r="B90">
        <v>89</v>
      </c>
      <c r="C90" s="1" t="s">
        <v>2304</v>
      </c>
      <c r="D90" s="1" t="s">
        <v>618</v>
      </c>
      <c r="E90" s="1" t="s">
        <v>2058</v>
      </c>
      <c r="F90" s="1" t="s">
        <v>367</v>
      </c>
      <c r="G90">
        <v>4</v>
      </c>
      <c r="H90" s="1" t="s">
        <v>244</v>
      </c>
      <c r="I90">
        <v>50</v>
      </c>
      <c r="J90">
        <v>38</v>
      </c>
      <c r="K90">
        <v>5</v>
      </c>
      <c r="L90">
        <v>829.01699625399999</v>
      </c>
      <c r="M90">
        <v>883712.46029800002</v>
      </c>
      <c r="O90" s="1" t="s">
        <v>277</v>
      </c>
      <c r="P90" t="s">
        <v>246</v>
      </c>
    </row>
    <row r="91" spans="2:16" x14ac:dyDescent="0.25">
      <c r="B91">
        <v>90</v>
      </c>
      <c r="C91" s="1" t="s">
        <v>2304</v>
      </c>
      <c r="D91" s="1" t="s">
        <v>618</v>
      </c>
      <c r="E91" s="1" t="s">
        <v>2058</v>
      </c>
      <c r="F91" s="1" t="s">
        <v>345</v>
      </c>
      <c r="G91">
        <v>1</v>
      </c>
      <c r="H91" s="1" t="s">
        <v>244</v>
      </c>
      <c r="I91">
        <v>50</v>
      </c>
      <c r="J91">
        <v>38</v>
      </c>
      <c r="K91">
        <v>5</v>
      </c>
      <c r="L91">
        <v>829.01567240600002</v>
      </c>
      <c r="M91">
        <v>883712.12933499995</v>
      </c>
      <c r="O91" s="1" t="s">
        <v>277</v>
      </c>
      <c r="P91" t="s">
        <v>246</v>
      </c>
    </row>
    <row r="92" spans="2:16" x14ac:dyDescent="0.25">
      <c r="B92">
        <v>91</v>
      </c>
      <c r="C92" s="1" t="s">
        <v>2266</v>
      </c>
      <c r="D92" s="1" t="s">
        <v>507</v>
      </c>
      <c r="E92" s="1" t="s">
        <v>2058</v>
      </c>
      <c r="F92" s="1" t="s">
        <v>342</v>
      </c>
      <c r="G92">
        <v>2</v>
      </c>
      <c r="H92" s="1" t="s">
        <v>244</v>
      </c>
      <c r="I92">
        <v>50</v>
      </c>
      <c r="J92">
        <v>30</v>
      </c>
      <c r="K92">
        <v>25</v>
      </c>
      <c r="L92">
        <v>193.96132701299999</v>
      </c>
      <c r="M92">
        <v>266998.26627000002</v>
      </c>
      <c r="O92" s="1" t="s">
        <v>245</v>
      </c>
      <c r="P92" t="s">
        <v>246</v>
      </c>
    </row>
    <row r="93" spans="2:16" x14ac:dyDescent="0.25">
      <c r="B93">
        <v>92</v>
      </c>
      <c r="C93" s="1" t="s">
        <v>2267</v>
      </c>
      <c r="D93" s="1" t="s">
        <v>507</v>
      </c>
      <c r="E93" s="1" t="s">
        <v>2058</v>
      </c>
      <c r="F93" s="1" t="s">
        <v>342</v>
      </c>
      <c r="G93">
        <v>2</v>
      </c>
      <c r="H93" s="1" t="s">
        <v>244</v>
      </c>
      <c r="I93">
        <v>50</v>
      </c>
      <c r="J93">
        <v>30</v>
      </c>
      <c r="K93">
        <v>25</v>
      </c>
      <c r="L93">
        <v>193.96132701299999</v>
      </c>
      <c r="M93">
        <v>266998.26627000002</v>
      </c>
      <c r="O93" s="1" t="s">
        <v>245</v>
      </c>
      <c r="P93" t="s">
        <v>246</v>
      </c>
    </row>
    <row r="94" spans="2:16" x14ac:dyDescent="0.25">
      <c r="B94">
        <v>93</v>
      </c>
      <c r="C94" s="1" t="s">
        <v>2268</v>
      </c>
      <c r="D94" s="1" t="s">
        <v>507</v>
      </c>
      <c r="E94" s="1" t="s">
        <v>2058</v>
      </c>
      <c r="F94" s="1" t="s">
        <v>342</v>
      </c>
      <c r="G94">
        <v>2</v>
      </c>
      <c r="H94" s="1" t="s">
        <v>244</v>
      </c>
      <c r="I94">
        <v>50</v>
      </c>
      <c r="J94">
        <v>30</v>
      </c>
      <c r="K94">
        <v>25</v>
      </c>
      <c r="L94">
        <v>193.96132701299999</v>
      </c>
      <c r="M94">
        <v>266998.26627000002</v>
      </c>
      <c r="O94" s="1" t="s">
        <v>245</v>
      </c>
      <c r="P94" t="s">
        <v>246</v>
      </c>
    </row>
    <row r="95" spans="2:16" x14ac:dyDescent="0.25">
      <c r="B95">
        <v>94</v>
      </c>
      <c r="C95" s="1" t="s">
        <v>2269</v>
      </c>
      <c r="D95" s="1" t="s">
        <v>507</v>
      </c>
      <c r="E95" s="1" t="s">
        <v>2058</v>
      </c>
      <c r="F95" s="1" t="s">
        <v>342</v>
      </c>
      <c r="G95">
        <v>2</v>
      </c>
      <c r="H95" s="1" t="s">
        <v>244</v>
      </c>
      <c r="I95">
        <v>50</v>
      </c>
      <c r="J95">
        <v>30</v>
      </c>
      <c r="K95">
        <v>25</v>
      </c>
      <c r="L95">
        <v>193.96132701299999</v>
      </c>
      <c r="M95">
        <v>266998.26627099997</v>
      </c>
      <c r="O95" s="1" t="s">
        <v>245</v>
      </c>
      <c r="P95" t="s">
        <v>246</v>
      </c>
    </row>
    <row r="96" spans="2:16" x14ac:dyDescent="0.25">
      <c r="B96">
        <v>95</v>
      </c>
      <c r="C96" s="1" t="s">
        <v>2270</v>
      </c>
      <c r="D96" s="1" t="s">
        <v>507</v>
      </c>
      <c r="E96" s="1" t="s">
        <v>2058</v>
      </c>
      <c r="F96" s="1" t="s">
        <v>342</v>
      </c>
      <c r="G96">
        <v>2</v>
      </c>
      <c r="H96" s="1" t="s">
        <v>244</v>
      </c>
      <c r="I96">
        <v>50</v>
      </c>
      <c r="J96">
        <v>30</v>
      </c>
      <c r="K96">
        <v>25</v>
      </c>
      <c r="L96">
        <v>193.96132701299999</v>
      </c>
      <c r="M96">
        <v>266998.26627000002</v>
      </c>
      <c r="O96" s="1" t="s">
        <v>245</v>
      </c>
      <c r="P96" t="s">
        <v>246</v>
      </c>
    </row>
    <row r="97" spans="2:16" x14ac:dyDescent="0.25">
      <c r="B97">
        <v>96</v>
      </c>
      <c r="C97" s="1" t="s">
        <v>2271</v>
      </c>
      <c r="D97" s="1" t="s">
        <v>507</v>
      </c>
      <c r="E97" s="1" t="s">
        <v>2058</v>
      </c>
      <c r="F97" s="1" t="s">
        <v>342</v>
      </c>
      <c r="G97">
        <v>2</v>
      </c>
      <c r="H97" s="1" t="s">
        <v>244</v>
      </c>
      <c r="I97">
        <v>50</v>
      </c>
      <c r="J97">
        <v>30</v>
      </c>
      <c r="K97">
        <v>25</v>
      </c>
      <c r="L97">
        <v>193.96132701299999</v>
      </c>
      <c r="M97">
        <v>266998.26627000002</v>
      </c>
      <c r="O97" s="1" t="s">
        <v>245</v>
      </c>
      <c r="P97" t="s">
        <v>246</v>
      </c>
    </row>
    <row r="98" spans="2:16" x14ac:dyDescent="0.25">
      <c r="B98">
        <v>97</v>
      </c>
      <c r="C98" s="1" t="s">
        <v>2272</v>
      </c>
      <c r="D98" s="1" t="s">
        <v>507</v>
      </c>
      <c r="E98" s="1" t="s">
        <v>2058</v>
      </c>
      <c r="F98" s="1" t="s">
        <v>342</v>
      </c>
      <c r="G98">
        <v>2</v>
      </c>
      <c r="H98" s="1" t="s">
        <v>244</v>
      </c>
      <c r="I98">
        <v>50</v>
      </c>
      <c r="J98">
        <v>30</v>
      </c>
      <c r="K98">
        <v>25</v>
      </c>
      <c r="L98">
        <v>193.96132701299999</v>
      </c>
      <c r="M98">
        <v>266998.26627000002</v>
      </c>
      <c r="O98" s="1" t="s">
        <v>245</v>
      </c>
      <c r="P98" t="s">
        <v>246</v>
      </c>
    </row>
    <row r="99" spans="2:16" x14ac:dyDescent="0.25">
      <c r="B99">
        <v>98</v>
      </c>
      <c r="C99" s="1" t="s">
        <v>2273</v>
      </c>
      <c r="D99" s="1" t="s">
        <v>507</v>
      </c>
      <c r="E99" s="1" t="s">
        <v>2058</v>
      </c>
      <c r="F99" s="1" t="s">
        <v>342</v>
      </c>
      <c r="G99">
        <v>2</v>
      </c>
      <c r="H99" s="1" t="s">
        <v>244</v>
      </c>
      <c r="I99">
        <v>50</v>
      </c>
      <c r="J99">
        <v>30</v>
      </c>
      <c r="K99">
        <v>25</v>
      </c>
      <c r="L99">
        <v>193.96132701299999</v>
      </c>
      <c r="M99">
        <v>266998.26627099997</v>
      </c>
      <c r="O99" s="1" t="s">
        <v>245</v>
      </c>
      <c r="P99" t="s">
        <v>246</v>
      </c>
    </row>
    <row r="100" spans="2:16" x14ac:dyDescent="0.25">
      <c r="B100">
        <v>99</v>
      </c>
      <c r="C100" s="1" t="s">
        <v>2274</v>
      </c>
      <c r="D100" s="1" t="s">
        <v>507</v>
      </c>
      <c r="E100" s="1" t="s">
        <v>2058</v>
      </c>
      <c r="F100" s="1" t="s">
        <v>342</v>
      </c>
      <c r="G100">
        <v>2</v>
      </c>
      <c r="H100" s="1" t="s">
        <v>244</v>
      </c>
      <c r="I100">
        <v>50</v>
      </c>
      <c r="J100">
        <v>30</v>
      </c>
      <c r="K100">
        <v>25</v>
      </c>
      <c r="L100">
        <v>193.96132701299999</v>
      </c>
      <c r="M100">
        <v>266998.26627000002</v>
      </c>
      <c r="O100" s="1" t="s">
        <v>245</v>
      </c>
      <c r="P100" t="s">
        <v>246</v>
      </c>
    </row>
    <row r="101" spans="2:16" x14ac:dyDescent="0.25">
      <c r="B101">
        <v>100</v>
      </c>
      <c r="C101" s="1" t="s">
        <v>2275</v>
      </c>
      <c r="D101" s="1" t="s">
        <v>507</v>
      </c>
      <c r="E101" s="1" t="s">
        <v>2058</v>
      </c>
      <c r="F101" s="1" t="s">
        <v>342</v>
      </c>
      <c r="G101">
        <v>2</v>
      </c>
      <c r="H101" s="1" t="s">
        <v>244</v>
      </c>
      <c r="I101">
        <v>50</v>
      </c>
      <c r="J101">
        <v>30</v>
      </c>
      <c r="K101">
        <v>25</v>
      </c>
      <c r="L101">
        <v>193.96132701299999</v>
      </c>
      <c r="M101">
        <v>266998.26627000002</v>
      </c>
      <c r="O101" s="1" t="s">
        <v>245</v>
      </c>
      <c r="P101" t="s">
        <v>246</v>
      </c>
    </row>
    <row r="102" spans="2:16" x14ac:dyDescent="0.25">
      <c r="B102">
        <v>101</v>
      </c>
      <c r="C102" s="1" t="s">
        <v>2276</v>
      </c>
      <c r="D102" s="1" t="s">
        <v>507</v>
      </c>
      <c r="E102" s="1" t="s">
        <v>2058</v>
      </c>
      <c r="F102" s="1" t="s">
        <v>342</v>
      </c>
      <c r="G102">
        <v>2</v>
      </c>
      <c r="H102" s="1" t="s">
        <v>244</v>
      </c>
      <c r="I102">
        <v>50</v>
      </c>
      <c r="J102">
        <v>30</v>
      </c>
      <c r="K102">
        <v>25</v>
      </c>
      <c r="L102">
        <v>193.96132701299999</v>
      </c>
      <c r="M102">
        <v>266998.26627000002</v>
      </c>
      <c r="O102" s="1" t="s">
        <v>245</v>
      </c>
      <c r="P102" t="s">
        <v>246</v>
      </c>
    </row>
    <row r="103" spans="2:16" x14ac:dyDescent="0.25">
      <c r="B103">
        <v>102</v>
      </c>
      <c r="C103" s="1" t="s">
        <v>2277</v>
      </c>
      <c r="D103" s="1" t="s">
        <v>507</v>
      </c>
      <c r="E103" s="1" t="s">
        <v>2058</v>
      </c>
      <c r="F103" s="1" t="s">
        <v>342</v>
      </c>
      <c r="G103">
        <v>2</v>
      </c>
      <c r="H103" s="1" t="s">
        <v>244</v>
      </c>
      <c r="I103">
        <v>50</v>
      </c>
      <c r="J103">
        <v>30</v>
      </c>
      <c r="K103">
        <v>25</v>
      </c>
      <c r="L103">
        <v>193.96132701299999</v>
      </c>
      <c r="M103">
        <v>266998.26627000002</v>
      </c>
      <c r="O103" s="1" t="s">
        <v>245</v>
      </c>
      <c r="P103" t="s">
        <v>246</v>
      </c>
    </row>
    <row r="104" spans="2:16" x14ac:dyDescent="0.25">
      <c r="B104">
        <v>103</v>
      </c>
      <c r="C104" s="1" t="s">
        <v>2278</v>
      </c>
      <c r="D104" s="1" t="s">
        <v>507</v>
      </c>
      <c r="E104" s="1" t="s">
        <v>2058</v>
      </c>
      <c r="F104" s="1" t="s">
        <v>342</v>
      </c>
      <c r="G104">
        <v>2</v>
      </c>
      <c r="H104" s="1" t="s">
        <v>244</v>
      </c>
      <c r="I104">
        <v>50</v>
      </c>
      <c r="J104">
        <v>30</v>
      </c>
      <c r="K104">
        <v>25</v>
      </c>
      <c r="L104">
        <v>193.96132701299999</v>
      </c>
      <c r="M104">
        <v>266998.26627000002</v>
      </c>
      <c r="O104" s="1" t="s">
        <v>245</v>
      </c>
      <c r="P104" t="s">
        <v>246</v>
      </c>
    </row>
    <row r="105" spans="2:16" x14ac:dyDescent="0.25">
      <c r="B105">
        <v>104</v>
      </c>
      <c r="C105" s="1" t="s">
        <v>2279</v>
      </c>
      <c r="D105" s="1" t="s">
        <v>507</v>
      </c>
      <c r="E105" s="1" t="s">
        <v>2058</v>
      </c>
      <c r="F105" s="1" t="s">
        <v>342</v>
      </c>
      <c r="G105">
        <v>2</v>
      </c>
      <c r="H105" s="1" t="s">
        <v>244</v>
      </c>
      <c r="I105">
        <v>50</v>
      </c>
      <c r="J105">
        <v>30</v>
      </c>
      <c r="K105">
        <v>25</v>
      </c>
      <c r="L105">
        <v>193.96132701299999</v>
      </c>
      <c r="M105">
        <v>266998.26627000002</v>
      </c>
      <c r="O105" s="1" t="s">
        <v>245</v>
      </c>
      <c r="P105" t="s">
        <v>246</v>
      </c>
    </row>
    <row r="106" spans="2:16" x14ac:dyDescent="0.25">
      <c r="B106">
        <v>105</v>
      </c>
      <c r="C106" s="1" t="s">
        <v>2280</v>
      </c>
      <c r="D106" s="1" t="s">
        <v>507</v>
      </c>
      <c r="E106" s="1" t="s">
        <v>2058</v>
      </c>
      <c r="F106" s="1" t="s">
        <v>342</v>
      </c>
      <c r="G106">
        <v>2</v>
      </c>
      <c r="H106" s="1" t="s">
        <v>244</v>
      </c>
      <c r="I106">
        <v>50</v>
      </c>
      <c r="J106">
        <v>30</v>
      </c>
      <c r="K106">
        <v>25</v>
      </c>
      <c r="L106">
        <v>193.96132701299999</v>
      </c>
      <c r="M106">
        <v>266998.26627000002</v>
      </c>
      <c r="O106" s="1" t="s">
        <v>245</v>
      </c>
      <c r="P106" t="s">
        <v>246</v>
      </c>
    </row>
    <row r="107" spans="2:16" x14ac:dyDescent="0.25">
      <c r="B107">
        <v>106</v>
      </c>
      <c r="C107" s="1" t="s">
        <v>2281</v>
      </c>
      <c r="D107" s="1" t="s">
        <v>507</v>
      </c>
      <c r="E107" s="1" t="s">
        <v>2058</v>
      </c>
      <c r="F107" s="1" t="s">
        <v>342</v>
      </c>
      <c r="G107">
        <v>2</v>
      </c>
      <c r="H107" s="1" t="s">
        <v>244</v>
      </c>
      <c r="I107">
        <v>50</v>
      </c>
      <c r="J107">
        <v>30</v>
      </c>
      <c r="K107">
        <v>25</v>
      </c>
      <c r="L107">
        <v>193.96132701299999</v>
      </c>
      <c r="M107">
        <v>266998.26627000002</v>
      </c>
      <c r="O107" s="1" t="s">
        <v>245</v>
      </c>
      <c r="P107" t="s">
        <v>246</v>
      </c>
    </row>
    <row r="108" spans="2:16" x14ac:dyDescent="0.25">
      <c r="B108">
        <v>107</v>
      </c>
      <c r="C108" s="1" t="s">
        <v>2282</v>
      </c>
      <c r="D108" s="1" t="s">
        <v>507</v>
      </c>
      <c r="E108" s="1" t="s">
        <v>2058</v>
      </c>
      <c r="F108" s="1" t="s">
        <v>342</v>
      </c>
      <c r="G108">
        <v>2</v>
      </c>
      <c r="H108" s="1" t="s">
        <v>244</v>
      </c>
      <c r="I108">
        <v>50</v>
      </c>
      <c r="J108">
        <v>30</v>
      </c>
      <c r="K108">
        <v>25</v>
      </c>
      <c r="L108">
        <v>193.96132701299999</v>
      </c>
      <c r="M108">
        <v>266998.26627000002</v>
      </c>
      <c r="O108" s="1" t="s">
        <v>245</v>
      </c>
      <c r="P108" t="s">
        <v>246</v>
      </c>
    </row>
    <row r="109" spans="2:16" x14ac:dyDescent="0.25">
      <c r="B109">
        <v>108</v>
      </c>
      <c r="C109" s="1" t="s">
        <v>2283</v>
      </c>
      <c r="D109" s="1" t="s">
        <v>507</v>
      </c>
      <c r="E109" s="1" t="s">
        <v>2058</v>
      </c>
      <c r="F109" s="1" t="s">
        <v>342</v>
      </c>
      <c r="G109">
        <v>2</v>
      </c>
      <c r="H109" s="1" t="s">
        <v>244</v>
      </c>
      <c r="I109">
        <v>50</v>
      </c>
      <c r="J109">
        <v>30</v>
      </c>
      <c r="K109">
        <v>25</v>
      </c>
      <c r="L109">
        <v>193.96132701299999</v>
      </c>
      <c r="M109">
        <v>266998.26627099997</v>
      </c>
      <c r="O109" s="1" t="s">
        <v>245</v>
      </c>
      <c r="P109" t="s">
        <v>246</v>
      </c>
    </row>
    <row r="110" spans="2:16" x14ac:dyDescent="0.25">
      <c r="B110">
        <v>109</v>
      </c>
      <c r="C110" s="1" t="s">
        <v>2284</v>
      </c>
      <c r="D110" s="1" t="s">
        <v>507</v>
      </c>
      <c r="E110" s="1" t="s">
        <v>2058</v>
      </c>
      <c r="F110" s="1" t="s">
        <v>342</v>
      </c>
      <c r="G110">
        <v>2</v>
      </c>
      <c r="H110" s="1" t="s">
        <v>244</v>
      </c>
      <c r="I110">
        <v>50</v>
      </c>
      <c r="J110">
        <v>30</v>
      </c>
      <c r="K110">
        <v>25</v>
      </c>
      <c r="L110">
        <v>193.96132701299999</v>
      </c>
      <c r="M110">
        <v>266998.26627000002</v>
      </c>
      <c r="O110" s="1" t="s">
        <v>245</v>
      </c>
      <c r="P110" t="s">
        <v>246</v>
      </c>
    </row>
    <row r="111" spans="2:16" x14ac:dyDescent="0.25">
      <c r="B111">
        <v>110</v>
      </c>
      <c r="C111" s="1" t="s">
        <v>2285</v>
      </c>
      <c r="D111" s="1" t="s">
        <v>507</v>
      </c>
      <c r="E111" s="1" t="s">
        <v>2058</v>
      </c>
      <c r="F111" s="1" t="s">
        <v>342</v>
      </c>
      <c r="G111">
        <v>2</v>
      </c>
      <c r="H111" s="1" t="s">
        <v>244</v>
      </c>
      <c r="I111">
        <v>50</v>
      </c>
      <c r="J111">
        <v>30</v>
      </c>
      <c r="K111">
        <v>25</v>
      </c>
      <c r="L111">
        <v>193.96132701299999</v>
      </c>
      <c r="M111">
        <v>266998.26627000002</v>
      </c>
      <c r="O111" s="1" t="s">
        <v>245</v>
      </c>
      <c r="P111" t="s">
        <v>246</v>
      </c>
    </row>
    <row r="112" spans="2:16" x14ac:dyDescent="0.25">
      <c r="B112">
        <v>111</v>
      </c>
      <c r="C112" s="1" t="s">
        <v>2286</v>
      </c>
      <c r="D112" s="1" t="s">
        <v>507</v>
      </c>
      <c r="E112" s="1" t="s">
        <v>2058</v>
      </c>
      <c r="F112" s="1" t="s">
        <v>342</v>
      </c>
      <c r="G112">
        <v>2</v>
      </c>
      <c r="H112" s="1" t="s">
        <v>244</v>
      </c>
      <c r="I112">
        <v>50</v>
      </c>
      <c r="J112">
        <v>30</v>
      </c>
      <c r="K112">
        <v>25</v>
      </c>
      <c r="L112">
        <v>193.96132701299999</v>
      </c>
      <c r="M112">
        <v>266998.26627000002</v>
      </c>
      <c r="O112" s="1" t="s">
        <v>245</v>
      </c>
      <c r="P112" t="s">
        <v>246</v>
      </c>
    </row>
    <row r="113" spans="2:16" x14ac:dyDescent="0.25">
      <c r="B113">
        <v>112</v>
      </c>
      <c r="C113" s="1" t="s">
        <v>2287</v>
      </c>
      <c r="D113" s="1" t="s">
        <v>507</v>
      </c>
      <c r="E113" s="1" t="s">
        <v>2058</v>
      </c>
      <c r="F113" s="1" t="s">
        <v>342</v>
      </c>
      <c r="G113">
        <v>2</v>
      </c>
      <c r="H113" s="1" t="s">
        <v>244</v>
      </c>
      <c r="I113">
        <v>50</v>
      </c>
      <c r="J113">
        <v>30</v>
      </c>
      <c r="K113">
        <v>25</v>
      </c>
      <c r="L113">
        <v>193.96132701299999</v>
      </c>
      <c r="M113">
        <v>266998.26627000002</v>
      </c>
      <c r="O113" s="1" t="s">
        <v>245</v>
      </c>
      <c r="P113" t="s">
        <v>246</v>
      </c>
    </row>
    <row r="114" spans="2:16" x14ac:dyDescent="0.25">
      <c r="B114">
        <v>113</v>
      </c>
      <c r="C114" s="1" t="s">
        <v>2288</v>
      </c>
      <c r="D114" s="1" t="s">
        <v>507</v>
      </c>
      <c r="E114" s="1" t="s">
        <v>2058</v>
      </c>
      <c r="F114" s="1" t="s">
        <v>342</v>
      </c>
      <c r="G114">
        <v>2</v>
      </c>
      <c r="H114" s="1" t="s">
        <v>244</v>
      </c>
      <c r="I114">
        <v>50</v>
      </c>
      <c r="J114">
        <v>30</v>
      </c>
      <c r="K114">
        <v>25</v>
      </c>
      <c r="L114">
        <v>193.96132701299999</v>
      </c>
      <c r="M114">
        <v>266998.26627000002</v>
      </c>
      <c r="O114" s="1" t="s">
        <v>245</v>
      </c>
      <c r="P114" t="s">
        <v>246</v>
      </c>
    </row>
    <row r="115" spans="2:16" x14ac:dyDescent="0.25">
      <c r="B115">
        <v>114</v>
      </c>
      <c r="C115" s="1" t="s">
        <v>2289</v>
      </c>
      <c r="D115" s="1" t="s">
        <v>507</v>
      </c>
      <c r="E115" s="1" t="s">
        <v>2058</v>
      </c>
      <c r="F115" s="1" t="s">
        <v>342</v>
      </c>
      <c r="G115">
        <v>2</v>
      </c>
      <c r="H115" s="1" t="s">
        <v>244</v>
      </c>
      <c r="I115">
        <v>50</v>
      </c>
      <c r="J115">
        <v>30</v>
      </c>
      <c r="K115">
        <v>25</v>
      </c>
      <c r="L115">
        <v>193.96132701299999</v>
      </c>
      <c r="M115">
        <v>266998.26627000002</v>
      </c>
      <c r="O115" s="1" t="s">
        <v>245</v>
      </c>
      <c r="P115" t="s">
        <v>246</v>
      </c>
    </row>
    <row r="116" spans="2:16" x14ac:dyDescent="0.25">
      <c r="B116">
        <v>115</v>
      </c>
      <c r="C116" s="1" t="s">
        <v>2290</v>
      </c>
      <c r="D116" s="1" t="s">
        <v>507</v>
      </c>
      <c r="E116" s="1" t="s">
        <v>2058</v>
      </c>
      <c r="F116" s="1" t="s">
        <v>342</v>
      </c>
      <c r="G116">
        <v>2</v>
      </c>
      <c r="H116" s="1" t="s">
        <v>244</v>
      </c>
      <c r="I116">
        <v>50</v>
      </c>
      <c r="J116">
        <v>30</v>
      </c>
      <c r="K116">
        <v>25</v>
      </c>
      <c r="L116">
        <v>193.96132701299999</v>
      </c>
      <c r="M116">
        <v>266998.26627000002</v>
      </c>
      <c r="O116" s="1" t="s">
        <v>245</v>
      </c>
      <c r="P116" t="s">
        <v>246</v>
      </c>
    </row>
    <row r="117" spans="2:16" x14ac:dyDescent="0.25">
      <c r="B117">
        <v>116</v>
      </c>
      <c r="C117" s="1" t="s">
        <v>2291</v>
      </c>
      <c r="D117" s="1" t="s">
        <v>507</v>
      </c>
      <c r="E117" s="1" t="s">
        <v>2058</v>
      </c>
      <c r="F117" s="1" t="s">
        <v>342</v>
      </c>
      <c r="G117">
        <v>2</v>
      </c>
      <c r="H117" s="1" t="s">
        <v>244</v>
      </c>
      <c r="I117">
        <v>50</v>
      </c>
      <c r="J117">
        <v>30</v>
      </c>
      <c r="K117">
        <v>25</v>
      </c>
      <c r="L117">
        <v>193.96132701299999</v>
      </c>
      <c r="M117">
        <v>266998.26627000002</v>
      </c>
      <c r="O117" s="1" t="s">
        <v>245</v>
      </c>
      <c r="P117" t="s">
        <v>246</v>
      </c>
    </row>
    <row r="118" spans="2:16" x14ac:dyDescent="0.25">
      <c r="B118">
        <v>117</v>
      </c>
      <c r="C118" s="1" t="s">
        <v>2292</v>
      </c>
      <c r="D118" s="1" t="s">
        <v>507</v>
      </c>
      <c r="E118" s="1" t="s">
        <v>2058</v>
      </c>
      <c r="F118" s="1" t="s">
        <v>342</v>
      </c>
      <c r="G118">
        <v>2</v>
      </c>
      <c r="H118" s="1" t="s">
        <v>244</v>
      </c>
      <c r="I118">
        <v>50</v>
      </c>
      <c r="J118">
        <v>30</v>
      </c>
      <c r="K118">
        <v>25</v>
      </c>
      <c r="L118">
        <v>193.96132701299999</v>
      </c>
      <c r="M118">
        <v>266998.26627000002</v>
      </c>
      <c r="O118" s="1" t="s">
        <v>245</v>
      </c>
      <c r="P118" t="s">
        <v>246</v>
      </c>
    </row>
    <row r="119" spans="2:16" x14ac:dyDescent="0.25">
      <c r="B119">
        <v>118</v>
      </c>
      <c r="C119" s="1" t="s">
        <v>2293</v>
      </c>
      <c r="D119" s="1" t="s">
        <v>507</v>
      </c>
      <c r="E119" s="1" t="s">
        <v>2058</v>
      </c>
      <c r="F119" s="1" t="s">
        <v>342</v>
      </c>
      <c r="G119">
        <v>2</v>
      </c>
      <c r="H119" s="1" t="s">
        <v>244</v>
      </c>
      <c r="I119">
        <v>50</v>
      </c>
      <c r="J119">
        <v>30</v>
      </c>
      <c r="K119">
        <v>25</v>
      </c>
      <c r="L119">
        <v>193.96132701299999</v>
      </c>
      <c r="M119">
        <v>266998.26627099997</v>
      </c>
      <c r="O119" s="1" t="s">
        <v>245</v>
      </c>
      <c r="P119" t="s">
        <v>246</v>
      </c>
    </row>
    <row r="120" spans="2:16" x14ac:dyDescent="0.25">
      <c r="B120">
        <v>119</v>
      </c>
      <c r="C120" s="1" t="s">
        <v>2294</v>
      </c>
      <c r="D120" s="1" t="s">
        <v>507</v>
      </c>
      <c r="E120" s="1" t="s">
        <v>2058</v>
      </c>
      <c r="F120" s="1" t="s">
        <v>342</v>
      </c>
      <c r="G120">
        <v>2</v>
      </c>
      <c r="H120" s="1" t="s">
        <v>244</v>
      </c>
      <c r="I120">
        <v>50</v>
      </c>
      <c r="J120">
        <v>30</v>
      </c>
      <c r="K120">
        <v>25</v>
      </c>
      <c r="L120">
        <v>193.96132701299999</v>
      </c>
      <c r="M120">
        <v>266998.26627099997</v>
      </c>
      <c r="O120" s="1" t="s">
        <v>245</v>
      </c>
      <c r="P120" t="s">
        <v>246</v>
      </c>
    </row>
    <row r="121" spans="2:16" x14ac:dyDescent="0.25">
      <c r="B121">
        <v>120</v>
      </c>
      <c r="C121" s="1" t="s">
        <v>2295</v>
      </c>
      <c r="D121" s="1" t="s">
        <v>507</v>
      </c>
      <c r="E121" s="1" t="s">
        <v>2058</v>
      </c>
      <c r="F121" s="1" t="s">
        <v>342</v>
      </c>
      <c r="G121">
        <v>2</v>
      </c>
      <c r="H121" s="1" t="s">
        <v>244</v>
      </c>
      <c r="I121">
        <v>50</v>
      </c>
      <c r="J121">
        <v>30</v>
      </c>
      <c r="K121">
        <v>25</v>
      </c>
      <c r="L121">
        <v>193.96132701299999</v>
      </c>
      <c r="M121">
        <v>266998.26627000002</v>
      </c>
      <c r="O121" s="1" t="s">
        <v>245</v>
      </c>
      <c r="P121" t="s">
        <v>246</v>
      </c>
    </row>
    <row r="122" spans="2:16" x14ac:dyDescent="0.25">
      <c r="B122">
        <v>121</v>
      </c>
      <c r="C122" s="1" t="s">
        <v>2266</v>
      </c>
      <c r="D122" s="1" t="s">
        <v>507</v>
      </c>
      <c r="E122" s="1" t="s">
        <v>2058</v>
      </c>
      <c r="F122" s="1" t="s">
        <v>337</v>
      </c>
      <c r="G122">
        <v>2</v>
      </c>
      <c r="H122" s="1" t="s">
        <v>244</v>
      </c>
      <c r="I122">
        <v>50</v>
      </c>
      <c r="J122">
        <v>51</v>
      </c>
      <c r="K122">
        <v>27</v>
      </c>
      <c r="L122">
        <v>817.46477493500004</v>
      </c>
      <c r="M122">
        <v>1595489.6029699999</v>
      </c>
      <c r="O122" s="1" t="s">
        <v>245</v>
      </c>
      <c r="P122" t="s">
        <v>246</v>
      </c>
    </row>
    <row r="123" spans="2:16" x14ac:dyDescent="0.25">
      <c r="B123">
        <v>122</v>
      </c>
      <c r="C123" s="1" t="s">
        <v>2266</v>
      </c>
      <c r="D123" s="1" t="s">
        <v>507</v>
      </c>
      <c r="E123" s="1" t="s">
        <v>2058</v>
      </c>
      <c r="F123" s="1" t="s">
        <v>361</v>
      </c>
      <c r="G123">
        <v>3</v>
      </c>
      <c r="H123" s="1" t="s">
        <v>244</v>
      </c>
      <c r="I123">
        <v>50</v>
      </c>
      <c r="J123">
        <v>51</v>
      </c>
      <c r="K123">
        <v>25</v>
      </c>
      <c r="L123">
        <v>897.54847365800003</v>
      </c>
      <c r="M123">
        <v>1699035.4358699999</v>
      </c>
      <c r="O123" s="1" t="s">
        <v>245</v>
      </c>
      <c r="P123" t="s">
        <v>246</v>
      </c>
    </row>
    <row r="124" spans="2:16" x14ac:dyDescent="0.25">
      <c r="B124">
        <v>123</v>
      </c>
      <c r="C124" s="1" t="s">
        <v>2267</v>
      </c>
      <c r="D124" s="1" t="s">
        <v>507</v>
      </c>
      <c r="E124" s="1" t="s">
        <v>2058</v>
      </c>
      <c r="F124" s="1" t="s">
        <v>337</v>
      </c>
      <c r="G124">
        <v>2</v>
      </c>
      <c r="H124" s="1" t="s">
        <v>244</v>
      </c>
      <c r="I124">
        <v>50</v>
      </c>
      <c r="J124">
        <v>51</v>
      </c>
      <c r="K124">
        <v>27</v>
      </c>
      <c r="L124">
        <v>817.46477493500004</v>
      </c>
      <c r="M124">
        <v>1595489.6029699999</v>
      </c>
      <c r="O124" s="1" t="s">
        <v>245</v>
      </c>
      <c r="P124" t="s">
        <v>246</v>
      </c>
    </row>
    <row r="125" spans="2:16" x14ac:dyDescent="0.25">
      <c r="B125">
        <v>124</v>
      </c>
      <c r="C125" s="1" t="s">
        <v>2267</v>
      </c>
      <c r="D125" s="1" t="s">
        <v>507</v>
      </c>
      <c r="E125" s="1" t="s">
        <v>2058</v>
      </c>
      <c r="F125" s="1" t="s">
        <v>361</v>
      </c>
      <c r="G125">
        <v>3</v>
      </c>
      <c r="H125" s="1" t="s">
        <v>244</v>
      </c>
      <c r="I125">
        <v>50</v>
      </c>
      <c r="J125">
        <v>51</v>
      </c>
      <c r="K125">
        <v>25</v>
      </c>
      <c r="L125">
        <v>897.54847365800003</v>
      </c>
      <c r="M125">
        <v>1699035.4358699999</v>
      </c>
      <c r="O125" s="1" t="s">
        <v>245</v>
      </c>
      <c r="P125" t="s">
        <v>246</v>
      </c>
    </row>
    <row r="126" spans="2:16" x14ac:dyDescent="0.25">
      <c r="B126">
        <v>125</v>
      </c>
      <c r="C126" s="1" t="s">
        <v>2268</v>
      </c>
      <c r="D126" s="1" t="s">
        <v>507</v>
      </c>
      <c r="E126" s="1" t="s">
        <v>2058</v>
      </c>
      <c r="F126" s="1" t="s">
        <v>337</v>
      </c>
      <c r="G126">
        <v>2</v>
      </c>
      <c r="H126" s="1" t="s">
        <v>244</v>
      </c>
      <c r="I126">
        <v>50</v>
      </c>
      <c r="J126">
        <v>51</v>
      </c>
      <c r="K126">
        <v>27</v>
      </c>
      <c r="L126">
        <v>817.46477493400005</v>
      </c>
      <c r="M126">
        <v>1595489.6029699999</v>
      </c>
      <c r="O126" s="1" t="s">
        <v>245</v>
      </c>
      <c r="P126" t="s">
        <v>246</v>
      </c>
    </row>
    <row r="127" spans="2:16" x14ac:dyDescent="0.25">
      <c r="B127">
        <v>126</v>
      </c>
      <c r="C127" s="1" t="s">
        <v>2268</v>
      </c>
      <c r="D127" s="1" t="s">
        <v>507</v>
      </c>
      <c r="E127" s="1" t="s">
        <v>2058</v>
      </c>
      <c r="F127" s="1" t="s">
        <v>361</v>
      </c>
      <c r="G127">
        <v>3</v>
      </c>
      <c r="H127" s="1" t="s">
        <v>244</v>
      </c>
      <c r="I127">
        <v>50</v>
      </c>
      <c r="J127">
        <v>51</v>
      </c>
      <c r="K127">
        <v>25</v>
      </c>
      <c r="L127">
        <v>897.54847365800003</v>
      </c>
      <c r="M127">
        <v>1699035.4358699999</v>
      </c>
      <c r="O127" s="1" t="s">
        <v>245</v>
      </c>
      <c r="P127" t="s">
        <v>246</v>
      </c>
    </row>
    <row r="128" spans="2:16" x14ac:dyDescent="0.25">
      <c r="B128">
        <v>127</v>
      </c>
      <c r="C128" s="1" t="s">
        <v>2269</v>
      </c>
      <c r="D128" s="1" t="s">
        <v>507</v>
      </c>
      <c r="E128" s="1" t="s">
        <v>2058</v>
      </c>
      <c r="F128" s="1" t="s">
        <v>337</v>
      </c>
      <c r="G128">
        <v>2</v>
      </c>
      <c r="H128" s="1" t="s">
        <v>244</v>
      </c>
      <c r="I128">
        <v>50</v>
      </c>
      <c r="J128">
        <v>51</v>
      </c>
      <c r="K128">
        <v>27</v>
      </c>
      <c r="L128">
        <v>817.46477493400005</v>
      </c>
      <c r="M128">
        <v>1595489.6029699999</v>
      </c>
      <c r="O128" s="1" t="s">
        <v>245</v>
      </c>
      <c r="P128" t="s">
        <v>246</v>
      </c>
    </row>
    <row r="129" spans="2:16" x14ac:dyDescent="0.25">
      <c r="B129">
        <v>128</v>
      </c>
      <c r="C129" s="1" t="s">
        <v>2269</v>
      </c>
      <c r="D129" s="1" t="s">
        <v>507</v>
      </c>
      <c r="E129" s="1" t="s">
        <v>2058</v>
      </c>
      <c r="F129" s="1" t="s">
        <v>361</v>
      </c>
      <c r="G129">
        <v>3</v>
      </c>
      <c r="H129" s="1" t="s">
        <v>244</v>
      </c>
      <c r="I129">
        <v>50</v>
      </c>
      <c r="J129">
        <v>51</v>
      </c>
      <c r="K129">
        <v>25</v>
      </c>
      <c r="L129">
        <v>897.54847365800003</v>
      </c>
      <c r="M129">
        <v>1699035.4358699999</v>
      </c>
      <c r="O129" s="1" t="s">
        <v>245</v>
      </c>
      <c r="P129" t="s">
        <v>246</v>
      </c>
    </row>
    <row r="130" spans="2:16" x14ac:dyDescent="0.25">
      <c r="B130">
        <v>129</v>
      </c>
      <c r="C130" s="1" t="s">
        <v>2270</v>
      </c>
      <c r="D130" s="1" t="s">
        <v>507</v>
      </c>
      <c r="E130" s="1" t="s">
        <v>2058</v>
      </c>
      <c r="F130" s="1" t="s">
        <v>337</v>
      </c>
      <c r="G130">
        <v>2</v>
      </c>
      <c r="H130" s="1" t="s">
        <v>244</v>
      </c>
      <c r="I130">
        <v>50</v>
      </c>
      <c r="J130">
        <v>51</v>
      </c>
      <c r="K130">
        <v>27</v>
      </c>
      <c r="L130">
        <v>817.46477493400005</v>
      </c>
      <c r="M130">
        <v>1595489.6029699999</v>
      </c>
      <c r="O130" s="1" t="s">
        <v>245</v>
      </c>
      <c r="P130" t="s">
        <v>246</v>
      </c>
    </row>
    <row r="131" spans="2:16" x14ac:dyDescent="0.25">
      <c r="B131">
        <v>130</v>
      </c>
      <c r="C131" s="1" t="s">
        <v>2270</v>
      </c>
      <c r="D131" s="1" t="s">
        <v>507</v>
      </c>
      <c r="E131" s="1" t="s">
        <v>2058</v>
      </c>
      <c r="F131" s="1" t="s">
        <v>361</v>
      </c>
      <c r="G131">
        <v>3</v>
      </c>
      <c r="H131" s="1" t="s">
        <v>244</v>
      </c>
      <c r="I131">
        <v>50</v>
      </c>
      <c r="J131">
        <v>51</v>
      </c>
      <c r="K131">
        <v>25</v>
      </c>
      <c r="L131">
        <v>897.54847365800003</v>
      </c>
      <c r="M131">
        <v>1699035.4358600001</v>
      </c>
      <c r="O131" s="1" t="s">
        <v>245</v>
      </c>
      <c r="P131" t="s">
        <v>246</v>
      </c>
    </row>
    <row r="132" spans="2:16" x14ac:dyDescent="0.25">
      <c r="B132">
        <v>131</v>
      </c>
      <c r="C132" s="1" t="s">
        <v>2271</v>
      </c>
      <c r="D132" s="1" t="s">
        <v>507</v>
      </c>
      <c r="E132" s="1" t="s">
        <v>2058</v>
      </c>
      <c r="F132" s="1" t="s">
        <v>337</v>
      </c>
      <c r="G132">
        <v>2</v>
      </c>
      <c r="H132" s="1" t="s">
        <v>244</v>
      </c>
      <c r="I132">
        <v>50</v>
      </c>
      <c r="J132">
        <v>51</v>
      </c>
      <c r="K132">
        <v>27</v>
      </c>
      <c r="L132">
        <v>817.46477493400005</v>
      </c>
      <c r="M132">
        <v>1595489.6029699999</v>
      </c>
      <c r="O132" s="1" t="s">
        <v>245</v>
      </c>
      <c r="P132" t="s">
        <v>246</v>
      </c>
    </row>
    <row r="133" spans="2:16" x14ac:dyDescent="0.25">
      <c r="B133">
        <v>132</v>
      </c>
      <c r="C133" s="1" t="s">
        <v>2271</v>
      </c>
      <c r="D133" s="1" t="s">
        <v>507</v>
      </c>
      <c r="E133" s="1" t="s">
        <v>2058</v>
      </c>
      <c r="F133" s="1" t="s">
        <v>361</v>
      </c>
      <c r="G133">
        <v>3</v>
      </c>
      <c r="H133" s="1" t="s">
        <v>244</v>
      </c>
      <c r="I133">
        <v>50</v>
      </c>
      <c r="J133">
        <v>51</v>
      </c>
      <c r="K133">
        <v>25</v>
      </c>
      <c r="L133">
        <v>897.54847365800003</v>
      </c>
      <c r="M133">
        <v>1699035.4358699999</v>
      </c>
      <c r="O133" s="1" t="s">
        <v>245</v>
      </c>
      <c r="P133" t="s">
        <v>246</v>
      </c>
    </row>
    <row r="134" spans="2:16" x14ac:dyDescent="0.25">
      <c r="B134">
        <v>133</v>
      </c>
      <c r="C134" s="1" t="s">
        <v>2272</v>
      </c>
      <c r="D134" s="1" t="s">
        <v>507</v>
      </c>
      <c r="E134" s="1" t="s">
        <v>2058</v>
      </c>
      <c r="F134" s="1" t="s">
        <v>337</v>
      </c>
      <c r="G134">
        <v>2</v>
      </c>
      <c r="H134" s="1" t="s">
        <v>244</v>
      </c>
      <c r="I134">
        <v>50</v>
      </c>
      <c r="J134">
        <v>51</v>
      </c>
      <c r="K134">
        <v>27</v>
      </c>
      <c r="L134">
        <v>817.46477493400005</v>
      </c>
      <c r="M134">
        <v>1595489.6029699999</v>
      </c>
      <c r="O134" s="1" t="s">
        <v>245</v>
      </c>
      <c r="P134" t="s">
        <v>246</v>
      </c>
    </row>
    <row r="135" spans="2:16" x14ac:dyDescent="0.25">
      <c r="B135">
        <v>134</v>
      </c>
      <c r="C135" s="1" t="s">
        <v>2272</v>
      </c>
      <c r="D135" s="1" t="s">
        <v>507</v>
      </c>
      <c r="E135" s="1" t="s">
        <v>2058</v>
      </c>
      <c r="F135" s="1" t="s">
        <v>361</v>
      </c>
      <c r="G135">
        <v>3</v>
      </c>
      <c r="H135" s="1" t="s">
        <v>244</v>
      </c>
      <c r="I135">
        <v>50</v>
      </c>
      <c r="J135">
        <v>51</v>
      </c>
      <c r="K135">
        <v>25</v>
      </c>
      <c r="L135">
        <v>897.54847365800003</v>
      </c>
      <c r="M135">
        <v>1699035.4358600001</v>
      </c>
      <c r="O135" s="1" t="s">
        <v>245</v>
      </c>
      <c r="P135" t="s">
        <v>246</v>
      </c>
    </row>
    <row r="136" spans="2:16" x14ac:dyDescent="0.25">
      <c r="B136">
        <v>135</v>
      </c>
      <c r="C136" s="1" t="s">
        <v>2273</v>
      </c>
      <c r="D136" s="1" t="s">
        <v>507</v>
      </c>
      <c r="E136" s="1" t="s">
        <v>2058</v>
      </c>
      <c r="F136" s="1" t="s">
        <v>337</v>
      </c>
      <c r="G136">
        <v>2</v>
      </c>
      <c r="H136" s="1" t="s">
        <v>244</v>
      </c>
      <c r="I136">
        <v>50</v>
      </c>
      <c r="J136">
        <v>51</v>
      </c>
      <c r="K136">
        <v>27</v>
      </c>
      <c r="L136">
        <v>817.46477493400005</v>
      </c>
      <c r="M136">
        <v>1595489.6029699999</v>
      </c>
      <c r="O136" s="1" t="s">
        <v>245</v>
      </c>
      <c r="P136" t="s">
        <v>246</v>
      </c>
    </row>
    <row r="137" spans="2:16" x14ac:dyDescent="0.25">
      <c r="B137">
        <v>136</v>
      </c>
      <c r="C137" s="1" t="s">
        <v>2273</v>
      </c>
      <c r="D137" s="1" t="s">
        <v>507</v>
      </c>
      <c r="E137" s="1" t="s">
        <v>2058</v>
      </c>
      <c r="F137" s="1" t="s">
        <v>361</v>
      </c>
      <c r="G137">
        <v>3</v>
      </c>
      <c r="H137" s="1" t="s">
        <v>244</v>
      </c>
      <c r="I137">
        <v>50</v>
      </c>
      <c r="J137">
        <v>51</v>
      </c>
      <c r="K137">
        <v>25</v>
      </c>
      <c r="L137">
        <v>897.54847365800003</v>
      </c>
      <c r="M137">
        <v>1699035.4358699999</v>
      </c>
      <c r="O137" s="1" t="s">
        <v>245</v>
      </c>
      <c r="P137" t="s">
        <v>246</v>
      </c>
    </row>
    <row r="138" spans="2:16" x14ac:dyDescent="0.25">
      <c r="B138">
        <v>137</v>
      </c>
      <c r="C138" s="1" t="s">
        <v>2274</v>
      </c>
      <c r="D138" s="1" t="s">
        <v>507</v>
      </c>
      <c r="E138" s="1" t="s">
        <v>2058</v>
      </c>
      <c r="F138" s="1" t="s">
        <v>337</v>
      </c>
      <c r="G138">
        <v>2</v>
      </c>
      <c r="H138" s="1" t="s">
        <v>244</v>
      </c>
      <c r="I138">
        <v>50</v>
      </c>
      <c r="J138">
        <v>51</v>
      </c>
      <c r="K138">
        <v>27</v>
      </c>
      <c r="L138">
        <v>817.46477493400005</v>
      </c>
      <c r="M138">
        <v>1595489.6029699999</v>
      </c>
      <c r="O138" s="1" t="s">
        <v>245</v>
      </c>
      <c r="P138" t="s">
        <v>246</v>
      </c>
    </row>
    <row r="139" spans="2:16" x14ac:dyDescent="0.25">
      <c r="B139">
        <v>138</v>
      </c>
      <c r="C139" s="1" t="s">
        <v>2274</v>
      </c>
      <c r="D139" s="1" t="s">
        <v>507</v>
      </c>
      <c r="E139" s="1" t="s">
        <v>2058</v>
      </c>
      <c r="F139" s="1" t="s">
        <v>361</v>
      </c>
      <c r="G139">
        <v>3</v>
      </c>
      <c r="H139" s="1" t="s">
        <v>244</v>
      </c>
      <c r="I139">
        <v>50</v>
      </c>
      <c r="J139">
        <v>51</v>
      </c>
      <c r="K139">
        <v>25</v>
      </c>
      <c r="L139">
        <v>897.54847365800003</v>
      </c>
      <c r="M139">
        <v>1699035.4358600001</v>
      </c>
      <c r="O139" s="1" t="s">
        <v>245</v>
      </c>
      <c r="P139" t="s">
        <v>246</v>
      </c>
    </row>
    <row r="140" spans="2:16" x14ac:dyDescent="0.25">
      <c r="B140">
        <v>139</v>
      </c>
      <c r="C140" s="1" t="s">
        <v>2275</v>
      </c>
      <c r="D140" s="1" t="s">
        <v>507</v>
      </c>
      <c r="E140" s="1" t="s">
        <v>2058</v>
      </c>
      <c r="F140" s="1" t="s">
        <v>337</v>
      </c>
      <c r="G140">
        <v>2</v>
      </c>
      <c r="H140" s="1" t="s">
        <v>244</v>
      </c>
      <c r="I140">
        <v>50</v>
      </c>
      <c r="J140">
        <v>51</v>
      </c>
      <c r="K140">
        <v>27</v>
      </c>
      <c r="L140">
        <v>817.46477493400005</v>
      </c>
      <c r="M140">
        <v>1595489.6029699999</v>
      </c>
      <c r="O140" s="1" t="s">
        <v>245</v>
      </c>
      <c r="P140" t="s">
        <v>246</v>
      </c>
    </row>
    <row r="141" spans="2:16" x14ac:dyDescent="0.25">
      <c r="B141">
        <v>140</v>
      </c>
      <c r="C141" s="1" t="s">
        <v>2275</v>
      </c>
      <c r="D141" s="1" t="s">
        <v>507</v>
      </c>
      <c r="E141" s="1" t="s">
        <v>2058</v>
      </c>
      <c r="F141" s="1" t="s">
        <v>361</v>
      </c>
      <c r="G141">
        <v>3</v>
      </c>
      <c r="H141" s="1" t="s">
        <v>244</v>
      </c>
      <c r="I141">
        <v>50</v>
      </c>
      <c r="J141">
        <v>51</v>
      </c>
      <c r="K141">
        <v>25</v>
      </c>
      <c r="L141">
        <v>897.54847365800003</v>
      </c>
      <c r="M141">
        <v>1699035.4358699999</v>
      </c>
      <c r="O141" s="1" t="s">
        <v>245</v>
      </c>
      <c r="P141" t="s">
        <v>246</v>
      </c>
    </row>
    <row r="142" spans="2:16" x14ac:dyDescent="0.25">
      <c r="B142">
        <v>141</v>
      </c>
      <c r="C142" s="1" t="s">
        <v>2276</v>
      </c>
      <c r="D142" s="1" t="s">
        <v>507</v>
      </c>
      <c r="E142" s="1" t="s">
        <v>2058</v>
      </c>
      <c r="F142" s="1" t="s">
        <v>337</v>
      </c>
      <c r="G142">
        <v>2</v>
      </c>
      <c r="H142" s="1" t="s">
        <v>244</v>
      </c>
      <c r="I142">
        <v>50</v>
      </c>
      <c r="J142">
        <v>51</v>
      </c>
      <c r="K142">
        <v>27</v>
      </c>
      <c r="L142">
        <v>817.46477493500004</v>
      </c>
      <c r="M142">
        <v>1595489.6029699999</v>
      </c>
      <c r="O142" s="1" t="s">
        <v>245</v>
      </c>
      <c r="P142" t="s">
        <v>246</v>
      </c>
    </row>
    <row r="143" spans="2:16" x14ac:dyDescent="0.25">
      <c r="B143">
        <v>142</v>
      </c>
      <c r="C143" s="1" t="s">
        <v>2276</v>
      </c>
      <c r="D143" s="1" t="s">
        <v>507</v>
      </c>
      <c r="E143" s="1" t="s">
        <v>2058</v>
      </c>
      <c r="F143" s="1" t="s">
        <v>361</v>
      </c>
      <c r="G143">
        <v>3</v>
      </c>
      <c r="H143" s="1" t="s">
        <v>244</v>
      </c>
      <c r="I143">
        <v>50</v>
      </c>
      <c r="J143">
        <v>51</v>
      </c>
      <c r="K143">
        <v>25</v>
      </c>
      <c r="L143">
        <v>897.54847365800003</v>
      </c>
      <c r="M143">
        <v>1699035.4358699999</v>
      </c>
      <c r="O143" s="1" t="s">
        <v>245</v>
      </c>
      <c r="P143" t="s">
        <v>246</v>
      </c>
    </row>
    <row r="144" spans="2:16" x14ac:dyDescent="0.25">
      <c r="B144">
        <v>143</v>
      </c>
      <c r="C144" s="1" t="s">
        <v>2277</v>
      </c>
      <c r="D144" s="1" t="s">
        <v>507</v>
      </c>
      <c r="E144" s="1" t="s">
        <v>2058</v>
      </c>
      <c r="F144" s="1" t="s">
        <v>337</v>
      </c>
      <c r="G144">
        <v>2</v>
      </c>
      <c r="H144" s="1" t="s">
        <v>244</v>
      </c>
      <c r="I144">
        <v>50</v>
      </c>
      <c r="J144">
        <v>51</v>
      </c>
      <c r="K144">
        <v>27</v>
      </c>
      <c r="L144">
        <v>817.46477493500004</v>
      </c>
      <c r="M144">
        <v>1595489.6029699999</v>
      </c>
      <c r="O144" s="1" t="s">
        <v>245</v>
      </c>
      <c r="P144" t="s">
        <v>246</v>
      </c>
    </row>
    <row r="145" spans="2:16" x14ac:dyDescent="0.25">
      <c r="B145">
        <v>144</v>
      </c>
      <c r="C145" s="1" t="s">
        <v>2277</v>
      </c>
      <c r="D145" s="1" t="s">
        <v>507</v>
      </c>
      <c r="E145" s="1" t="s">
        <v>2058</v>
      </c>
      <c r="F145" s="1" t="s">
        <v>361</v>
      </c>
      <c r="G145">
        <v>3</v>
      </c>
      <c r="H145" s="1" t="s">
        <v>244</v>
      </c>
      <c r="I145">
        <v>50</v>
      </c>
      <c r="J145">
        <v>51</v>
      </c>
      <c r="K145">
        <v>25</v>
      </c>
      <c r="L145">
        <v>897.54847365800003</v>
      </c>
      <c r="M145">
        <v>1699035.4358699999</v>
      </c>
      <c r="O145" s="1" t="s">
        <v>245</v>
      </c>
      <c r="P145" t="s">
        <v>246</v>
      </c>
    </row>
    <row r="146" spans="2:16" x14ac:dyDescent="0.25">
      <c r="B146">
        <v>145</v>
      </c>
      <c r="C146" s="1" t="s">
        <v>2278</v>
      </c>
      <c r="D146" s="1" t="s">
        <v>507</v>
      </c>
      <c r="E146" s="1" t="s">
        <v>2058</v>
      </c>
      <c r="F146" s="1" t="s">
        <v>337</v>
      </c>
      <c r="G146">
        <v>2</v>
      </c>
      <c r="H146" s="1" t="s">
        <v>244</v>
      </c>
      <c r="I146">
        <v>50</v>
      </c>
      <c r="J146">
        <v>51</v>
      </c>
      <c r="K146">
        <v>27</v>
      </c>
      <c r="L146">
        <v>817.46477493400005</v>
      </c>
      <c r="M146">
        <v>1595489.6029699999</v>
      </c>
      <c r="O146" s="1" t="s">
        <v>245</v>
      </c>
      <c r="P146" t="s">
        <v>246</v>
      </c>
    </row>
    <row r="147" spans="2:16" x14ac:dyDescent="0.25">
      <c r="B147">
        <v>146</v>
      </c>
      <c r="C147" s="1" t="s">
        <v>2278</v>
      </c>
      <c r="D147" s="1" t="s">
        <v>507</v>
      </c>
      <c r="E147" s="1" t="s">
        <v>2058</v>
      </c>
      <c r="F147" s="1" t="s">
        <v>361</v>
      </c>
      <c r="G147">
        <v>3</v>
      </c>
      <c r="H147" s="1" t="s">
        <v>244</v>
      </c>
      <c r="I147">
        <v>50</v>
      </c>
      <c r="J147">
        <v>51</v>
      </c>
      <c r="K147">
        <v>25</v>
      </c>
      <c r="L147">
        <v>897.54847365800003</v>
      </c>
      <c r="M147">
        <v>1699035.4358699999</v>
      </c>
      <c r="O147" s="1" t="s">
        <v>245</v>
      </c>
      <c r="P147" t="s">
        <v>246</v>
      </c>
    </row>
    <row r="148" spans="2:16" x14ac:dyDescent="0.25">
      <c r="B148">
        <v>147</v>
      </c>
      <c r="C148" s="1" t="s">
        <v>2279</v>
      </c>
      <c r="D148" s="1" t="s">
        <v>507</v>
      </c>
      <c r="E148" s="1" t="s">
        <v>2058</v>
      </c>
      <c r="F148" s="1" t="s">
        <v>337</v>
      </c>
      <c r="G148">
        <v>2</v>
      </c>
      <c r="H148" s="1" t="s">
        <v>244</v>
      </c>
      <c r="I148">
        <v>50</v>
      </c>
      <c r="J148">
        <v>51</v>
      </c>
      <c r="K148">
        <v>27</v>
      </c>
      <c r="L148">
        <v>817.46477493400005</v>
      </c>
      <c r="M148">
        <v>1595489.6029699999</v>
      </c>
      <c r="O148" s="1" t="s">
        <v>245</v>
      </c>
      <c r="P148" t="s">
        <v>246</v>
      </c>
    </row>
    <row r="149" spans="2:16" x14ac:dyDescent="0.25">
      <c r="B149">
        <v>148</v>
      </c>
      <c r="C149" s="1" t="s">
        <v>2279</v>
      </c>
      <c r="D149" s="1" t="s">
        <v>507</v>
      </c>
      <c r="E149" s="1" t="s">
        <v>2058</v>
      </c>
      <c r="F149" s="1" t="s">
        <v>361</v>
      </c>
      <c r="G149">
        <v>3</v>
      </c>
      <c r="H149" s="1" t="s">
        <v>244</v>
      </c>
      <c r="I149">
        <v>50</v>
      </c>
      <c r="J149">
        <v>51</v>
      </c>
      <c r="K149">
        <v>25</v>
      </c>
      <c r="L149">
        <v>897.54847365800003</v>
      </c>
      <c r="M149">
        <v>1699035.4358699999</v>
      </c>
      <c r="O149" s="1" t="s">
        <v>245</v>
      </c>
      <c r="P149" t="s">
        <v>246</v>
      </c>
    </row>
    <row r="150" spans="2:16" x14ac:dyDescent="0.25">
      <c r="B150">
        <v>149</v>
      </c>
      <c r="C150" s="1" t="s">
        <v>2280</v>
      </c>
      <c r="D150" s="1" t="s">
        <v>507</v>
      </c>
      <c r="E150" s="1" t="s">
        <v>2058</v>
      </c>
      <c r="F150" s="1" t="s">
        <v>337</v>
      </c>
      <c r="G150">
        <v>2</v>
      </c>
      <c r="H150" s="1" t="s">
        <v>244</v>
      </c>
      <c r="I150">
        <v>50</v>
      </c>
      <c r="J150">
        <v>51</v>
      </c>
      <c r="K150">
        <v>27</v>
      </c>
      <c r="L150">
        <v>817.46477493400005</v>
      </c>
      <c r="M150">
        <v>1595489.6029699999</v>
      </c>
      <c r="O150" s="1" t="s">
        <v>245</v>
      </c>
      <c r="P150" t="s">
        <v>246</v>
      </c>
    </row>
    <row r="151" spans="2:16" x14ac:dyDescent="0.25">
      <c r="B151">
        <v>150</v>
      </c>
      <c r="C151" s="1" t="s">
        <v>2280</v>
      </c>
      <c r="D151" s="1" t="s">
        <v>507</v>
      </c>
      <c r="E151" s="1" t="s">
        <v>2058</v>
      </c>
      <c r="F151" s="1" t="s">
        <v>361</v>
      </c>
      <c r="G151">
        <v>3</v>
      </c>
      <c r="H151" s="1" t="s">
        <v>244</v>
      </c>
      <c r="I151">
        <v>50</v>
      </c>
      <c r="J151">
        <v>51</v>
      </c>
      <c r="K151">
        <v>25</v>
      </c>
      <c r="L151">
        <v>897.54847365800003</v>
      </c>
      <c r="M151">
        <v>1699035.4358600001</v>
      </c>
      <c r="O151" s="1" t="s">
        <v>245</v>
      </c>
      <c r="P151" t="s">
        <v>246</v>
      </c>
    </row>
    <row r="152" spans="2:16" x14ac:dyDescent="0.25">
      <c r="B152">
        <v>151</v>
      </c>
      <c r="C152" s="1" t="s">
        <v>2281</v>
      </c>
      <c r="D152" s="1" t="s">
        <v>507</v>
      </c>
      <c r="E152" s="1" t="s">
        <v>2058</v>
      </c>
      <c r="F152" s="1" t="s">
        <v>337</v>
      </c>
      <c r="G152">
        <v>2</v>
      </c>
      <c r="H152" s="1" t="s">
        <v>244</v>
      </c>
      <c r="I152">
        <v>50</v>
      </c>
      <c r="J152">
        <v>51</v>
      </c>
      <c r="K152">
        <v>27</v>
      </c>
      <c r="L152">
        <v>817.46477493400005</v>
      </c>
      <c r="M152">
        <v>1595489.6029699999</v>
      </c>
      <c r="O152" s="1" t="s">
        <v>245</v>
      </c>
      <c r="P152" t="s">
        <v>246</v>
      </c>
    </row>
    <row r="153" spans="2:16" x14ac:dyDescent="0.25">
      <c r="B153">
        <v>152</v>
      </c>
      <c r="C153" s="1" t="s">
        <v>2281</v>
      </c>
      <c r="D153" s="1" t="s">
        <v>507</v>
      </c>
      <c r="E153" s="1" t="s">
        <v>2058</v>
      </c>
      <c r="F153" s="1" t="s">
        <v>361</v>
      </c>
      <c r="G153">
        <v>3</v>
      </c>
      <c r="H153" s="1" t="s">
        <v>244</v>
      </c>
      <c r="I153">
        <v>50</v>
      </c>
      <c r="J153">
        <v>51</v>
      </c>
      <c r="K153">
        <v>25</v>
      </c>
      <c r="L153">
        <v>897.54847365800003</v>
      </c>
      <c r="M153">
        <v>1699035.4358699999</v>
      </c>
      <c r="O153" s="1" t="s">
        <v>245</v>
      </c>
      <c r="P153" t="s">
        <v>246</v>
      </c>
    </row>
    <row r="154" spans="2:16" x14ac:dyDescent="0.25">
      <c r="B154">
        <v>153</v>
      </c>
      <c r="C154" s="1" t="s">
        <v>2282</v>
      </c>
      <c r="D154" s="1" t="s">
        <v>507</v>
      </c>
      <c r="E154" s="1" t="s">
        <v>2058</v>
      </c>
      <c r="F154" s="1" t="s">
        <v>337</v>
      </c>
      <c r="G154">
        <v>2</v>
      </c>
      <c r="H154" s="1" t="s">
        <v>244</v>
      </c>
      <c r="I154">
        <v>50</v>
      </c>
      <c r="J154">
        <v>51</v>
      </c>
      <c r="K154">
        <v>27</v>
      </c>
      <c r="L154">
        <v>817.46477493400005</v>
      </c>
      <c r="M154">
        <v>1595489.6029699999</v>
      </c>
      <c r="O154" s="1" t="s">
        <v>245</v>
      </c>
      <c r="P154" t="s">
        <v>246</v>
      </c>
    </row>
    <row r="155" spans="2:16" x14ac:dyDescent="0.25">
      <c r="B155">
        <v>154</v>
      </c>
      <c r="C155" s="1" t="s">
        <v>2282</v>
      </c>
      <c r="D155" s="1" t="s">
        <v>507</v>
      </c>
      <c r="E155" s="1" t="s">
        <v>2058</v>
      </c>
      <c r="F155" s="1" t="s">
        <v>361</v>
      </c>
      <c r="G155">
        <v>3</v>
      </c>
      <c r="H155" s="1" t="s">
        <v>244</v>
      </c>
      <c r="I155">
        <v>50</v>
      </c>
      <c r="J155">
        <v>51</v>
      </c>
      <c r="K155">
        <v>25</v>
      </c>
      <c r="L155">
        <v>897.54847365800003</v>
      </c>
      <c r="M155">
        <v>1699035.4358600001</v>
      </c>
      <c r="O155" s="1" t="s">
        <v>245</v>
      </c>
      <c r="P155" t="s">
        <v>246</v>
      </c>
    </row>
    <row r="156" spans="2:16" x14ac:dyDescent="0.25">
      <c r="B156">
        <v>155</v>
      </c>
      <c r="C156" s="1" t="s">
        <v>2283</v>
      </c>
      <c r="D156" s="1" t="s">
        <v>507</v>
      </c>
      <c r="E156" s="1" t="s">
        <v>2058</v>
      </c>
      <c r="F156" s="1" t="s">
        <v>337</v>
      </c>
      <c r="G156">
        <v>2</v>
      </c>
      <c r="H156" s="1" t="s">
        <v>244</v>
      </c>
      <c r="I156">
        <v>50</v>
      </c>
      <c r="J156">
        <v>51</v>
      </c>
      <c r="K156">
        <v>27</v>
      </c>
      <c r="L156">
        <v>817.46477493400005</v>
      </c>
      <c r="M156">
        <v>1595489.6029699999</v>
      </c>
      <c r="O156" s="1" t="s">
        <v>245</v>
      </c>
      <c r="P156" t="s">
        <v>246</v>
      </c>
    </row>
    <row r="157" spans="2:16" x14ac:dyDescent="0.25">
      <c r="B157">
        <v>156</v>
      </c>
      <c r="C157" s="1" t="s">
        <v>2283</v>
      </c>
      <c r="D157" s="1" t="s">
        <v>507</v>
      </c>
      <c r="E157" s="1" t="s">
        <v>2058</v>
      </c>
      <c r="F157" s="1" t="s">
        <v>361</v>
      </c>
      <c r="G157">
        <v>3</v>
      </c>
      <c r="H157" s="1" t="s">
        <v>244</v>
      </c>
      <c r="I157">
        <v>50</v>
      </c>
      <c r="J157">
        <v>51</v>
      </c>
      <c r="K157">
        <v>25</v>
      </c>
      <c r="L157">
        <v>897.54847365800003</v>
      </c>
      <c r="M157">
        <v>1699035.4358600001</v>
      </c>
      <c r="O157" s="1" t="s">
        <v>245</v>
      </c>
      <c r="P157" t="s">
        <v>246</v>
      </c>
    </row>
    <row r="158" spans="2:16" x14ac:dyDescent="0.25">
      <c r="B158">
        <v>157</v>
      </c>
      <c r="C158" s="1" t="s">
        <v>2284</v>
      </c>
      <c r="D158" s="1" t="s">
        <v>507</v>
      </c>
      <c r="E158" s="1" t="s">
        <v>2058</v>
      </c>
      <c r="F158" s="1" t="s">
        <v>337</v>
      </c>
      <c r="G158">
        <v>2</v>
      </c>
      <c r="H158" s="1" t="s">
        <v>244</v>
      </c>
      <c r="I158">
        <v>50</v>
      </c>
      <c r="J158">
        <v>51</v>
      </c>
      <c r="K158">
        <v>27</v>
      </c>
      <c r="L158">
        <v>817.46477493400005</v>
      </c>
      <c r="M158">
        <v>1595489.6029699999</v>
      </c>
      <c r="O158" s="1" t="s">
        <v>245</v>
      </c>
      <c r="P158" t="s">
        <v>246</v>
      </c>
    </row>
    <row r="159" spans="2:16" x14ac:dyDescent="0.25">
      <c r="B159">
        <v>158</v>
      </c>
      <c r="C159" s="1" t="s">
        <v>2284</v>
      </c>
      <c r="D159" s="1" t="s">
        <v>507</v>
      </c>
      <c r="E159" s="1" t="s">
        <v>2058</v>
      </c>
      <c r="F159" s="1" t="s">
        <v>361</v>
      </c>
      <c r="G159">
        <v>3</v>
      </c>
      <c r="H159" s="1" t="s">
        <v>244</v>
      </c>
      <c r="I159">
        <v>50</v>
      </c>
      <c r="J159">
        <v>51</v>
      </c>
      <c r="K159">
        <v>25</v>
      </c>
      <c r="L159">
        <v>897.54847365800003</v>
      </c>
      <c r="M159">
        <v>1699035.4358600001</v>
      </c>
      <c r="O159" s="1" t="s">
        <v>245</v>
      </c>
      <c r="P159" t="s">
        <v>246</v>
      </c>
    </row>
    <row r="160" spans="2:16" x14ac:dyDescent="0.25">
      <c r="B160">
        <v>159</v>
      </c>
      <c r="C160" s="1" t="s">
        <v>2285</v>
      </c>
      <c r="D160" s="1" t="s">
        <v>507</v>
      </c>
      <c r="E160" s="1" t="s">
        <v>2058</v>
      </c>
      <c r="F160" s="1" t="s">
        <v>337</v>
      </c>
      <c r="G160">
        <v>2</v>
      </c>
      <c r="H160" s="1" t="s">
        <v>244</v>
      </c>
      <c r="I160">
        <v>50</v>
      </c>
      <c r="J160">
        <v>51</v>
      </c>
      <c r="K160">
        <v>27</v>
      </c>
      <c r="L160">
        <v>817.46477493400005</v>
      </c>
      <c r="M160">
        <v>1595489.6029699999</v>
      </c>
      <c r="O160" s="1" t="s">
        <v>245</v>
      </c>
      <c r="P160" t="s">
        <v>246</v>
      </c>
    </row>
    <row r="161" spans="2:16" x14ac:dyDescent="0.25">
      <c r="B161">
        <v>160</v>
      </c>
      <c r="C161" s="1" t="s">
        <v>2285</v>
      </c>
      <c r="D161" s="1" t="s">
        <v>507</v>
      </c>
      <c r="E161" s="1" t="s">
        <v>2058</v>
      </c>
      <c r="F161" s="1" t="s">
        <v>361</v>
      </c>
      <c r="G161">
        <v>3</v>
      </c>
      <c r="H161" s="1" t="s">
        <v>244</v>
      </c>
      <c r="I161">
        <v>50</v>
      </c>
      <c r="J161">
        <v>51</v>
      </c>
      <c r="K161">
        <v>25</v>
      </c>
      <c r="L161">
        <v>897.54847365800003</v>
      </c>
      <c r="M161">
        <v>1699035.4358600001</v>
      </c>
      <c r="O161" s="1" t="s">
        <v>245</v>
      </c>
      <c r="P161" t="s">
        <v>246</v>
      </c>
    </row>
    <row r="162" spans="2:16" x14ac:dyDescent="0.25">
      <c r="B162">
        <v>161</v>
      </c>
      <c r="C162" s="1" t="s">
        <v>2286</v>
      </c>
      <c r="D162" s="1" t="s">
        <v>507</v>
      </c>
      <c r="E162" s="1" t="s">
        <v>2058</v>
      </c>
      <c r="F162" s="1" t="s">
        <v>337</v>
      </c>
      <c r="G162">
        <v>2</v>
      </c>
      <c r="H162" s="1" t="s">
        <v>244</v>
      </c>
      <c r="I162">
        <v>50</v>
      </c>
      <c r="J162">
        <v>51</v>
      </c>
      <c r="K162">
        <v>27</v>
      </c>
      <c r="L162">
        <v>817.46477493500004</v>
      </c>
      <c r="M162">
        <v>1595489.6029699999</v>
      </c>
      <c r="O162" s="1" t="s">
        <v>245</v>
      </c>
      <c r="P162" t="s">
        <v>246</v>
      </c>
    </row>
    <row r="163" spans="2:16" x14ac:dyDescent="0.25">
      <c r="B163">
        <v>162</v>
      </c>
      <c r="C163" s="1" t="s">
        <v>2286</v>
      </c>
      <c r="D163" s="1" t="s">
        <v>507</v>
      </c>
      <c r="E163" s="1" t="s">
        <v>2058</v>
      </c>
      <c r="F163" s="1" t="s">
        <v>361</v>
      </c>
      <c r="G163">
        <v>3</v>
      </c>
      <c r="H163" s="1" t="s">
        <v>244</v>
      </c>
      <c r="I163">
        <v>50</v>
      </c>
      <c r="J163">
        <v>51</v>
      </c>
      <c r="K163">
        <v>25</v>
      </c>
      <c r="L163">
        <v>897.54847365800003</v>
      </c>
      <c r="M163">
        <v>1699035.4358699999</v>
      </c>
      <c r="O163" s="1" t="s">
        <v>245</v>
      </c>
      <c r="P163" t="s">
        <v>246</v>
      </c>
    </row>
    <row r="164" spans="2:16" x14ac:dyDescent="0.25">
      <c r="B164">
        <v>163</v>
      </c>
      <c r="C164" s="1" t="s">
        <v>2287</v>
      </c>
      <c r="D164" s="1" t="s">
        <v>507</v>
      </c>
      <c r="E164" s="1" t="s">
        <v>2058</v>
      </c>
      <c r="F164" s="1" t="s">
        <v>337</v>
      </c>
      <c r="G164">
        <v>2</v>
      </c>
      <c r="H164" s="1" t="s">
        <v>244</v>
      </c>
      <c r="I164">
        <v>50</v>
      </c>
      <c r="J164">
        <v>51</v>
      </c>
      <c r="K164">
        <v>27</v>
      </c>
      <c r="L164">
        <v>817.46477493500004</v>
      </c>
      <c r="M164">
        <v>1595489.6029699999</v>
      </c>
      <c r="O164" s="1" t="s">
        <v>245</v>
      </c>
      <c r="P164" t="s">
        <v>246</v>
      </c>
    </row>
    <row r="165" spans="2:16" x14ac:dyDescent="0.25">
      <c r="B165">
        <v>164</v>
      </c>
      <c r="C165" s="1" t="s">
        <v>2287</v>
      </c>
      <c r="D165" s="1" t="s">
        <v>507</v>
      </c>
      <c r="E165" s="1" t="s">
        <v>2058</v>
      </c>
      <c r="F165" s="1" t="s">
        <v>361</v>
      </c>
      <c r="G165">
        <v>3</v>
      </c>
      <c r="H165" s="1" t="s">
        <v>244</v>
      </c>
      <c r="I165">
        <v>50</v>
      </c>
      <c r="J165">
        <v>51</v>
      </c>
      <c r="K165">
        <v>25</v>
      </c>
      <c r="L165">
        <v>897.54847365800003</v>
      </c>
      <c r="M165">
        <v>1699035.4358600001</v>
      </c>
      <c r="O165" s="1" t="s">
        <v>245</v>
      </c>
      <c r="P165" t="s">
        <v>246</v>
      </c>
    </row>
    <row r="166" spans="2:16" x14ac:dyDescent="0.25">
      <c r="B166">
        <v>165</v>
      </c>
      <c r="C166" s="1" t="s">
        <v>2288</v>
      </c>
      <c r="D166" s="1" t="s">
        <v>507</v>
      </c>
      <c r="E166" s="1" t="s">
        <v>2058</v>
      </c>
      <c r="F166" s="1" t="s">
        <v>337</v>
      </c>
      <c r="G166">
        <v>2</v>
      </c>
      <c r="H166" s="1" t="s">
        <v>244</v>
      </c>
      <c r="I166">
        <v>50</v>
      </c>
      <c r="J166">
        <v>51</v>
      </c>
      <c r="K166">
        <v>27</v>
      </c>
      <c r="L166">
        <v>817.46477493400005</v>
      </c>
      <c r="M166">
        <v>1595489.6029699999</v>
      </c>
      <c r="O166" s="1" t="s">
        <v>245</v>
      </c>
      <c r="P166" t="s">
        <v>246</v>
      </c>
    </row>
    <row r="167" spans="2:16" x14ac:dyDescent="0.25">
      <c r="B167">
        <v>166</v>
      </c>
      <c r="C167" s="1" t="s">
        <v>2288</v>
      </c>
      <c r="D167" s="1" t="s">
        <v>507</v>
      </c>
      <c r="E167" s="1" t="s">
        <v>2058</v>
      </c>
      <c r="F167" s="1" t="s">
        <v>361</v>
      </c>
      <c r="G167">
        <v>3</v>
      </c>
      <c r="H167" s="1" t="s">
        <v>244</v>
      </c>
      <c r="I167">
        <v>50</v>
      </c>
      <c r="J167">
        <v>51</v>
      </c>
      <c r="K167">
        <v>25</v>
      </c>
      <c r="L167">
        <v>897.54847365800003</v>
      </c>
      <c r="M167">
        <v>1699035.4358699999</v>
      </c>
      <c r="O167" s="1" t="s">
        <v>245</v>
      </c>
      <c r="P167" t="s">
        <v>246</v>
      </c>
    </row>
    <row r="168" spans="2:16" x14ac:dyDescent="0.25">
      <c r="B168">
        <v>167</v>
      </c>
      <c r="C168" s="1" t="s">
        <v>2289</v>
      </c>
      <c r="D168" s="1" t="s">
        <v>507</v>
      </c>
      <c r="E168" s="1" t="s">
        <v>2058</v>
      </c>
      <c r="F168" s="1" t="s">
        <v>337</v>
      </c>
      <c r="G168">
        <v>2</v>
      </c>
      <c r="H168" s="1" t="s">
        <v>244</v>
      </c>
      <c r="I168">
        <v>50</v>
      </c>
      <c r="J168">
        <v>51</v>
      </c>
      <c r="K168">
        <v>27</v>
      </c>
      <c r="L168">
        <v>817.46477493400005</v>
      </c>
      <c r="M168">
        <v>1595489.6029699999</v>
      </c>
      <c r="O168" s="1" t="s">
        <v>245</v>
      </c>
      <c r="P168" t="s">
        <v>246</v>
      </c>
    </row>
    <row r="169" spans="2:16" x14ac:dyDescent="0.25">
      <c r="B169">
        <v>168</v>
      </c>
      <c r="C169" s="1" t="s">
        <v>2289</v>
      </c>
      <c r="D169" s="1" t="s">
        <v>507</v>
      </c>
      <c r="E169" s="1" t="s">
        <v>2058</v>
      </c>
      <c r="F169" s="1" t="s">
        <v>361</v>
      </c>
      <c r="G169">
        <v>3</v>
      </c>
      <c r="H169" s="1" t="s">
        <v>244</v>
      </c>
      <c r="I169">
        <v>50</v>
      </c>
      <c r="J169">
        <v>51</v>
      </c>
      <c r="K169">
        <v>25</v>
      </c>
      <c r="L169">
        <v>897.54847365800003</v>
      </c>
      <c r="M169">
        <v>1699035.4358699999</v>
      </c>
      <c r="O169" s="1" t="s">
        <v>245</v>
      </c>
      <c r="P169" t="s">
        <v>246</v>
      </c>
    </row>
    <row r="170" spans="2:16" x14ac:dyDescent="0.25">
      <c r="B170">
        <v>169</v>
      </c>
      <c r="C170" s="1" t="s">
        <v>2290</v>
      </c>
      <c r="D170" s="1" t="s">
        <v>507</v>
      </c>
      <c r="E170" s="1" t="s">
        <v>2058</v>
      </c>
      <c r="F170" s="1" t="s">
        <v>337</v>
      </c>
      <c r="G170">
        <v>2</v>
      </c>
      <c r="H170" s="1" t="s">
        <v>244</v>
      </c>
      <c r="I170">
        <v>50</v>
      </c>
      <c r="J170">
        <v>51</v>
      </c>
      <c r="K170">
        <v>27</v>
      </c>
      <c r="L170">
        <v>817.46477493400005</v>
      </c>
      <c r="M170">
        <v>1595489.6029699999</v>
      </c>
      <c r="O170" s="1" t="s">
        <v>245</v>
      </c>
      <c r="P170" t="s">
        <v>246</v>
      </c>
    </row>
    <row r="171" spans="2:16" x14ac:dyDescent="0.25">
      <c r="B171">
        <v>170</v>
      </c>
      <c r="C171" s="1" t="s">
        <v>2290</v>
      </c>
      <c r="D171" s="1" t="s">
        <v>507</v>
      </c>
      <c r="E171" s="1" t="s">
        <v>2058</v>
      </c>
      <c r="F171" s="1" t="s">
        <v>361</v>
      </c>
      <c r="G171">
        <v>3</v>
      </c>
      <c r="H171" s="1" t="s">
        <v>244</v>
      </c>
      <c r="I171">
        <v>50</v>
      </c>
      <c r="J171">
        <v>51</v>
      </c>
      <c r="K171">
        <v>25</v>
      </c>
      <c r="L171">
        <v>897.54847365800003</v>
      </c>
      <c r="M171">
        <v>1699035.4358600001</v>
      </c>
      <c r="O171" s="1" t="s">
        <v>245</v>
      </c>
      <c r="P171" t="s">
        <v>246</v>
      </c>
    </row>
    <row r="172" spans="2:16" x14ac:dyDescent="0.25">
      <c r="B172">
        <v>171</v>
      </c>
      <c r="C172" s="1" t="s">
        <v>2291</v>
      </c>
      <c r="D172" s="1" t="s">
        <v>507</v>
      </c>
      <c r="E172" s="1" t="s">
        <v>2058</v>
      </c>
      <c r="F172" s="1" t="s">
        <v>337</v>
      </c>
      <c r="G172">
        <v>2</v>
      </c>
      <c r="H172" s="1" t="s">
        <v>244</v>
      </c>
      <c r="I172">
        <v>50</v>
      </c>
      <c r="J172">
        <v>51</v>
      </c>
      <c r="K172">
        <v>27</v>
      </c>
      <c r="L172">
        <v>817.46477493400005</v>
      </c>
      <c r="M172">
        <v>1595489.6029699999</v>
      </c>
      <c r="O172" s="1" t="s">
        <v>245</v>
      </c>
      <c r="P172" t="s">
        <v>246</v>
      </c>
    </row>
    <row r="173" spans="2:16" x14ac:dyDescent="0.25">
      <c r="B173">
        <v>172</v>
      </c>
      <c r="C173" s="1" t="s">
        <v>2291</v>
      </c>
      <c r="D173" s="1" t="s">
        <v>507</v>
      </c>
      <c r="E173" s="1" t="s">
        <v>2058</v>
      </c>
      <c r="F173" s="1" t="s">
        <v>361</v>
      </c>
      <c r="G173">
        <v>3</v>
      </c>
      <c r="H173" s="1" t="s">
        <v>244</v>
      </c>
      <c r="I173">
        <v>50</v>
      </c>
      <c r="J173">
        <v>51</v>
      </c>
      <c r="K173">
        <v>25</v>
      </c>
      <c r="L173">
        <v>897.54847365800003</v>
      </c>
      <c r="M173">
        <v>1699035.4358699999</v>
      </c>
      <c r="O173" s="1" t="s">
        <v>245</v>
      </c>
      <c r="P173" t="s">
        <v>246</v>
      </c>
    </row>
    <row r="174" spans="2:16" x14ac:dyDescent="0.25">
      <c r="B174">
        <v>173</v>
      </c>
      <c r="C174" s="1" t="s">
        <v>2292</v>
      </c>
      <c r="D174" s="1" t="s">
        <v>507</v>
      </c>
      <c r="E174" s="1" t="s">
        <v>2058</v>
      </c>
      <c r="F174" s="1" t="s">
        <v>337</v>
      </c>
      <c r="G174">
        <v>2</v>
      </c>
      <c r="H174" s="1" t="s">
        <v>244</v>
      </c>
      <c r="I174">
        <v>50</v>
      </c>
      <c r="J174">
        <v>51</v>
      </c>
      <c r="K174">
        <v>27</v>
      </c>
      <c r="L174">
        <v>817.46477493400005</v>
      </c>
      <c r="M174">
        <v>1595489.6029699999</v>
      </c>
      <c r="O174" s="1" t="s">
        <v>245</v>
      </c>
      <c r="P174" t="s">
        <v>246</v>
      </c>
    </row>
    <row r="175" spans="2:16" x14ac:dyDescent="0.25">
      <c r="B175">
        <v>174</v>
      </c>
      <c r="C175" s="1" t="s">
        <v>2292</v>
      </c>
      <c r="D175" s="1" t="s">
        <v>507</v>
      </c>
      <c r="E175" s="1" t="s">
        <v>2058</v>
      </c>
      <c r="F175" s="1" t="s">
        <v>361</v>
      </c>
      <c r="G175">
        <v>3</v>
      </c>
      <c r="H175" s="1" t="s">
        <v>244</v>
      </c>
      <c r="I175">
        <v>50</v>
      </c>
      <c r="J175">
        <v>51</v>
      </c>
      <c r="K175">
        <v>25</v>
      </c>
      <c r="L175">
        <v>897.54847365800003</v>
      </c>
      <c r="M175">
        <v>1699035.4358699999</v>
      </c>
      <c r="O175" s="1" t="s">
        <v>245</v>
      </c>
      <c r="P175" t="s">
        <v>246</v>
      </c>
    </row>
    <row r="176" spans="2:16" x14ac:dyDescent="0.25">
      <c r="B176">
        <v>175</v>
      </c>
      <c r="C176" s="1" t="s">
        <v>2293</v>
      </c>
      <c r="D176" s="1" t="s">
        <v>507</v>
      </c>
      <c r="E176" s="1" t="s">
        <v>2058</v>
      </c>
      <c r="F176" s="1" t="s">
        <v>337</v>
      </c>
      <c r="G176">
        <v>2</v>
      </c>
      <c r="H176" s="1" t="s">
        <v>244</v>
      </c>
      <c r="I176">
        <v>50</v>
      </c>
      <c r="J176">
        <v>51</v>
      </c>
      <c r="K176">
        <v>27</v>
      </c>
      <c r="L176">
        <v>817.46477493400005</v>
      </c>
      <c r="M176">
        <v>1595489.6029699999</v>
      </c>
      <c r="O176" s="1" t="s">
        <v>245</v>
      </c>
      <c r="P176" t="s">
        <v>246</v>
      </c>
    </row>
    <row r="177" spans="2:16" x14ac:dyDescent="0.25">
      <c r="B177">
        <v>176</v>
      </c>
      <c r="C177" s="1" t="s">
        <v>2293</v>
      </c>
      <c r="D177" s="1" t="s">
        <v>507</v>
      </c>
      <c r="E177" s="1" t="s">
        <v>2058</v>
      </c>
      <c r="F177" s="1" t="s">
        <v>361</v>
      </c>
      <c r="G177">
        <v>3</v>
      </c>
      <c r="H177" s="1" t="s">
        <v>244</v>
      </c>
      <c r="I177">
        <v>50</v>
      </c>
      <c r="J177">
        <v>51</v>
      </c>
      <c r="K177">
        <v>25</v>
      </c>
      <c r="L177">
        <v>897.54847365800003</v>
      </c>
      <c r="M177">
        <v>1699035.4358699999</v>
      </c>
      <c r="O177" s="1" t="s">
        <v>245</v>
      </c>
      <c r="P177" t="s">
        <v>246</v>
      </c>
    </row>
    <row r="178" spans="2:16" x14ac:dyDescent="0.25">
      <c r="B178">
        <v>177</v>
      </c>
      <c r="C178" s="1" t="s">
        <v>2294</v>
      </c>
      <c r="D178" s="1" t="s">
        <v>507</v>
      </c>
      <c r="E178" s="1" t="s">
        <v>2058</v>
      </c>
      <c r="F178" s="1" t="s">
        <v>337</v>
      </c>
      <c r="G178">
        <v>2</v>
      </c>
      <c r="H178" s="1" t="s">
        <v>244</v>
      </c>
      <c r="I178">
        <v>50</v>
      </c>
      <c r="J178">
        <v>51</v>
      </c>
      <c r="K178">
        <v>27</v>
      </c>
      <c r="L178">
        <v>817.46477493400005</v>
      </c>
      <c r="M178">
        <v>1595489.6029699999</v>
      </c>
      <c r="O178" s="1" t="s">
        <v>245</v>
      </c>
      <c r="P178" t="s">
        <v>246</v>
      </c>
    </row>
    <row r="179" spans="2:16" x14ac:dyDescent="0.25">
      <c r="B179">
        <v>178</v>
      </c>
      <c r="C179" s="1" t="s">
        <v>2294</v>
      </c>
      <c r="D179" s="1" t="s">
        <v>507</v>
      </c>
      <c r="E179" s="1" t="s">
        <v>2058</v>
      </c>
      <c r="F179" s="1" t="s">
        <v>361</v>
      </c>
      <c r="G179">
        <v>3</v>
      </c>
      <c r="H179" s="1" t="s">
        <v>244</v>
      </c>
      <c r="I179">
        <v>50</v>
      </c>
      <c r="J179">
        <v>51</v>
      </c>
      <c r="K179">
        <v>25</v>
      </c>
      <c r="L179">
        <v>897.54847365800003</v>
      </c>
      <c r="M179">
        <v>1699035.4358600001</v>
      </c>
      <c r="O179" s="1" t="s">
        <v>245</v>
      </c>
      <c r="P179" t="s">
        <v>246</v>
      </c>
    </row>
    <row r="180" spans="2:16" x14ac:dyDescent="0.25">
      <c r="B180">
        <v>179</v>
      </c>
      <c r="C180" s="1" t="s">
        <v>2295</v>
      </c>
      <c r="D180" s="1" t="s">
        <v>507</v>
      </c>
      <c r="E180" s="1" t="s">
        <v>2058</v>
      </c>
      <c r="F180" s="1" t="s">
        <v>337</v>
      </c>
      <c r="G180">
        <v>2</v>
      </c>
      <c r="H180" s="1" t="s">
        <v>244</v>
      </c>
      <c r="I180">
        <v>50</v>
      </c>
      <c r="J180">
        <v>51</v>
      </c>
      <c r="K180">
        <v>27</v>
      </c>
      <c r="L180">
        <v>817.46477493400005</v>
      </c>
      <c r="M180">
        <v>1595489.6029699999</v>
      </c>
      <c r="O180" s="1" t="s">
        <v>245</v>
      </c>
      <c r="P180" t="s">
        <v>246</v>
      </c>
    </row>
    <row r="181" spans="2:16" x14ac:dyDescent="0.25">
      <c r="B181">
        <v>180</v>
      </c>
      <c r="C181" s="1" t="s">
        <v>2295</v>
      </c>
      <c r="D181" s="1" t="s">
        <v>507</v>
      </c>
      <c r="E181" s="1" t="s">
        <v>2058</v>
      </c>
      <c r="F181" s="1" t="s">
        <v>361</v>
      </c>
      <c r="G181">
        <v>3</v>
      </c>
      <c r="H181" s="1" t="s">
        <v>244</v>
      </c>
      <c r="I181">
        <v>50</v>
      </c>
      <c r="J181">
        <v>51</v>
      </c>
      <c r="K181">
        <v>25</v>
      </c>
      <c r="L181">
        <v>897.54847365800003</v>
      </c>
      <c r="M181">
        <v>1699035.4358699999</v>
      </c>
      <c r="O181" s="1" t="s">
        <v>245</v>
      </c>
      <c r="P181" t="s">
        <v>246</v>
      </c>
    </row>
  </sheetData>
  <phoneticPr fontId="13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8B231A-6428-4E09-9933-288343BF4A0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28</vt:i4>
      </vt:variant>
      <vt:variant>
        <vt:lpstr>Nazwane zakresy</vt:lpstr>
      </vt:variant>
      <vt:variant>
        <vt:i4>10</vt:i4>
      </vt:variant>
    </vt:vector>
  </HeadingPairs>
  <TitlesOfParts>
    <vt:vector size="38" baseType="lpstr">
      <vt:lpstr>BAZA_Raport</vt:lpstr>
      <vt:lpstr>Wszystkie elementy</vt:lpstr>
      <vt:lpstr>Wykaz elementów</vt:lpstr>
      <vt:lpstr>Arkusz2</vt:lpstr>
      <vt:lpstr>Arkusz3</vt:lpstr>
      <vt:lpstr>Arkusz4</vt:lpstr>
      <vt:lpstr>Arkusz5</vt:lpstr>
      <vt:lpstr>Arkusz6</vt:lpstr>
      <vt:lpstr>Arkusz7</vt:lpstr>
      <vt:lpstr>Arkusz8</vt:lpstr>
      <vt:lpstr>Arkusz9</vt:lpstr>
      <vt:lpstr>Arkusz10</vt:lpstr>
      <vt:lpstr>Arkusz11</vt:lpstr>
      <vt:lpstr>Arkusz12</vt:lpstr>
      <vt:lpstr>query</vt:lpstr>
      <vt:lpstr>Raporty</vt:lpstr>
      <vt:lpstr>Harm. produkcji</vt:lpstr>
      <vt:lpstr>listy wyboru</vt:lpstr>
      <vt:lpstr>Harm. ściany</vt:lpstr>
      <vt:lpstr>Harm. el. zewn.</vt:lpstr>
      <vt:lpstr>Wszystkie elementy zewnętrzne</vt:lpstr>
      <vt:lpstr>Harm. prod. stolarnia</vt:lpstr>
      <vt:lpstr>Wszystkie elementy stolarni</vt:lpstr>
      <vt:lpstr>Harm. podwyk.</vt:lpstr>
      <vt:lpstr>Wszystkie ściany</vt:lpstr>
      <vt:lpstr>Wszystkie elementy podwykonawcy</vt:lpstr>
      <vt:lpstr>Harm. prod. stolarnia - kliny</vt:lpstr>
      <vt:lpstr>Wszystkie kliny</vt:lpstr>
      <vt:lpstr>'Wszystkie elementy'!DaneZewnętrzne_2</vt:lpstr>
      <vt:lpstr>'Wszystkie elementy podwykonawcy'!DaneZewnętrzne_3</vt:lpstr>
      <vt:lpstr>'Wszystkie elementy zewnętrzne'!DaneZewnętrzne_3</vt:lpstr>
      <vt:lpstr>'Wszystkie ściany'!DaneZewnętrzne_3</vt:lpstr>
      <vt:lpstr>'Wszystkie elementy stolarni'!DaneZewnętrzne_4</vt:lpstr>
      <vt:lpstr>'Wszystkie kliny'!DaneZewnętrzne_5</vt:lpstr>
      <vt:lpstr>'Harm. ściany'!Kryteria</vt:lpstr>
      <vt:lpstr>listy_wyboru_Miejsce_wykonania</vt:lpstr>
      <vt:lpstr>listy_wyboru_Status</vt:lpstr>
      <vt:lpstr>'Harm. produkcji'!Obszar_wydruku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Michał Bruj</dc:creator>
  <cp:lastModifiedBy>Marcin Ziniewicz</cp:lastModifiedBy>
  <cp:lastPrinted>2021-07-26T08:50:08Z</cp:lastPrinted>
  <dcterms:created xsi:type="dcterms:W3CDTF">2015-06-05T18:19:34Z</dcterms:created>
  <dcterms:modified xsi:type="dcterms:W3CDTF">2022-02-17T10:10:41Z</dcterms:modified>
</cp:coreProperties>
</file>